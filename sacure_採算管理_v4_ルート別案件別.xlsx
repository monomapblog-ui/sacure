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別採算" sheetId="1" state="visible" r:id="rId1"/>
    <sheet xmlns:r="http://schemas.openxmlformats.org/officeDocument/2006/relationships" name="ルート別採算" sheetId="2" state="visible" r:id="rId2"/>
    <sheet xmlns:r="http://schemas.openxmlformats.org/officeDocument/2006/relationships" name="▼売上原票" sheetId="3" state="visible" r:id="rId3"/>
    <sheet xmlns:r="http://schemas.openxmlformats.org/officeDocument/2006/relationships" name="▼マッピング設定" sheetId="4" state="visible" r:id="rId4"/>
    <sheet xmlns:r="http://schemas.openxmlformats.org/officeDocument/2006/relationships" name="▼従業員マスタ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21">
    <font>
      <name val="Calibri"/>
      <family val="2"/>
      <color theme="1"/>
      <sz val="11"/>
      <scheme val="minor"/>
    </font>
    <font>
      <name val="Yu Gothic UI"/>
      <b val="1"/>
      <color rgb="00FFFFFF"/>
      <sz val="14"/>
    </font>
    <font>
      <name val="Yu Gothic UI"/>
      <color rgb="0055657A"/>
      <sz val="9"/>
    </font>
    <font>
      <name val="Yu Gothic UI"/>
      <b val="1"/>
      <color rgb="00FFFFFF"/>
      <sz val="9"/>
    </font>
    <font>
      <name val="Yu Gothic UI"/>
      <b val="1"/>
      <color rgb="000D2B5E"/>
      <sz val="11"/>
    </font>
    <font>
      <name val="Yu Gothic UI"/>
      <color rgb="000D2B5E"/>
      <sz val="11"/>
    </font>
    <font>
      <name val="Yu Gothic UI"/>
      <b val="1"/>
      <color rgb="00FFFFFF"/>
      <sz val="11"/>
    </font>
    <font>
      <name val="Yu Gothic UI"/>
      <color rgb="000D2B5E"/>
      <sz val="10"/>
    </font>
    <font>
      <name val="Yu Gothic UI"/>
      <b val="1"/>
      <color rgb="000D2B5E"/>
      <sz val="12"/>
    </font>
    <font>
      <name val="Yu Gothic UI"/>
      <b val="1"/>
      <color rgb="000D2B5E"/>
      <sz val="10"/>
    </font>
    <font>
      <name val="Yu Gothic UI"/>
      <b val="1"/>
      <color rgb="00FFFFFF"/>
      <sz val="10"/>
    </font>
    <font>
      <name val="Yu Gothic UI"/>
      <color rgb="0055657A"/>
      <sz val="10"/>
    </font>
    <font>
      <name val="Yu Gothic UI"/>
      <b val="1"/>
      <color rgb="00FFFFFF"/>
      <sz val="13"/>
    </font>
    <font>
      <name val="Yu Gothic UI"/>
      <color rgb="00856404"/>
      <sz val="9"/>
    </font>
    <font>
      <name val="Yu Gothic UI"/>
      <b val="1"/>
      <color rgb="000D2B5E"/>
      <sz val="13"/>
    </font>
    <font>
      <name val="Yu Gothic UI"/>
      <b val="1"/>
      <sz val="13"/>
    </font>
    <font>
      <name val="Yu Gothic UI"/>
      <b val="1"/>
      <color rgb="000D2B5E"/>
      <sz val="14"/>
    </font>
    <font>
      <name val="Yu Gothic UI"/>
      <b val="1"/>
      <color rgb="00FFFFFF"/>
      <sz val="12"/>
    </font>
    <font>
      <name val="Yu Gothic UI"/>
      <color rgb="000D2B5E"/>
      <sz val="9"/>
    </font>
    <font>
      <name val="Yu Gothic UI"/>
      <b val="1"/>
      <color rgb="0055657A"/>
      <sz val="11"/>
    </font>
    <font>
      <name val="Yu Gothic UI"/>
      <color rgb="00C0392B"/>
      <sz val="9"/>
    </font>
  </fonts>
  <fills count="31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F2F6FC"/>
      </patternFill>
    </fill>
    <fill>
      <patternFill patternType="solid">
        <fgColor rgb="00155A00"/>
      </patternFill>
    </fill>
    <fill>
      <patternFill patternType="solid">
        <fgColor rgb="007B3F00"/>
      </patternFill>
    </fill>
    <fill>
      <patternFill patternType="solid">
        <fgColor rgb="001A6B2E"/>
      </patternFill>
    </fill>
    <fill>
      <patternFill patternType="solid">
        <fgColor rgb="00D0E8FF"/>
      </patternFill>
    </fill>
    <fill>
      <patternFill patternType="solid">
        <fgColor rgb="001565A8"/>
      </patternFill>
    </fill>
    <fill>
      <patternFill patternType="solid">
        <fgColor rgb="00E8F5E9"/>
      </patternFill>
    </fill>
    <fill>
      <patternFill patternType="solid">
        <fgColor rgb="00C8F7D4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DE7F6"/>
      </patternFill>
    </fill>
    <fill>
      <patternFill patternType="solid">
        <fgColor rgb="005B2D8E"/>
      </patternFill>
    </fill>
    <fill>
      <patternFill patternType="solid">
        <fgColor rgb="00FFFFFF"/>
      </patternFill>
    </fill>
    <fill>
      <patternFill patternType="solid">
        <fgColor rgb="0055657A"/>
      </patternFill>
    </fill>
    <fill>
      <patternFill patternType="solid">
        <fgColor rgb="00CCDDEE"/>
      </patternFill>
    </fill>
    <fill>
      <patternFill patternType="solid">
        <fgColor rgb="00FFF9C4"/>
      </patternFill>
    </fill>
    <fill>
      <patternFill patternType="solid">
        <fgColor rgb="00335577"/>
      </patternFill>
    </fill>
    <fill>
      <patternFill patternType="solid">
        <fgColor rgb="001A5FC8"/>
      </patternFill>
    </fill>
    <fill>
      <patternFill patternType="solid">
        <fgColor rgb="00FFFDE7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E0E0"/>
      </patternFill>
    </fill>
    <fill>
      <patternFill patternType="solid">
        <fgColor rgb="00E65100"/>
      </patternFill>
    </fill>
    <fill>
      <patternFill patternType="solid">
        <fgColor rgb="00FFE0B2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37474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3" fontId="7" fillId="9" borderId="1" applyAlignment="1" pivotButton="0" quotePrefix="0" xfId="0">
      <alignment horizontal="right" vertical="center"/>
    </xf>
    <xf numFmtId="3" fontId="8" fillId="10" borderId="1" applyAlignment="1" pivotButton="0" quotePrefix="0" xfId="0">
      <alignment horizontal="right" vertical="center"/>
    </xf>
    <xf numFmtId="3" fontId="7" fillId="11" borderId="1" applyAlignment="1" pivotButton="0" quotePrefix="0" xfId="0">
      <alignment horizontal="right" vertical="center"/>
    </xf>
    <xf numFmtId="3" fontId="4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0" fillId="2" borderId="0" pivotButton="0" quotePrefix="0" xfId="0"/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165" fontId="7" fillId="13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165" fontId="7" fillId="12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3" fontId="4" fillId="15" borderId="1" applyAlignment="1" pivotButton="0" quotePrefix="0" xfId="0">
      <alignment horizontal="right" vertical="center"/>
    </xf>
    <xf numFmtId="3" fontId="9" fillId="12" borderId="1" applyAlignment="1" pivotButton="0" quotePrefix="0" xfId="0">
      <alignment horizontal="right" vertical="center"/>
    </xf>
    <xf numFmtId="3" fontId="4" fillId="12" borderId="1" applyAlignment="1" pivotButton="0" quotePrefix="0" xfId="0">
      <alignment horizontal="right" vertical="center"/>
    </xf>
    <xf numFmtId="164" fontId="4" fillId="12" borderId="1" applyAlignment="1" pivotButton="0" quotePrefix="0" xfId="0">
      <alignment horizontal="right" vertical="center"/>
    </xf>
    <xf numFmtId="49" fontId="7" fillId="1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3" fillId="1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3" fontId="11" fillId="7" borderId="1" applyAlignment="1" pivotButton="0" quotePrefix="0" xfId="0">
      <alignment horizontal="right" vertical="center"/>
    </xf>
    <xf numFmtId="0" fontId="0" fillId="17" borderId="0" pivotButton="0" quotePrefix="0" xfId="0"/>
    <xf numFmtId="3" fontId="11" fillId="13" borderId="1" applyAlignment="1" pivotButton="0" quotePrefix="0" xfId="0">
      <alignment horizontal="right" vertical="center"/>
    </xf>
    <xf numFmtId="3" fontId="11" fillId="12" borderId="1" applyAlignment="1" pivotButton="0" quotePrefix="0" xfId="0">
      <alignment horizontal="right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3" fontId="11" fillId="18" borderId="1" applyAlignment="1" pivotButton="0" quotePrefix="0" xfId="0">
      <alignment horizontal="right" vertical="center"/>
    </xf>
    <xf numFmtId="165" fontId="7" fillId="18" borderId="1" applyAlignment="1" pivotButton="0" quotePrefix="0" xfId="0">
      <alignment horizontal="center" vertical="center"/>
    </xf>
    <xf numFmtId="0" fontId="12" fillId="19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0" fontId="9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3" fontId="7" fillId="15" borderId="1" applyAlignment="1" pivotButton="0" quotePrefix="0" xfId="0">
      <alignment horizontal="right" vertical="center"/>
    </xf>
    <xf numFmtId="3" fontId="9" fillId="15" borderId="1" applyAlignment="1" pivotButton="0" quotePrefix="0" xfId="0">
      <alignment horizontal="right" vertical="center"/>
    </xf>
    <xf numFmtId="0" fontId="13" fillId="21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" fontId="14" fillId="9" borderId="1" applyAlignment="1" pivotButton="0" quotePrefix="0" xfId="0">
      <alignment horizontal="center" vertical="center"/>
    </xf>
    <xf numFmtId="1" fontId="14" fillId="22" borderId="1" applyAlignment="1" pivotButton="0" quotePrefix="0" xfId="0">
      <alignment horizontal="center" vertical="center"/>
    </xf>
    <xf numFmtId="1" fontId="14" fillId="23" borderId="1" applyAlignment="1" pivotButton="0" quotePrefix="0" xfId="0">
      <alignment horizontal="center" vertical="center"/>
    </xf>
    <xf numFmtId="1" fontId="15" fillId="10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9" fillId="3" borderId="1" pivotButton="0" quotePrefix="0" xfId="0"/>
    <xf numFmtId="0" fontId="16" fillId="11" borderId="1" applyAlignment="1" pivotButton="0" quotePrefix="0" xfId="0">
      <alignment horizontal="center" vertical="center"/>
    </xf>
    <xf numFmtId="0" fontId="2" fillId="3" borderId="1" pivotButton="0" quotePrefix="0" xfId="0"/>
    <xf numFmtId="0" fontId="17" fillId="8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18" fillId="24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1" fontId="7" fillId="11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3" fontId="7" fillId="1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7" fillId="25" borderId="1" applyAlignment="1" pivotButton="0" quotePrefix="0" xfId="0">
      <alignment horizontal="left" vertical="center"/>
    </xf>
    <xf numFmtId="0" fontId="18" fillId="26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left" vertical="center"/>
    </xf>
    <xf numFmtId="0" fontId="11" fillId="26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left" vertical="center"/>
    </xf>
    <xf numFmtId="0" fontId="10" fillId="25" borderId="1" applyAlignment="1" pivotButton="0" quotePrefix="0" xfId="0">
      <alignment horizontal="right" vertical="center"/>
    </xf>
    <xf numFmtId="3" fontId="8" fillId="25" borderId="1" applyAlignment="1" pivotButton="0" quotePrefix="0" xfId="0">
      <alignment horizontal="right" vertical="center"/>
    </xf>
    <xf numFmtId="0" fontId="0" fillId="25" borderId="1" pivotButton="0" quotePrefix="0" xfId="0"/>
    <xf numFmtId="0" fontId="17" fillId="2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10" fillId="27" borderId="1" applyAlignment="1" pivotButton="0" quotePrefix="0" xfId="0">
      <alignment horizontal="right" vertical="center"/>
    </xf>
    <xf numFmtId="3" fontId="8" fillId="27" borderId="1" applyAlignment="1" pivotButton="0" quotePrefix="0" xfId="0">
      <alignment horizontal="right" vertical="center"/>
    </xf>
    <xf numFmtId="0" fontId="0" fillId="27" borderId="1" pivotButton="0" quotePrefix="0" xfId="0"/>
    <xf numFmtId="0" fontId="17" fillId="28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10" fillId="28" borderId="1" applyAlignment="1" pivotButton="0" quotePrefix="0" xfId="0">
      <alignment horizontal="right" vertical="center"/>
    </xf>
    <xf numFmtId="3" fontId="8" fillId="28" borderId="1" applyAlignment="1" pivotButton="0" quotePrefix="0" xfId="0">
      <alignment horizontal="right" vertical="center"/>
    </xf>
    <xf numFmtId="0" fontId="0" fillId="28" borderId="1" pivotButton="0" quotePrefix="0" xfId="0"/>
    <xf numFmtId="0" fontId="17" fillId="29" borderId="1" applyAlignment="1" pivotButton="0" quotePrefix="0" xfId="0">
      <alignment horizontal="left" vertical="center"/>
    </xf>
    <xf numFmtId="0" fontId="18" fillId="30" borderId="1" applyAlignment="1" pivotButton="0" quotePrefix="0" xfId="0">
      <alignment horizontal="center" vertical="center"/>
    </xf>
    <xf numFmtId="0" fontId="7" fillId="30" borderId="1" applyAlignment="1" pivotButton="0" quotePrefix="0" xfId="0">
      <alignment horizontal="left" vertical="center"/>
    </xf>
    <xf numFmtId="0" fontId="11" fillId="30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left" vertical="center"/>
    </xf>
    <xf numFmtId="0" fontId="10" fillId="29" borderId="1" applyAlignment="1" pivotButton="0" quotePrefix="0" xfId="0">
      <alignment horizontal="right" vertical="center"/>
    </xf>
    <xf numFmtId="3" fontId="8" fillId="29" borderId="1" applyAlignment="1" pivotButton="0" quotePrefix="0" xfId="0">
      <alignment horizontal="right" vertical="center"/>
    </xf>
    <xf numFmtId="0" fontId="0" fillId="29" borderId="1" pivotButton="0" quotePrefix="0" xfId="0"/>
    <xf numFmtId="0" fontId="0" fillId="2" borderId="1" pivotButton="0" quotePrefix="0" xfId="0"/>
    <xf numFmtId="0" fontId="12" fillId="2" borderId="1" applyAlignment="1" pivotButton="0" quotePrefix="0" xfId="0">
      <alignment horizontal="center" vertical="center"/>
    </xf>
    <xf numFmtId="3" fontId="16" fillId="10" borderId="1" applyAlignment="1" pivotButton="0" quotePrefix="0" xfId="0">
      <alignment horizontal="right" vertical="center"/>
    </xf>
    <xf numFmtId="3" fontId="19" fillId="3" borderId="1" pivotButton="0" quotePrefix="0" xfId="0"/>
    <xf numFmtId="0" fontId="20" fillId="24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145A32"/>
      </font>
      <fill>
        <patternFill patternType="solid">
          <fgColor rgb="00C8F7D4"/>
        </patternFill>
      </fill>
    </dxf>
    <dxf>
      <font>
        <b val="1"/>
        <color rgb="001A6B2E"/>
      </font>
      <fill>
        <patternFill patternType="solid">
          <fgColor rgb="00D4EDDA"/>
        </patternFill>
      </fill>
    </dxf>
    <dxf>
      <font>
        <b val="1"/>
        <color rgb="00856404"/>
      </font>
      <fill>
        <patternFill patternType="solid">
          <fgColor rgb="00FFF3CD"/>
        </patternFill>
      </fill>
    </dxf>
    <dxf>
      <font>
        <b val="1"/>
        <color rgb="008B0000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5E"/>
    <outlinePr summaryBelow="1" summaryRight="1"/>
    <pageSetUpPr/>
  </sheetPr>
  <dimension ref="A1:T7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6" customWidth="1" min="14" max="14"/>
    <col width="14" customWidth="1" min="15" max="15"/>
    <col width="10" customWidth="1" min="16" max="16"/>
    <col width="12" customWidth="1" min="17" max="17"/>
    <col width="12" customWidth="1" min="18" max="18"/>
    <col width="16" customWidth="1" min="19" max="19"/>
    <col width="16" customWidth="1" min="20" max="20"/>
  </cols>
  <sheetData>
    <row r="1" ht="34" customHeight="1">
      <c r="A1" s="1" t="inlineStr">
        <is>
          <t>案件別 採算管理　（★黄色セル＝入力　緑セル＝自動計算）</t>
        </is>
      </c>
    </row>
    <row r="2" ht="16" customHeight="1">
      <c r="A2" s="2" t="inlineStr">
        <is>
          <t>【売上】⑤売上原票シートをVLOOKUPで参照（D列=集計月 YYYY-MM を入力すると自動セット）　【原価】黄色セルに毎月入力してください</t>
        </is>
      </c>
    </row>
    <row r="3" ht="16" customHeight="1">
      <c r="A3" s="3" t="inlineStr">
        <is>
          <t>案件ID</t>
        </is>
      </c>
      <c r="B3" s="3" t="inlineStr">
        <is>
          <t>案件名</t>
        </is>
      </c>
      <c r="C3" s="3" t="inlineStr">
        <is>
          <t>集計月
(YYYY-MM)</t>
        </is>
      </c>
      <c r="D3" s="4" t="inlineStr">
        <is>
          <t>売上（VLOOKUPで自動参照）</t>
        </is>
      </c>
      <c r="G3" s="4" t="inlineStr">
        <is>
          <t>その他
売上合計</t>
        </is>
      </c>
      <c r="H3" s="4" t="inlineStr">
        <is>
          <t>売上
合計</t>
        </is>
      </c>
      <c r="I3" s="5" t="inlineStr">
        <is>
          <t>原価　（黄色セルに入力）</t>
        </is>
      </c>
      <c r="P3" s="5" t="inlineStr">
        <is>
          <t>原価
合計</t>
        </is>
      </c>
      <c r="Q3" s="6" t="inlineStr">
        <is>
          <t>粗利益</t>
        </is>
      </c>
      <c r="R3" s="6" t="inlineStr">
        <is>
          <t>粗利率</t>
        </is>
      </c>
      <c r="S3" s="6" t="inlineStr">
        <is>
          <t>採算
判定</t>
        </is>
      </c>
      <c r="T3" s="6" t="inlineStr">
        <is>
          <t>前月比
売上</t>
        </is>
      </c>
    </row>
    <row r="4" ht="38" customHeight="1">
      <c r="D4" s="4" t="inlineStr">
        <is>
          <t>運送
612-1</t>
        </is>
      </c>
      <c r="E4" s="4" t="inlineStr">
        <is>
          <t>入札
612-2</t>
        </is>
      </c>
      <c r="F4" s="4" t="inlineStr">
        <is>
          <t>板橋
615-1</t>
        </is>
      </c>
      <c r="I4" s="5" t="inlineStr">
        <is>
          <t>人件費</t>
        </is>
      </c>
      <c r="J4" s="5" t="inlineStr">
        <is>
          <t>燃料費</t>
        </is>
      </c>
      <c r="K4" s="5" t="inlineStr">
        <is>
          <t>車両
維持費</t>
        </is>
      </c>
      <c r="L4" s="5" t="inlineStr">
        <is>
          <t>中間
処理費</t>
        </is>
      </c>
      <c r="M4" s="5" t="inlineStr">
        <is>
          <t>搬入
運搬費</t>
        </is>
      </c>
      <c r="N4" s="5" t="inlineStr">
        <is>
          <t>電子M
代行費</t>
        </is>
      </c>
      <c r="O4" s="5" t="inlineStr">
        <is>
          <t>管理費</t>
        </is>
      </c>
    </row>
    <row r="5" ht="22" customHeight="1">
      <c r="A5" s="7" t="inlineStr">
        <is>
          <t>C001</t>
        </is>
      </c>
      <c r="B5" s="8" t="inlineStr">
        <is>
          <t>東急グループ案件</t>
        </is>
      </c>
      <c r="C5" s="9" t="inlineStr">
        <is>
          <t>2024-07</t>
        </is>
      </c>
      <c r="D5" s="10">
        <f>IFERROR(VLOOKUP(C5,▼売上原票!$A:$P,3,0)*VLOOKUP("612-1",▼マッピング!$A:$G,4,0)/100,0)</f>
        <v/>
      </c>
      <c r="E5" s="10">
        <f>IFERROR(VLOOKUP(C5,▼売上原票!$A:$P,4,0)*VLOOKUP("612-2",▼マッピング!$A:$G,4,0)/100,0)</f>
        <v/>
      </c>
      <c r="F5" s="10">
        <f>IFERROR(VLOOKUP(C5,▼売上原票!$A:$P,10,0)*VLOOKUP("615-1",▼マッピング!$A:$G,4,0)/100,0)</f>
        <v/>
      </c>
      <c r="G5" s="10">
        <f>IFERROR(VLOOKUP(C5,▼売上原票!$A:$P,5,0)*VLOOKUP("613-1",▼マッピング!$A:$G,4,0)/100,0)+IFERROR(VLOOKUP(C5,▼売上原票!$A:$P,6,0)*VLOOKUP("613-2",▼マッピング!$A:$G,4,0)/100,0)+IFERROR(VLOOKUP(C5,▼売上原票!$A:$P,7,0)*VLOOKUP("614-1",▼マッピング!$A:$G,4,0)/100,0)+IFERROR(VLOOKUP(C5,▼売上原票!$A:$P,8,0)*VLOOKUP("614-2",▼マッピング!$A:$G,4,0)/100,0)+IFERROR(VLOOKUP(C5,▼売上原票!$A:$P,9,0)*VLOOKUP("614-3",▼マッピング!$A:$G,4,0)/100,0)+IFERROR(VLOOKUP(C5,▼売上原票!$A:$P,11,0)*VLOOKUP("615-2",▼マッピング!$A:$G,4,0)/100,0)+IFERROR(VLOOKUP(C5,▼売上原票!$A:$P,12,0)*VLOOKUP("615-3",▼マッピング!$A:$G,4,0)/100,0)+IFERROR(VLOOKUP(C5,▼売上原票!$A:$P,13,0)*VLOOKUP("615-4",▼マッピング!$A:$G,4,0)/100,0)</f>
        <v/>
      </c>
      <c r="H5" s="11">
        <f>D5+E5+F5+G5</f>
        <v/>
      </c>
      <c r="I5" s="12" t="n"/>
      <c r="J5" s="12" t="n"/>
      <c r="K5" s="12" t="n"/>
      <c r="L5" s="12" t="n"/>
      <c r="M5" s="12" t="n"/>
      <c r="N5" s="12" t="n"/>
      <c r="O5" s="12" t="n"/>
      <c r="P5" s="13">
        <f>I5+J5+K5+L5+M5+N5+O5</f>
        <v/>
      </c>
      <c r="Q5" s="14">
        <f>H5-P5</f>
        <v/>
      </c>
      <c r="R5" s="15">
        <f>IF(H5&lt;&gt;0,Q5/H5,0)</f>
        <v/>
      </c>
      <c r="S5" s="16">
        <f>IF(R5&gt;=0.25,"◎ 優良",IF(R5&gt;=0.15,"○ 良好",IF(R5&gt;=0.05,"△ 要注意","× 赤字")))</f>
        <v/>
      </c>
      <c r="T5" s="17" t="inlineStr">
        <is>
          <t>—</t>
        </is>
      </c>
    </row>
    <row r="6" ht="22" customHeight="1">
      <c r="A6" s="7" t="inlineStr">
        <is>
          <t>C001</t>
        </is>
      </c>
      <c r="B6" s="8" t="inlineStr">
        <is>
          <t>東急グループ案件</t>
        </is>
      </c>
      <c r="C6" s="9" t="inlineStr">
        <is>
          <t>2024-08</t>
        </is>
      </c>
      <c r="D6" s="10">
        <f>IFERROR(VLOOKUP(C6,▼売上原票!$A:$P,3,0)*VLOOKUP("612-1",▼マッピング!$A:$G,4,0)/100,0)</f>
        <v/>
      </c>
      <c r="E6" s="10">
        <f>IFERROR(VLOOKUP(C6,▼売上原票!$A:$P,4,0)*VLOOKUP("612-2",▼マッピング!$A:$G,4,0)/100,0)</f>
        <v/>
      </c>
      <c r="F6" s="10">
        <f>IFERROR(VLOOKUP(C6,▼売上原票!$A:$P,10,0)*VLOOKUP("615-1",▼マッピング!$A:$G,4,0)/100,0)</f>
        <v/>
      </c>
      <c r="G6" s="10">
        <f>IFERROR(VLOOKUP(C6,▼売上原票!$A:$P,5,0)*VLOOKUP("613-1",▼マッピング!$A:$G,4,0)/100,0)+IFERROR(VLOOKUP(C6,▼売上原票!$A:$P,6,0)*VLOOKUP("613-2",▼マッピング!$A:$G,4,0)/100,0)+IFERROR(VLOOKUP(C6,▼売上原票!$A:$P,7,0)*VLOOKUP("614-1",▼マッピング!$A:$G,4,0)/100,0)+IFERROR(VLOOKUP(C6,▼売上原票!$A:$P,8,0)*VLOOKUP("614-2",▼マッピング!$A:$G,4,0)/100,0)+IFERROR(VLOOKUP(C6,▼売上原票!$A:$P,9,0)*VLOOKUP("614-3",▼マッピング!$A:$G,4,0)/100,0)+IFERROR(VLOOKUP(C6,▼売上原票!$A:$P,11,0)*VLOOKUP("615-2",▼マッピング!$A:$G,4,0)/100,0)+IFERROR(VLOOKUP(C6,▼売上原票!$A:$P,12,0)*VLOOKUP("615-3",▼マッピング!$A:$G,4,0)/100,0)+IFERROR(VLOOKUP(C6,▼売上原票!$A:$P,13,0)*VLOOKUP("615-4",▼マッピング!$A:$G,4,0)/100,0)</f>
        <v/>
      </c>
      <c r="H6" s="11">
        <f>D6+E6+F6+G6</f>
        <v/>
      </c>
      <c r="I6" s="12" t="n"/>
      <c r="J6" s="12" t="n"/>
      <c r="K6" s="12" t="n"/>
      <c r="L6" s="12" t="n"/>
      <c r="M6" s="12" t="n"/>
      <c r="N6" s="12" t="n"/>
      <c r="O6" s="12" t="n"/>
      <c r="P6" s="13">
        <f>I6+J6+K6+L6+M6+N6+O6</f>
        <v/>
      </c>
      <c r="Q6" s="14">
        <f>H6-P6</f>
        <v/>
      </c>
      <c r="R6" s="15">
        <f>IF(H6&lt;&gt;0,Q6/H6,0)</f>
        <v/>
      </c>
      <c r="S6" s="16">
        <f>IF(R6&gt;=0.25,"◎ 優良",IF(R6&gt;=0.15,"○ 良好",IF(R6&gt;=0.05,"△ 要注意","× 赤字")))</f>
        <v/>
      </c>
      <c r="T6" s="18">
        <f>IF(H5&lt;&gt;0,H6/H5-1,"")</f>
        <v/>
      </c>
    </row>
    <row r="7" ht="22" customHeight="1">
      <c r="A7" s="7" t="inlineStr">
        <is>
          <t>C001</t>
        </is>
      </c>
      <c r="B7" s="8" t="inlineStr">
        <is>
          <t>東急グループ案件</t>
        </is>
      </c>
      <c r="C7" s="9" t="inlineStr">
        <is>
          <t>2024-09</t>
        </is>
      </c>
      <c r="D7" s="10">
        <f>IFERROR(VLOOKUP(C7,▼売上原票!$A:$P,3,0)*VLOOKUP("612-1",▼マッピング!$A:$G,4,0)/100,0)</f>
        <v/>
      </c>
      <c r="E7" s="10">
        <f>IFERROR(VLOOKUP(C7,▼売上原票!$A:$P,4,0)*VLOOKUP("612-2",▼マッピング!$A:$G,4,0)/100,0)</f>
        <v/>
      </c>
      <c r="F7" s="10">
        <f>IFERROR(VLOOKUP(C7,▼売上原票!$A:$P,10,0)*VLOOKUP("615-1",▼マッピング!$A:$G,4,0)/100,0)</f>
        <v/>
      </c>
      <c r="G7" s="10">
        <f>IFERROR(VLOOKUP(C7,▼売上原票!$A:$P,5,0)*VLOOKUP("613-1",▼マッピング!$A:$G,4,0)/100,0)+IFERROR(VLOOKUP(C7,▼売上原票!$A:$P,6,0)*VLOOKUP("613-2",▼マッピング!$A:$G,4,0)/100,0)+IFERROR(VLOOKUP(C7,▼売上原票!$A:$P,7,0)*VLOOKUP("614-1",▼マッピング!$A:$G,4,0)/100,0)+IFERROR(VLOOKUP(C7,▼売上原票!$A:$P,8,0)*VLOOKUP("614-2",▼マッピング!$A:$G,4,0)/100,0)+IFERROR(VLOOKUP(C7,▼売上原票!$A:$P,9,0)*VLOOKUP("614-3",▼マッピング!$A:$G,4,0)/100,0)+IFERROR(VLOOKUP(C7,▼売上原票!$A:$P,11,0)*VLOOKUP("615-2",▼マッピング!$A:$G,4,0)/100,0)+IFERROR(VLOOKUP(C7,▼売上原票!$A:$P,12,0)*VLOOKUP("615-3",▼マッピング!$A:$G,4,0)/100,0)+IFERROR(VLOOKUP(C7,▼売上原票!$A:$P,13,0)*VLOOKUP("615-4",▼マッピング!$A:$G,4,0)/100,0)</f>
        <v/>
      </c>
      <c r="H7" s="11">
        <f>D7+E7+F7+G7</f>
        <v/>
      </c>
      <c r="I7" s="12" t="n"/>
      <c r="J7" s="12" t="n"/>
      <c r="K7" s="12" t="n"/>
      <c r="L7" s="12" t="n"/>
      <c r="M7" s="12" t="n"/>
      <c r="N7" s="12" t="n"/>
      <c r="O7" s="12" t="n"/>
      <c r="P7" s="13">
        <f>I7+J7+K7+L7+M7+N7+O7</f>
        <v/>
      </c>
      <c r="Q7" s="14">
        <f>H7-P7</f>
        <v/>
      </c>
      <c r="R7" s="15">
        <f>IF(H7&lt;&gt;0,Q7/H7,0)</f>
        <v/>
      </c>
      <c r="S7" s="16">
        <f>IF(R7&gt;=0.25,"◎ 優良",IF(R7&gt;=0.15,"○ 良好",IF(R7&gt;=0.05,"△ 要注意","× 赤字")))</f>
        <v/>
      </c>
      <c r="T7" s="18">
        <f>IF(H6&lt;&gt;0,H7/H6-1,"")</f>
        <v/>
      </c>
    </row>
    <row r="8" ht="22" customHeight="1">
      <c r="A8" s="7" t="inlineStr">
        <is>
          <t>C001</t>
        </is>
      </c>
      <c r="B8" s="8" t="inlineStr">
        <is>
          <t>東急グループ案件</t>
        </is>
      </c>
      <c r="C8" s="9" t="inlineStr">
        <is>
          <t>2024-10</t>
        </is>
      </c>
      <c r="D8" s="10">
        <f>IFERROR(VLOOKUP(C8,▼売上原票!$A:$P,3,0)*VLOOKUP("612-1",▼マッピング!$A:$G,4,0)/100,0)</f>
        <v/>
      </c>
      <c r="E8" s="10">
        <f>IFERROR(VLOOKUP(C8,▼売上原票!$A:$P,4,0)*VLOOKUP("612-2",▼マッピング!$A:$G,4,0)/100,0)</f>
        <v/>
      </c>
      <c r="F8" s="10">
        <f>IFERROR(VLOOKUP(C8,▼売上原票!$A:$P,10,0)*VLOOKUP("615-1",▼マッピング!$A:$G,4,0)/100,0)</f>
        <v/>
      </c>
      <c r="G8" s="10">
        <f>IFERROR(VLOOKUP(C8,▼売上原票!$A:$P,5,0)*VLOOKUP("613-1",▼マッピング!$A:$G,4,0)/100,0)+IFERROR(VLOOKUP(C8,▼売上原票!$A:$P,6,0)*VLOOKUP("613-2",▼マッピング!$A:$G,4,0)/100,0)+IFERROR(VLOOKUP(C8,▼売上原票!$A:$P,7,0)*VLOOKUP("614-1",▼マッピング!$A:$G,4,0)/100,0)+IFERROR(VLOOKUP(C8,▼売上原票!$A:$P,8,0)*VLOOKUP("614-2",▼マッピング!$A:$G,4,0)/100,0)+IFERROR(VLOOKUP(C8,▼売上原票!$A:$P,9,0)*VLOOKUP("614-3",▼マッピング!$A:$G,4,0)/100,0)+IFERROR(VLOOKUP(C8,▼売上原票!$A:$P,11,0)*VLOOKUP("615-2",▼マッピング!$A:$G,4,0)/100,0)+IFERROR(VLOOKUP(C8,▼売上原票!$A:$P,12,0)*VLOOKUP("615-3",▼マッピング!$A:$G,4,0)/100,0)+IFERROR(VLOOKUP(C8,▼売上原票!$A:$P,13,0)*VLOOKUP("615-4",▼マッピング!$A:$G,4,0)/100,0)</f>
        <v/>
      </c>
      <c r="H8" s="11">
        <f>D8+E8+F8+G8</f>
        <v/>
      </c>
      <c r="I8" s="12" t="n"/>
      <c r="J8" s="12" t="n"/>
      <c r="K8" s="12" t="n"/>
      <c r="L8" s="12" t="n"/>
      <c r="M8" s="12" t="n"/>
      <c r="N8" s="12" t="n"/>
      <c r="O8" s="12" t="n"/>
      <c r="P8" s="13">
        <f>I8+J8+K8+L8+M8+N8+O8</f>
        <v/>
      </c>
      <c r="Q8" s="14">
        <f>H8-P8</f>
        <v/>
      </c>
      <c r="R8" s="15">
        <f>IF(H8&lt;&gt;0,Q8/H8,0)</f>
        <v/>
      </c>
      <c r="S8" s="16">
        <f>IF(R8&gt;=0.25,"◎ 優良",IF(R8&gt;=0.15,"○ 良好",IF(R8&gt;=0.05,"△ 要注意","× 赤字")))</f>
        <v/>
      </c>
      <c r="T8" s="18">
        <f>IF(H7&lt;&gt;0,H8/H7-1,"")</f>
        <v/>
      </c>
    </row>
    <row r="9" ht="22" customHeight="1">
      <c r="A9" s="7" t="inlineStr">
        <is>
          <t>C001</t>
        </is>
      </c>
      <c r="B9" s="8" t="inlineStr">
        <is>
          <t>東急グループ案件</t>
        </is>
      </c>
      <c r="C9" s="9" t="inlineStr">
        <is>
          <t>2024-11</t>
        </is>
      </c>
      <c r="D9" s="10">
        <f>IFERROR(VLOOKUP(C9,▼売上原票!$A:$P,3,0)*VLOOKUP("612-1",▼マッピング!$A:$G,4,0)/100,0)</f>
        <v/>
      </c>
      <c r="E9" s="10">
        <f>IFERROR(VLOOKUP(C9,▼売上原票!$A:$P,4,0)*VLOOKUP("612-2",▼マッピング!$A:$G,4,0)/100,0)</f>
        <v/>
      </c>
      <c r="F9" s="10">
        <f>IFERROR(VLOOKUP(C9,▼売上原票!$A:$P,10,0)*VLOOKUP("615-1",▼マッピング!$A:$G,4,0)/100,0)</f>
        <v/>
      </c>
      <c r="G9" s="10">
        <f>IFERROR(VLOOKUP(C9,▼売上原票!$A:$P,5,0)*VLOOKUP("613-1",▼マッピング!$A:$G,4,0)/100,0)+IFERROR(VLOOKUP(C9,▼売上原票!$A:$P,6,0)*VLOOKUP("613-2",▼マッピング!$A:$G,4,0)/100,0)+IFERROR(VLOOKUP(C9,▼売上原票!$A:$P,7,0)*VLOOKUP("614-1",▼マッピング!$A:$G,4,0)/100,0)+IFERROR(VLOOKUP(C9,▼売上原票!$A:$P,8,0)*VLOOKUP("614-2",▼マッピング!$A:$G,4,0)/100,0)+IFERROR(VLOOKUP(C9,▼売上原票!$A:$P,9,0)*VLOOKUP("614-3",▼マッピング!$A:$G,4,0)/100,0)+IFERROR(VLOOKUP(C9,▼売上原票!$A:$P,11,0)*VLOOKUP("615-2",▼マッピング!$A:$G,4,0)/100,0)+IFERROR(VLOOKUP(C9,▼売上原票!$A:$P,12,0)*VLOOKUP("615-3",▼マッピング!$A:$G,4,0)/100,0)+IFERROR(VLOOKUP(C9,▼売上原票!$A:$P,13,0)*VLOOKUP("615-4",▼マッピング!$A:$G,4,0)/100,0)</f>
        <v/>
      </c>
      <c r="H9" s="11">
        <f>D9+E9+F9+G9</f>
        <v/>
      </c>
      <c r="I9" s="12" t="n"/>
      <c r="J9" s="12" t="n"/>
      <c r="K9" s="12" t="n"/>
      <c r="L9" s="12" t="n"/>
      <c r="M9" s="12" t="n"/>
      <c r="N9" s="12" t="n"/>
      <c r="O9" s="12" t="n"/>
      <c r="P9" s="13">
        <f>I9+J9+K9+L9+M9+N9+O9</f>
        <v/>
      </c>
      <c r="Q9" s="14">
        <f>H9-P9</f>
        <v/>
      </c>
      <c r="R9" s="15">
        <f>IF(H9&lt;&gt;0,Q9/H9,0)</f>
        <v/>
      </c>
      <c r="S9" s="16">
        <f>IF(R9&gt;=0.25,"◎ 優良",IF(R9&gt;=0.15,"○ 良好",IF(R9&gt;=0.05,"△ 要注意","× 赤字")))</f>
        <v/>
      </c>
      <c r="T9" s="18">
        <f>IF(H8&lt;&gt;0,H9/H8-1,"")</f>
        <v/>
      </c>
    </row>
    <row r="10" ht="22" customHeight="1">
      <c r="A10" s="7" t="inlineStr">
        <is>
          <t>C001</t>
        </is>
      </c>
      <c r="B10" s="8" t="inlineStr">
        <is>
          <t>東急グループ案件</t>
        </is>
      </c>
      <c r="C10" s="9" t="inlineStr">
        <is>
          <t>2024-12</t>
        </is>
      </c>
      <c r="D10" s="10">
        <f>IFERROR(VLOOKUP(C10,▼売上原票!$A:$P,3,0)*VLOOKUP("612-1",▼マッピング!$A:$G,4,0)/100,0)</f>
        <v/>
      </c>
      <c r="E10" s="10">
        <f>IFERROR(VLOOKUP(C10,▼売上原票!$A:$P,4,0)*VLOOKUP("612-2",▼マッピング!$A:$G,4,0)/100,0)</f>
        <v/>
      </c>
      <c r="F10" s="10">
        <f>IFERROR(VLOOKUP(C10,▼売上原票!$A:$P,10,0)*VLOOKUP("615-1",▼マッピング!$A:$G,4,0)/100,0)</f>
        <v/>
      </c>
      <c r="G10" s="10">
        <f>IFERROR(VLOOKUP(C10,▼売上原票!$A:$P,5,0)*VLOOKUP("613-1",▼マッピング!$A:$G,4,0)/100,0)+IFERROR(VLOOKUP(C10,▼売上原票!$A:$P,6,0)*VLOOKUP("613-2",▼マッピング!$A:$G,4,0)/100,0)+IFERROR(VLOOKUP(C10,▼売上原票!$A:$P,7,0)*VLOOKUP("614-1",▼マッピング!$A:$G,4,0)/100,0)+IFERROR(VLOOKUP(C10,▼売上原票!$A:$P,8,0)*VLOOKUP("614-2",▼マッピング!$A:$G,4,0)/100,0)+IFERROR(VLOOKUP(C10,▼売上原票!$A:$P,9,0)*VLOOKUP("614-3",▼マッピング!$A:$G,4,0)/100,0)+IFERROR(VLOOKUP(C10,▼売上原票!$A:$P,11,0)*VLOOKUP("615-2",▼マッピング!$A:$G,4,0)/100,0)+IFERROR(VLOOKUP(C10,▼売上原票!$A:$P,12,0)*VLOOKUP("615-3",▼マッピング!$A:$G,4,0)/100,0)+IFERROR(VLOOKUP(C10,▼売上原票!$A:$P,13,0)*VLOOKUP("615-4",▼マッピング!$A:$G,4,0)/100,0)</f>
        <v/>
      </c>
      <c r="H10" s="11">
        <f>D10+E10+F10+G10</f>
        <v/>
      </c>
      <c r="I10" s="12" t="n"/>
      <c r="J10" s="12" t="n"/>
      <c r="K10" s="12" t="n"/>
      <c r="L10" s="12" t="n"/>
      <c r="M10" s="12" t="n"/>
      <c r="N10" s="12" t="n"/>
      <c r="O10" s="12" t="n"/>
      <c r="P10" s="13">
        <f>I10+J10+K10+L10+M10+N10+O10</f>
        <v/>
      </c>
      <c r="Q10" s="14">
        <f>H10-P10</f>
        <v/>
      </c>
      <c r="R10" s="15">
        <f>IF(H10&lt;&gt;0,Q10/H10,0)</f>
        <v/>
      </c>
      <c r="S10" s="16">
        <f>IF(R10&gt;=0.25,"◎ 優良",IF(R10&gt;=0.15,"○ 良好",IF(R10&gt;=0.05,"△ 要注意","× 赤字")))</f>
        <v/>
      </c>
      <c r="T10" s="18">
        <f>IF(H9&lt;&gt;0,H10/H9-1,"")</f>
        <v/>
      </c>
    </row>
    <row r="11" ht="22" customHeight="1">
      <c r="A11" s="7" t="inlineStr">
        <is>
          <t>C001</t>
        </is>
      </c>
      <c r="B11" s="8" t="inlineStr">
        <is>
          <t>東急グループ案件</t>
        </is>
      </c>
      <c r="C11" s="9" t="inlineStr">
        <is>
          <t>2025-01</t>
        </is>
      </c>
      <c r="D11" s="10">
        <f>IFERROR(VLOOKUP(C11,▼売上原票!$A:$P,3,0)*VLOOKUP("612-1",▼マッピング!$A:$G,4,0)/100,0)</f>
        <v/>
      </c>
      <c r="E11" s="10">
        <f>IFERROR(VLOOKUP(C11,▼売上原票!$A:$P,4,0)*VLOOKUP("612-2",▼マッピング!$A:$G,4,0)/100,0)</f>
        <v/>
      </c>
      <c r="F11" s="10">
        <f>IFERROR(VLOOKUP(C11,▼売上原票!$A:$P,10,0)*VLOOKUP("615-1",▼マッピング!$A:$G,4,0)/100,0)</f>
        <v/>
      </c>
      <c r="G11" s="10">
        <f>IFERROR(VLOOKUP(C11,▼売上原票!$A:$P,5,0)*VLOOKUP("613-1",▼マッピング!$A:$G,4,0)/100,0)+IFERROR(VLOOKUP(C11,▼売上原票!$A:$P,6,0)*VLOOKUP("613-2",▼マッピング!$A:$G,4,0)/100,0)+IFERROR(VLOOKUP(C11,▼売上原票!$A:$P,7,0)*VLOOKUP("614-1",▼マッピング!$A:$G,4,0)/100,0)+IFERROR(VLOOKUP(C11,▼売上原票!$A:$P,8,0)*VLOOKUP("614-2",▼マッピング!$A:$G,4,0)/100,0)+IFERROR(VLOOKUP(C11,▼売上原票!$A:$P,9,0)*VLOOKUP("614-3",▼マッピング!$A:$G,4,0)/100,0)+IFERROR(VLOOKUP(C11,▼売上原票!$A:$P,11,0)*VLOOKUP("615-2",▼マッピング!$A:$G,4,0)/100,0)+IFERROR(VLOOKUP(C11,▼売上原票!$A:$P,12,0)*VLOOKUP("615-3",▼マッピング!$A:$G,4,0)/100,0)+IFERROR(VLOOKUP(C11,▼売上原票!$A:$P,13,0)*VLOOKUP("615-4",▼マッピング!$A:$G,4,0)/100,0)</f>
        <v/>
      </c>
      <c r="H11" s="11">
        <f>D11+E11+F11+G11</f>
        <v/>
      </c>
      <c r="I11" s="12" t="n"/>
      <c r="J11" s="12" t="n"/>
      <c r="K11" s="12" t="n"/>
      <c r="L11" s="12" t="n"/>
      <c r="M11" s="12" t="n"/>
      <c r="N11" s="12" t="n"/>
      <c r="O11" s="12" t="n"/>
      <c r="P11" s="13">
        <f>I11+J11+K11+L11+M11+N11+O11</f>
        <v/>
      </c>
      <c r="Q11" s="14">
        <f>H11-P11</f>
        <v/>
      </c>
      <c r="R11" s="15">
        <f>IF(H11&lt;&gt;0,Q11/H11,0)</f>
        <v/>
      </c>
      <c r="S11" s="16">
        <f>IF(R11&gt;=0.25,"◎ 優良",IF(R11&gt;=0.15,"○ 良好",IF(R11&gt;=0.05,"△ 要注意","× 赤字")))</f>
        <v/>
      </c>
      <c r="T11" s="18">
        <f>IF(H10&lt;&gt;0,H11/H10-1,"")</f>
        <v/>
      </c>
    </row>
    <row r="12" ht="22" customHeight="1">
      <c r="A12" s="7" t="inlineStr">
        <is>
          <t>C001</t>
        </is>
      </c>
      <c r="B12" s="8" t="inlineStr">
        <is>
          <t>東急グループ案件</t>
        </is>
      </c>
      <c r="C12" s="9" t="inlineStr">
        <is>
          <t>2025-02</t>
        </is>
      </c>
      <c r="D12" s="10">
        <f>IFERROR(VLOOKUP(C12,▼売上原票!$A:$P,3,0)*VLOOKUP("612-1",▼マッピング!$A:$G,4,0)/100,0)</f>
        <v/>
      </c>
      <c r="E12" s="10">
        <f>IFERROR(VLOOKUP(C12,▼売上原票!$A:$P,4,0)*VLOOKUP("612-2",▼マッピング!$A:$G,4,0)/100,0)</f>
        <v/>
      </c>
      <c r="F12" s="10">
        <f>IFERROR(VLOOKUP(C12,▼売上原票!$A:$P,10,0)*VLOOKUP("615-1",▼マッピング!$A:$G,4,0)/100,0)</f>
        <v/>
      </c>
      <c r="G12" s="10">
        <f>IFERROR(VLOOKUP(C12,▼売上原票!$A:$P,5,0)*VLOOKUP("613-1",▼マッピング!$A:$G,4,0)/100,0)+IFERROR(VLOOKUP(C12,▼売上原票!$A:$P,6,0)*VLOOKUP("613-2",▼マッピング!$A:$G,4,0)/100,0)+IFERROR(VLOOKUP(C12,▼売上原票!$A:$P,7,0)*VLOOKUP("614-1",▼マッピング!$A:$G,4,0)/100,0)+IFERROR(VLOOKUP(C12,▼売上原票!$A:$P,8,0)*VLOOKUP("614-2",▼マッピング!$A:$G,4,0)/100,0)+IFERROR(VLOOKUP(C12,▼売上原票!$A:$P,9,0)*VLOOKUP("614-3",▼マッピング!$A:$G,4,0)/100,0)+IFERROR(VLOOKUP(C12,▼売上原票!$A:$P,11,0)*VLOOKUP("615-2",▼マッピング!$A:$G,4,0)/100,0)+IFERROR(VLOOKUP(C12,▼売上原票!$A:$P,12,0)*VLOOKUP("615-3",▼マッピング!$A:$G,4,0)/100,0)+IFERROR(VLOOKUP(C12,▼売上原票!$A:$P,13,0)*VLOOKUP("615-4",▼マッピング!$A:$G,4,0)/100,0)</f>
        <v/>
      </c>
      <c r="H12" s="11">
        <f>D12+E12+F12+G12</f>
        <v/>
      </c>
      <c r="I12" s="12" t="n"/>
      <c r="J12" s="12" t="n"/>
      <c r="K12" s="12" t="n"/>
      <c r="L12" s="12" t="n"/>
      <c r="M12" s="12" t="n"/>
      <c r="N12" s="12" t="n"/>
      <c r="O12" s="12" t="n"/>
      <c r="P12" s="13">
        <f>I12+J12+K12+L12+M12+N12+O12</f>
        <v/>
      </c>
      <c r="Q12" s="14">
        <f>H12-P12</f>
        <v/>
      </c>
      <c r="R12" s="15">
        <f>IF(H12&lt;&gt;0,Q12/H12,0)</f>
        <v/>
      </c>
      <c r="S12" s="16">
        <f>IF(R12&gt;=0.25,"◎ 優良",IF(R12&gt;=0.15,"○ 良好",IF(R12&gt;=0.05,"△ 要注意","× 赤字")))</f>
        <v/>
      </c>
      <c r="T12" s="18">
        <f>IF(H11&lt;&gt;0,H12/H11-1,"")</f>
        <v/>
      </c>
    </row>
    <row r="13" ht="22" customHeight="1">
      <c r="A13" s="7" t="inlineStr">
        <is>
          <t>C001</t>
        </is>
      </c>
      <c r="B13" s="8" t="inlineStr">
        <is>
          <t>東急グループ案件</t>
        </is>
      </c>
      <c r="C13" s="9" t="inlineStr">
        <is>
          <t>2025-03</t>
        </is>
      </c>
      <c r="D13" s="10">
        <f>IFERROR(VLOOKUP(C13,▼売上原票!$A:$P,3,0)*VLOOKUP("612-1",▼マッピング!$A:$G,4,0)/100,0)</f>
        <v/>
      </c>
      <c r="E13" s="10">
        <f>IFERROR(VLOOKUP(C13,▼売上原票!$A:$P,4,0)*VLOOKUP("612-2",▼マッピング!$A:$G,4,0)/100,0)</f>
        <v/>
      </c>
      <c r="F13" s="10">
        <f>IFERROR(VLOOKUP(C13,▼売上原票!$A:$P,10,0)*VLOOKUP("615-1",▼マッピング!$A:$G,4,0)/100,0)</f>
        <v/>
      </c>
      <c r="G13" s="10">
        <f>IFERROR(VLOOKUP(C13,▼売上原票!$A:$P,5,0)*VLOOKUP("613-1",▼マッピング!$A:$G,4,0)/100,0)+IFERROR(VLOOKUP(C13,▼売上原票!$A:$P,6,0)*VLOOKUP("613-2",▼マッピング!$A:$G,4,0)/100,0)+IFERROR(VLOOKUP(C13,▼売上原票!$A:$P,7,0)*VLOOKUP("614-1",▼マッピング!$A:$G,4,0)/100,0)+IFERROR(VLOOKUP(C13,▼売上原票!$A:$P,8,0)*VLOOKUP("614-2",▼マッピング!$A:$G,4,0)/100,0)+IFERROR(VLOOKUP(C13,▼売上原票!$A:$P,9,0)*VLOOKUP("614-3",▼マッピング!$A:$G,4,0)/100,0)+IFERROR(VLOOKUP(C13,▼売上原票!$A:$P,11,0)*VLOOKUP("615-2",▼マッピング!$A:$G,4,0)/100,0)+IFERROR(VLOOKUP(C13,▼売上原票!$A:$P,12,0)*VLOOKUP("615-3",▼マッピング!$A:$G,4,0)/100,0)+IFERROR(VLOOKUP(C13,▼売上原票!$A:$P,13,0)*VLOOKUP("615-4",▼マッピング!$A:$G,4,0)/100,0)</f>
        <v/>
      </c>
      <c r="H13" s="11">
        <f>D13+E13+F13+G13</f>
        <v/>
      </c>
      <c r="I13" s="12" t="n"/>
      <c r="J13" s="12" t="n"/>
      <c r="K13" s="12" t="n"/>
      <c r="L13" s="12" t="n"/>
      <c r="M13" s="12" t="n"/>
      <c r="N13" s="12" t="n"/>
      <c r="O13" s="12" t="n"/>
      <c r="P13" s="13">
        <f>I13+J13+K13+L13+M13+N13+O13</f>
        <v/>
      </c>
      <c r="Q13" s="14">
        <f>H13-P13</f>
        <v/>
      </c>
      <c r="R13" s="15">
        <f>IF(H13&lt;&gt;0,Q13/H13,0)</f>
        <v/>
      </c>
      <c r="S13" s="16">
        <f>IF(R13&gt;=0.25,"◎ 優良",IF(R13&gt;=0.15,"○ 良好",IF(R13&gt;=0.05,"△ 要注意","× 赤字")))</f>
        <v/>
      </c>
      <c r="T13" s="18">
        <f>IF(H12&lt;&gt;0,H13/H12-1,"")</f>
        <v/>
      </c>
    </row>
    <row r="14" ht="22" customHeight="1">
      <c r="A14" s="7" t="inlineStr">
        <is>
          <t>C001</t>
        </is>
      </c>
      <c r="B14" s="8" t="inlineStr">
        <is>
          <t>東急グループ案件</t>
        </is>
      </c>
      <c r="C14" s="9" t="inlineStr">
        <is>
          <t>2025-04</t>
        </is>
      </c>
      <c r="D14" s="10">
        <f>IFERROR(VLOOKUP(C14,▼売上原票!$A:$P,3,0)*VLOOKUP("612-1",▼マッピング!$A:$G,4,0)/100,0)</f>
        <v/>
      </c>
      <c r="E14" s="10">
        <f>IFERROR(VLOOKUP(C14,▼売上原票!$A:$P,4,0)*VLOOKUP("612-2",▼マッピング!$A:$G,4,0)/100,0)</f>
        <v/>
      </c>
      <c r="F14" s="10">
        <f>IFERROR(VLOOKUP(C14,▼売上原票!$A:$P,10,0)*VLOOKUP("615-1",▼マッピング!$A:$G,4,0)/100,0)</f>
        <v/>
      </c>
      <c r="G14" s="10">
        <f>IFERROR(VLOOKUP(C14,▼売上原票!$A:$P,5,0)*VLOOKUP("613-1",▼マッピング!$A:$G,4,0)/100,0)+IFERROR(VLOOKUP(C14,▼売上原票!$A:$P,6,0)*VLOOKUP("613-2",▼マッピング!$A:$G,4,0)/100,0)+IFERROR(VLOOKUP(C14,▼売上原票!$A:$P,7,0)*VLOOKUP("614-1",▼マッピング!$A:$G,4,0)/100,0)+IFERROR(VLOOKUP(C14,▼売上原票!$A:$P,8,0)*VLOOKUP("614-2",▼マッピング!$A:$G,4,0)/100,0)+IFERROR(VLOOKUP(C14,▼売上原票!$A:$P,9,0)*VLOOKUP("614-3",▼マッピング!$A:$G,4,0)/100,0)+IFERROR(VLOOKUP(C14,▼売上原票!$A:$P,11,0)*VLOOKUP("615-2",▼マッピング!$A:$G,4,0)/100,0)+IFERROR(VLOOKUP(C14,▼売上原票!$A:$P,12,0)*VLOOKUP("615-3",▼マッピング!$A:$G,4,0)/100,0)+IFERROR(VLOOKUP(C14,▼売上原票!$A:$P,13,0)*VLOOKUP("615-4",▼マッピング!$A:$G,4,0)/100,0)</f>
        <v/>
      </c>
      <c r="H14" s="11">
        <f>D14+E14+F14+G14</f>
        <v/>
      </c>
      <c r="I14" s="12" t="n"/>
      <c r="J14" s="12" t="n"/>
      <c r="K14" s="12" t="n"/>
      <c r="L14" s="12" t="n"/>
      <c r="M14" s="12" t="n"/>
      <c r="N14" s="12" t="n"/>
      <c r="O14" s="12" t="n"/>
      <c r="P14" s="13">
        <f>I14+J14+K14+L14+M14+N14+O14</f>
        <v/>
      </c>
      <c r="Q14" s="14">
        <f>H14-P14</f>
        <v/>
      </c>
      <c r="R14" s="15">
        <f>IF(H14&lt;&gt;0,Q14/H14,0)</f>
        <v/>
      </c>
      <c r="S14" s="16">
        <f>IF(R14&gt;=0.25,"◎ 優良",IF(R14&gt;=0.15,"○ 良好",IF(R14&gt;=0.05,"△ 要注意","× 赤字")))</f>
        <v/>
      </c>
      <c r="T14" s="18">
        <f>IF(H13&lt;&gt;0,H14/H13-1,"")</f>
        <v/>
      </c>
    </row>
    <row r="15" ht="22" customHeight="1">
      <c r="A15" s="7" t="inlineStr">
        <is>
          <t>C001</t>
        </is>
      </c>
      <c r="B15" s="8" t="inlineStr">
        <is>
          <t>東急グループ案件</t>
        </is>
      </c>
      <c r="C15" s="9" t="inlineStr">
        <is>
          <t>2025-05</t>
        </is>
      </c>
      <c r="D15" s="10">
        <f>IFERROR(VLOOKUP(C15,▼売上原票!$A:$P,3,0)*VLOOKUP("612-1",▼マッピング!$A:$G,4,0)/100,0)</f>
        <v/>
      </c>
      <c r="E15" s="10">
        <f>IFERROR(VLOOKUP(C15,▼売上原票!$A:$P,4,0)*VLOOKUP("612-2",▼マッピング!$A:$G,4,0)/100,0)</f>
        <v/>
      </c>
      <c r="F15" s="10">
        <f>IFERROR(VLOOKUP(C15,▼売上原票!$A:$P,10,0)*VLOOKUP("615-1",▼マッピング!$A:$G,4,0)/100,0)</f>
        <v/>
      </c>
      <c r="G15" s="10">
        <f>IFERROR(VLOOKUP(C15,▼売上原票!$A:$P,5,0)*VLOOKUP("613-1",▼マッピング!$A:$G,4,0)/100,0)+IFERROR(VLOOKUP(C15,▼売上原票!$A:$P,6,0)*VLOOKUP("613-2",▼マッピング!$A:$G,4,0)/100,0)+IFERROR(VLOOKUP(C15,▼売上原票!$A:$P,7,0)*VLOOKUP("614-1",▼マッピング!$A:$G,4,0)/100,0)+IFERROR(VLOOKUP(C15,▼売上原票!$A:$P,8,0)*VLOOKUP("614-2",▼マッピング!$A:$G,4,0)/100,0)+IFERROR(VLOOKUP(C15,▼売上原票!$A:$P,9,0)*VLOOKUP("614-3",▼マッピング!$A:$G,4,0)/100,0)+IFERROR(VLOOKUP(C15,▼売上原票!$A:$P,11,0)*VLOOKUP("615-2",▼マッピング!$A:$G,4,0)/100,0)+IFERROR(VLOOKUP(C15,▼売上原票!$A:$P,12,0)*VLOOKUP("615-3",▼マッピング!$A:$G,4,0)/100,0)+IFERROR(VLOOKUP(C15,▼売上原票!$A:$P,13,0)*VLOOKUP("615-4",▼マッピング!$A:$G,4,0)/100,0)</f>
        <v/>
      </c>
      <c r="H15" s="11">
        <f>D15+E15+F15+G15</f>
        <v/>
      </c>
      <c r="I15" s="12" t="n"/>
      <c r="J15" s="12" t="n"/>
      <c r="K15" s="12" t="n"/>
      <c r="L15" s="12" t="n"/>
      <c r="M15" s="12" t="n"/>
      <c r="N15" s="12" t="n"/>
      <c r="O15" s="12" t="n"/>
      <c r="P15" s="13">
        <f>I15+J15+K15+L15+M15+N15+O15</f>
        <v/>
      </c>
      <c r="Q15" s="14">
        <f>H15-P15</f>
        <v/>
      </c>
      <c r="R15" s="15">
        <f>IF(H15&lt;&gt;0,Q15/H15,0)</f>
        <v/>
      </c>
      <c r="S15" s="16">
        <f>IF(R15&gt;=0.25,"◎ 優良",IF(R15&gt;=0.15,"○ 良好",IF(R15&gt;=0.05,"△ 要注意","× 赤字")))</f>
        <v/>
      </c>
      <c r="T15" s="18">
        <f>IF(H14&lt;&gt;0,H15/H14-1,"")</f>
        <v/>
      </c>
    </row>
    <row r="16" ht="22" customHeight="1">
      <c r="A16" s="7" t="inlineStr">
        <is>
          <t>C001</t>
        </is>
      </c>
      <c r="B16" s="8" t="inlineStr">
        <is>
          <t>東急グループ案件</t>
        </is>
      </c>
      <c r="C16" s="9" t="inlineStr">
        <is>
          <t>2025-06</t>
        </is>
      </c>
      <c r="D16" s="10">
        <f>IFERROR(VLOOKUP(C16,▼売上原票!$A:$P,3,0)*VLOOKUP("612-1",▼マッピング!$A:$G,4,0)/100,0)</f>
        <v/>
      </c>
      <c r="E16" s="10">
        <f>IFERROR(VLOOKUP(C16,▼売上原票!$A:$P,4,0)*VLOOKUP("612-2",▼マッピング!$A:$G,4,0)/100,0)</f>
        <v/>
      </c>
      <c r="F16" s="10">
        <f>IFERROR(VLOOKUP(C16,▼売上原票!$A:$P,10,0)*VLOOKUP("615-1",▼マッピング!$A:$G,4,0)/100,0)</f>
        <v/>
      </c>
      <c r="G16" s="10">
        <f>IFERROR(VLOOKUP(C16,▼売上原票!$A:$P,5,0)*VLOOKUP("613-1",▼マッピング!$A:$G,4,0)/100,0)+IFERROR(VLOOKUP(C16,▼売上原票!$A:$P,6,0)*VLOOKUP("613-2",▼マッピング!$A:$G,4,0)/100,0)+IFERROR(VLOOKUP(C16,▼売上原票!$A:$P,7,0)*VLOOKUP("614-1",▼マッピング!$A:$G,4,0)/100,0)+IFERROR(VLOOKUP(C16,▼売上原票!$A:$P,8,0)*VLOOKUP("614-2",▼マッピング!$A:$G,4,0)/100,0)+IFERROR(VLOOKUP(C16,▼売上原票!$A:$P,9,0)*VLOOKUP("614-3",▼マッピング!$A:$G,4,0)/100,0)+IFERROR(VLOOKUP(C16,▼売上原票!$A:$P,11,0)*VLOOKUP("615-2",▼マッピング!$A:$G,4,0)/100,0)+IFERROR(VLOOKUP(C16,▼売上原票!$A:$P,12,0)*VLOOKUP("615-3",▼マッピング!$A:$G,4,0)/100,0)+IFERROR(VLOOKUP(C16,▼売上原票!$A:$P,13,0)*VLOOKUP("615-4",▼マッピング!$A:$G,4,0)/100,0)</f>
        <v/>
      </c>
      <c r="H16" s="11">
        <f>D16+E16+F16+G16</f>
        <v/>
      </c>
      <c r="I16" s="12" t="n"/>
      <c r="J16" s="12" t="n"/>
      <c r="K16" s="12" t="n"/>
      <c r="L16" s="12" t="n"/>
      <c r="M16" s="12" t="n"/>
      <c r="N16" s="12" t="n"/>
      <c r="O16" s="12" t="n"/>
      <c r="P16" s="13">
        <f>I16+J16+K16+L16+M16+N16+O16</f>
        <v/>
      </c>
      <c r="Q16" s="14">
        <f>H16-P16</f>
        <v/>
      </c>
      <c r="R16" s="15">
        <f>IF(H16&lt;&gt;0,Q16/H16,0)</f>
        <v/>
      </c>
      <c r="S16" s="16">
        <f>IF(R16&gt;=0.25,"◎ 優良",IF(R16&gt;=0.15,"○ 良好",IF(R16&gt;=0.05,"△ 要注意","× 赤字")))</f>
        <v/>
      </c>
      <c r="T16" s="18">
        <f>IF(H15&lt;&gt;0,H16/H15-1,"")</f>
        <v/>
      </c>
    </row>
    <row r="17" ht="22" customHeight="1">
      <c r="A17" s="7" t="inlineStr">
        <is>
          <t>C001</t>
        </is>
      </c>
      <c r="B17" s="8" t="inlineStr">
        <is>
          <t>東急グループ案件</t>
        </is>
      </c>
      <c r="C17" s="9" t="inlineStr">
        <is>
          <t>2025-07</t>
        </is>
      </c>
      <c r="D17" s="10">
        <f>IFERROR(VLOOKUP(C17,▼売上原票!$A:$P,3,0)*VLOOKUP("612-1",▼マッピング!$A:$G,4,0)/100,0)</f>
        <v/>
      </c>
      <c r="E17" s="10">
        <f>IFERROR(VLOOKUP(C17,▼売上原票!$A:$P,4,0)*VLOOKUP("612-2",▼マッピング!$A:$G,4,0)/100,0)</f>
        <v/>
      </c>
      <c r="F17" s="10">
        <f>IFERROR(VLOOKUP(C17,▼売上原票!$A:$P,10,0)*VLOOKUP("615-1",▼マッピング!$A:$G,4,0)/100,0)</f>
        <v/>
      </c>
      <c r="G17" s="10">
        <f>IFERROR(VLOOKUP(C17,▼売上原票!$A:$P,5,0)*VLOOKUP("613-1",▼マッピング!$A:$G,4,0)/100,0)+IFERROR(VLOOKUP(C17,▼売上原票!$A:$P,6,0)*VLOOKUP("613-2",▼マッピング!$A:$G,4,0)/100,0)+IFERROR(VLOOKUP(C17,▼売上原票!$A:$P,7,0)*VLOOKUP("614-1",▼マッピング!$A:$G,4,0)/100,0)+IFERROR(VLOOKUP(C17,▼売上原票!$A:$P,8,0)*VLOOKUP("614-2",▼マッピング!$A:$G,4,0)/100,0)+IFERROR(VLOOKUP(C17,▼売上原票!$A:$P,9,0)*VLOOKUP("614-3",▼マッピング!$A:$G,4,0)/100,0)+IFERROR(VLOOKUP(C17,▼売上原票!$A:$P,11,0)*VLOOKUP("615-2",▼マッピング!$A:$G,4,0)/100,0)+IFERROR(VLOOKUP(C17,▼売上原票!$A:$P,12,0)*VLOOKUP("615-3",▼マッピング!$A:$G,4,0)/100,0)+IFERROR(VLOOKUP(C17,▼売上原票!$A:$P,13,0)*VLOOKUP("615-4",▼マッピング!$A:$G,4,0)/100,0)</f>
        <v/>
      </c>
      <c r="H17" s="11">
        <f>D17+E17+F17+G17</f>
        <v/>
      </c>
      <c r="I17" s="12" t="n"/>
      <c r="J17" s="12" t="n"/>
      <c r="K17" s="12" t="n"/>
      <c r="L17" s="12" t="n"/>
      <c r="M17" s="12" t="n"/>
      <c r="N17" s="12" t="n"/>
      <c r="O17" s="12" t="n"/>
      <c r="P17" s="13">
        <f>I17+J17+K17+L17+M17+N17+O17</f>
        <v/>
      </c>
      <c r="Q17" s="14">
        <f>H17-P17</f>
        <v/>
      </c>
      <c r="R17" s="15">
        <f>IF(H17&lt;&gt;0,Q17/H17,0)</f>
        <v/>
      </c>
      <c r="S17" s="16">
        <f>IF(R17&gt;=0.25,"◎ 優良",IF(R17&gt;=0.15,"○ 良好",IF(R17&gt;=0.05,"△ 要注意","× 赤字")))</f>
        <v/>
      </c>
      <c r="T17" s="18">
        <f>IF(H16&lt;&gt;0,H17/H16-1,"")</f>
        <v/>
      </c>
    </row>
    <row r="18" ht="22" customHeight="1">
      <c r="A18" s="7" t="inlineStr">
        <is>
          <t>C001</t>
        </is>
      </c>
      <c r="B18" s="8" t="inlineStr">
        <is>
          <t>東急グループ案件</t>
        </is>
      </c>
      <c r="C18" s="9" t="inlineStr">
        <is>
          <t>2025-08</t>
        </is>
      </c>
      <c r="D18" s="10">
        <f>IFERROR(VLOOKUP(C18,▼売上原票!$A:$P,3,0)*VLOOKUP("612-1",▼マッピング!$A:$G,4,0)/100,0)</f>
        <v/>
      </c>
      <c r="E18" s="10">
        <f>IFERROR(VLOOKUP(C18,▼売上原票!$A:$P,4,0)*VLOOKUP("612-2",▼マッピング!$A:$G,4,0)/100,0)</f>
        <v/>
      </c>
      <c r="F18" s="10">
        <f>IFERROR(VLOOKUP(C18,▼売上原票!$A:$P,10,0)*VLOOKUP("615-1",▼マッピング!$A:$G,4,0)/100,0)</f>
        <v/>
      </c>
      <c r="G18" s="10">
        <f>IFERROR(VLOOKUP(C18,▼売上原票!$A:$P,5,0)*VLOOKUP("613-1",▼マッピング!$A:$G,4,0)/100,0)+IFERROR(VLOOKUP(C18,▼売上原票!$A:$P,6,0)*VLOOKUP("613-2",▼マッピング!$A:$G,4,0)/100,0)+IFERROR(VLOOKUP(C18,▼売上原票!$A:$P,7,0)*VLOOKUP("614-1",▼マッピング!$A:$G,4,0)/100,0)+IFERROR(VLOOKUP(C18,▼売上原票!$A:$P,8,0)*VLOOKUP("614-2",▼マッピング!$A:$G,4,0)/100,0)+IFERROR(VLOOKUP(C18,▼売上原票!$A:$P,9,0)*VLOOKUP("614-3",▼マッピング!$A:$G,4,0)/100,0)+IFERROR(VLOOKUP(C18,▼売上原票!$A:$P,11,0)*VLOOKUP("615-2",▼マッピング!$A:$G,4,0)/100,0)+IFERROR(VLOOKUP(C18,▼売上原票!$A:$P,12,0)*VLOOKUP("615-3",▼マッピング!$A:$G,4,0)/100,0)+IFERROR(VLOOKUP(C18,▼売上原票!$A:$P,13,0)*VLOOKUP("615-4",▼マッピング!$A:$G,4,0)/100,0)</f>
        <v/>
      </c>
      <c r="H18" s="11">
        <f>D18+E18+F18+G18</f>
        <v/>
      </c>
      <c r="I18" s="12" t="n"/>
      <c r="J18" s="12" t="n"/>
      <c r="K18" s="12" t="n"/>
      <c r="L18" s="12" t="n"/>
      <c r="M18" s="12" t="n"/>
      <c r="N18" s="12" t="n"/>
      <c r="O18" s="12" t="n"/>
      <c r="P18" s="13">
        <f>I18+J18+K18+L18+M18+N18+O18</f>
        <v/>
      </c>
      <c r="Q18" s="14">
        <f>H18-P18</f>
        <v/>
      </c>
      <c r="R18" s="15">
        <f>IF(H18&lt;&gt;0,Q18/H18,0)</f>
        <v/>
      </c>
      <c r="S18" s="16">
        <f>IF(R18&gt;=0.25,"◎ 優良",IF(R18&gt;=0.15,"○ 良好",IF(R18&gt;=0.05,"△ 要注意","× 赤字")))</f>
        <v/>
      </c>
      <c r="T18" s="18">
        <f>IF(H17&lt;&gt;0,H18/H17-1,"")</f>
        <v/>
      </c>
    </row>
    <row r="19" ht="22" customHeight="1">
      <c r="A19" s="7" t="inlineStr">
        <is>
          <t>C001</t>
        </is>
      </c>
      <c r="B19" s="8" t="inlineStr">
        <is>
          <t>東急グループ案件</t>
        </is>
      </c>
      <c r="C19" s="9" t="inlineStr">
        <is>
          <t>2025-09</t>
        </is>
      </c>
      <c r="D19" s="10">
        <f>IFERROR(VLOOKUP(C19,▼売上原票!$A:$P,3,0)*VLOOKUP("612-1",▼マッピング!$A:$G,4,0)/100,0)</f>
        <v/>
      </c>
      <c r="E19" s="10">
        <f>IFERROR(VLOOKUP(C19,▼売上原票!$A:$P,4,0)*VLOOKUP("612-2",▼マッピング!$A:$G,4,0)/100,0)</f>
        <v/>
      </c>
      <c r="F19" s="10">
        <f>IFERROR(VLOOKUP(C19,▼売上原票!$A:$P,10,0)*VLOOKUP("615-1",▼マッピング!$A:$G,4,0)/100,0)</f>
        <v/>
      </c>
      <c r="G19" s="10">
        <f>IFERROR(VLOOKUP(C19,▼売上原票!$A:$P,5,0)*VLOOKUP("613-1",▼マッピング!$A:$G,4,0)/100,0)+IFERROR(VLOOKUP(C19,▼売上原票!$A:$P,6,0)*VLOOKUP("613-2",▼マッピング!$A:$G,4,0)/100,0)+IFERROR(VLOOKUP(C19,▼売上原票!$A:$P,7,0)*VLOOKUP("614-1",▼マッピング!$A:$G,4,0)/100,0)+IFERROR(VLOOKUP(C19,▼売上原票!$A:$P,8,0)*VLOOKUP("614-2",▼マッピング!$A:$G,4,0)/100,0)+IFERROR(VLOOKUP(C19,▼売上原票!$A:$P,9,0)*VLOOKUP("614-3",▼マッピング!$A:$G,4,0)/100,0)+IFERROR(VLOOKUP(C19,▼売上原票!$A:$P,11,0)*VLOOKUP("615-2",▼マッピング!$A:$G,4,0)/100,0)+IFERROR(VLOOKUP(C19,▼売上原票!$A:$P,12,0)*VLOOKUP("615-3",▼マッピング!$A:$G,4,0)/100,0)+IFERROR(VLOOKUP(C19,▼売上原票!$A:$P,13,0)*VLOOKUP("615-4",▼マッピング!$A:$G,4,0)/100,0)</f>
        <v/>
      </c>
      <c r="H19" s="11">
        <f>D19+E19+F19+G19</f>
        <v/>
      </c>
      <c r="I19" s="12" t="n"/>
      <c r="J19" s="12" t="n"/>
      <c r="K19" s="12" t="n"/>
      <c r="L19" s="12" t="n"/>
      <c r="M19" s="12" t="n"/>
      <c r="N19" s="12" t="n"/>
      <c r="O19" s="12" t="n"/>
      <c r="P19" s="13">
        <f>I19+J19+K19+L19+M19+N19+O19</f>
        <v/>
      </c>
      <c r="Q19" s="14">
        <f>H19-P19</f>
        <v/>
      </c>
      <c r="R19" s="15">
        <f>IF(H19&lt;&gt;0,Q19/H19,0)</f>
        <v/>
      </c>
      <c r="S19" s="16">
        <f>IF(R19&gt;=0.25,"◎ 優良",IF(R19&gt;=0.15,"○ 良好",IF(R19&gt;=0.05,"△ 要注意","× 赤字")))</f>
        <v/>
      </c>
      <c r="T19" s="18">
        <f>IF(H18&lt;&gt;0,H19/H18-1,"")</f>
        <v/>
      </c>
    </row>
    <row r="20" ht="22" customHeight="1">
      <c r="A20" s="7" t="inlineStr">
        <is>
          <t>C001</t>
        </is>
      </c>
      <c r="B20" s="8" t="inlineStr">
        <is>
          <t>東急グループ案件</t>
        </is>
      </c>
      <c r="C20" s="9" t="inlineStr">
        <is>
          <t>2025-10</t>
        </is>
      </c>
      <c r="D20" s="10">
        <f>IFERROR(VLOOKUP(C20,▼売上原票!$A:$P,3,0)*VLOOKUP("612-1",▼マッピング!$A:$G,4,0)/100,0)</f>
        <v/>
      </c>
      <c r="E20" s="10">
        <f>IFERROR(VLOOKUP(C20,▼売上原票!$A:$P,4,0)*VLOOKUP("612-2",▼マッピング!$A:$G,4,0)/100,0)</f>
        <v/>
      </c>
      <c r="F20" s="10">
        <f>IFERROR(VLOOKUP(C20,▼売上原票!$A:$P,10,0)*VLOOKUP("615-1",▼マッピング!$A:$G,4,0)/100,0)</f>
        <v/>
      </c>
      <c r="G20" s="10">
        <f>IFERROR(VLOOKUP(C20,▼売上原票!$A:$P,5,0)*VLOOKUP("613-1",▼マッピング!$A:$G,4,0)/100,0)+IFERROR(VLOOKUP(C20,▼売上原票!$A:$P,6,0)*VLOOKUP("613-2",▼マッピング!$A:$G,4,0)/100,0)+IFERROR(VLOOKUP(C20,▼売上原票!$A:$P,7,0)*VLOOKUP("614-1",▼マッピング!$A:$G,4,0)/100,0)+IFERROR(VLOOKUP(C20,▼売上原票!$A:$P,8,0)*VLOOKUP("614-2",▼マッピング!$A:$G,4,0)/100,0)+IFERROR(VLOOKUP(C20,▼売上原票!$A:$P,9,0)*VLOOKUP("614-3",▼マッピング!$A:$G,4,0)/100,0)+IFERROR(VLOOKUP(C20,▼売上原票!$A:$P,11,0)*VLOOKUP("615-2",▼マッピング!$A:$G,4,0)/100,0)+IFERROR(VLOOKUP(C20,▼売上原票!$A:$P,12,0)*VLOOKUP("615-3",▼マッピング!$A:$G,4,0)/100,0)+IFERROR(VLOOKUP(C20,▼売上原票!$A:$P,13,0)*VLOOKUP("615-4",▼マッピング!$A:$G,4,0)/100,0)</f>
        <v/>
      </c>
      <c r="H20" s="11">
        <f>D20+E20+F20+G20</f>
        <v/>
      </c>
      <c r="I20" s="12" t="n"/>
      <c r="J20" s="12" t="n"/>
      <c r="K20" s="12" t="n"/>
      <c r="L20" s="12" t="n"/>
      <c r="M20" s="12" t="n"/>
      <c r="N20" s="12" t="n"/>
      <c r="O20" s="12" t="n"/>
      <c r="P20" s="13">
        <f>I20+J20+K20+L20+M20+N20+O20</f>
        <v/>
      </c>
      <c r="Q20" s="14">
        <f>H20-P20</f>
        <v/>
      </c>
      <c r="R20" s="15">
        <f>IF(H20&lt;&gt;0,Q20/H20,0)</f>
        <v/>
      </c>
      <c r="S20" s="16">
        <f>IF(R20&gt;=0.25,"◎ 優良",IF(R20&gt;=0.15,"○ 良好",IF(R20&gt;=0.05,"△ 要注意","× 赤字")))</f>
        <v/>
      </c>
      <c r="T20" s="18">
        <f>IF(H19&lt;&gt;0,H20/H19-1,"")</f>
        <v/>
      </c>
    </row>
    <row r="21" ht="22" customHeight="1">
      <c r="A21" s="7" t="inlineStr">
        <is>
          <t>C001</t>
        </is>
      </c>
      <c r="B21" s="8" t="inlineStr">
        <is>
          <t>東急グループ案件</t>
        </is>
      </c>
      <c r="C21" s="9" t="inlineStr">
        <is>
          <t>2025-11</t>
        </is>
      </c>
      <c r="D21" s="10">
        <f>IFERROR(VLOOKUP(C21,▼売上原票!$A:$P,3,0)*VLOOKUP("612-1",▼マッピング!$A:$G,4,0)/100,0)</f>
        <v/>
      </c>
      <c r="E21" s="10">
        <f>IFERROR(VLOOKUP(C21,▼売上原票!$A:$P,4,0)*VLOOKUP("612-2",▼マッピング!$A:$G,4,0)/100,0)</f>
        <v/>
      </c>
      <c r="F21" s="10">
        <f>IFERROR(VLOOKUP(C21,▼売上原票!$A:$P,10,0)*VLOOKUP("615-1",▼マッピング!$A:$G,4,0)/100,0)</f>
        <v/>
      </c>
      <c r="G21" s="10">
        <f>IFERROR(VLOOKUP(C21,▼売上原票!$A:$P,5,0)*VLOOKUP("613-1",▼マッピング!$A:$G,4,0)/100,0)+IFERROR(VLOOKUP(C21,▼売上原票!$A:$P,6,0)*VLOOKUP("613-2",▼マッピング!$A:$G,4,0)/100,0)+IFERROR(VLOOKUP(C21,▼売上原票!$A:$P,7,0)*VLOOKUP("614-1",▼マッピング!$A:$G,4,0)/100,0)+IFERROR(VLOOKUP(C21,▼売上原票!$A:$P,8,0)*VLOOKUP("614-2",▼マッピング!$A:$G,4,0)/100,0)+IFERROR(VLOOKUP(C21,▼売上原票!$A:$P,9,0)*VLOOKUP("614-3",▼マッピング!$A:$G,4,0)/100,0)+IFERROR(VLOOKUP(C21,▼売上原票!$A:$P,11,0)*VLOOKUP("615-2",▼マッピング!$A:$G,4,0)/100,0)+IFERROR(VLOOKUP(C21,▼売上原票!$A:$P,12,0)*VLOOKUP("615-3",▼マッピング!$A:$G,4,0)/100,0)+IFERROR(VLOOKUP(C21,▼売上原票!$A:$P,13,0)*VLOOKUP("615-4",▼マッピング!$A:$G,4,0)/100,0)</f>
        <v/>
      </c>
      <c r="H21" s="11">
        <f>D21+E21+F21+G21</f>
        <v/>
      </c>
      <c r="I21" s="12" t="n"/>
      <c r="J21" s="12" t="n"/>
      <c r="K21" s="12" t="n"/>
      <c r="L21" s="12" t="n"/>
      <c r="M21" s="12" t="n"/>
      <c r="N21" s="12" t="n"/>
      <c r="O21" s="12" t="n"/>
      <c r="P21" s="13">
        <f>I21+J21+K21+L21+M21+N21+O21</f>
        <v/>
      </c>
      <c r="Q21" s="14">
        <f>H21-P21</f>
        <v/>
      </c>
      <c r="R21" s="15">
        <f>IF(H21&lt;&gt;0,Q21/H21,0)</f>
        <v/>
      </c>
      <c r="S21" s="16">
        <f>IF(R21&gt;=0.25,"◎ 優良",IF(R21&gt;=0.15,"○ 良好",IF(R21&gt;=0.05,"△ 要注意","× 赤字")))</f>
        <v/>
      </c>
      <c r="T21" s="18">
        <f>IF(H20&lt;&gt;0,H21/H20-1,"")</f>
        <v/>
      </c>
    </row>
    <row r="22" ht="8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</row>
    <row r="23" ht="22" customHeight="1">
      <c r="A23" s="20" t="inlineStr">
        <is>
          <t>C002</t>
        </is>
      </c>
      <c r="B23" s="21" t="inlineStr">
        <is>
          <t>都営地下鉄案件</t>
        </is>
      </c>
      <c r="C23" s="22" t="inlineStr">
        <is>
          <t>2024-07</t>
        </is>
      </c>
      <c r="D23" s="10">
        <f>IFERROR(VLOOKUP(C23,▼売上原票!$A:$P,3,0)*VLOOKUP("612-1",▼マッピング!$A:$G,5,0)/100,0)</f>
        <v/>
      </c>
      <c r="E23" s="10">
        <f>IFERROR(VLOOKUP(C23,▼売上原票!$A:$P,4,0)*VLOOKUP("612-2",▼マッピング!$A:$G,5,0)/100,0)</f>
        <v/>
      </c>
      <c r="F23" s="10">
        <f>IFERROR(VLOOKUP(C23,▼売上原票!$A:$P,10,0)*VLOOKUP("615-1",▼マッピング!$A:$G,5,0)/100,0)</f>
        <v/>
      </c>
      <c r="G23" s="10">
        <f>IFERROR(VLOOKUP(C23,▼売上原票!$A:$P,5,0)*VLOOKUP("613-1",▼マッピング!$A:$G,5,0)/100,0)+IFERROR(VLOOKUP(C23,▼売上原票!$A:$P,6,0)*VLOOKUP("613-2",▼マッピング!$A:$G,5,0)/100,0)+IFERROR(VLOOKUP(C23,▼売上原票!$A:$P,7,0)*VLOOKUP("614-1",▼マッピング!$A:$G,5,0)/100,0)+IFERROR(VLOOKUP(C23,▼売上原票!$A:$P,8,0)*VLOOKUP("614-2",▼マッピング!$A:$G,5,0)/100,0)+IFERROR(VLOOKUP(C23,▼売上原票!$A:$P,9,0)*VLOOKUP("614-3",▼マッピング!$A:$G,5,0)/100,0)+IFERROR(VLOOKUP(C23,▼売上原票!$A:$P,11,0)*VLOOKUP("615-2",▼マッピング!$A:$G,5,0)/100,0)+IFERROR(VLOOKUP(C23,▼売上原票!$A:$P,12,0)*VLOOKUP("615-3",▼マッピング!$A:$G,5,0)/100,0)+IFERROR(VLOOKUP(C23,▼売上原票!$A:$P,13,0)*VLOOKUP("615-4",▼マッピング!$A:$G,5,0)/100,0)</f>
        <v/>
      </c>
      <c r="H23" s="11">
        <f>D23+E23+F23+G23</f>
        <v/>
      </c>
      <c r="I23" s="12" t="n"/>
      <c r="J23" s="12" t="n"/>
      <c r="K23" s="12" t="n"/>
      <c r="L23" s="12" t="n"/>
      <c r="M23" s="12" t="n"/>
      <c r="N23" s="12" t="n"/>
      <c r="O23" s="12" t="n"/>
      <c r="P23" s="13">
        <f>I23+J23+K23+L23+M23+N23+O23</f>
        <v/>
      </c>
      <c r="Q23" s="14">
        <f>H23-P23</f>
        <v/>
      </c>
      <c r="R23" s="15">
        <f>IF(H23&lt;&gt;0,Q23/H23,0)</f>
        <v/>
      </c>
      <c r="S23" s="16">
        <f>IF(R23&gt;=0.25,"◎ 優良",IF(R23&gt;=0.15,"○ 良好",IF(R23&gt;=0.05,"△ 要注意","× 赤字")))</f>
        <v/>
      </c>
      <c r="T23" s="23" t="inlineStr">
        <is>
          <t>—</t>
        </is>
      </c>
    </row>
    <row r="24" ht="22" customHeight="1">
      <c r="A24" s="20" t="inlineStr">
        <is>
          <t>C002</t>
        </is>
      </c>
      <c r="B24" s="21" t="inlineStr">
        <is>
          <t>都営地下鉄案件</t>
        </is>
      </c>
      <c r="C24" s="22" t="inlineStr">
        <is>
          <t>2024-08</t>
        </is>
      </c>
      <c r="D24" s="10">
        <f>IFERROR(VLOOKUP(C24,▼売上原票!$A:$P,3,0)*VLOOKUP("612-1",▼マッピング!$A:$G,5,0)/100,0)</f>
        <v/>
      </c>
      <c r="E24" s="10">
        <f>IFERROR(VLOOKUP(C24,▼売上原票!$A:$P,4,0)*VLOOKUP("612-2",▼マッピング!$A:$G,5,0)/100,0)</f>
        <v/>
      </c>
      <c r="F24" s="10">
        <f>IFERROR(VLOOKUP(C24,▼売上原票!$A:$P,10,0)*VLOOKUP("615-1",▼マッピング!$A:$G,5,0)/100,0)</f>
        <v/>
      </c>
      <c r="G24" s="10">
        <f>IFERROR(VLOOKUP(C24,▼売上原票!$A:$P,5,0)*VLOOKUP("613-1",▼マッピング!$A:$G,5,0)/100,0)+IFERROR(VLOOKUP(C24,▼売上原票!$A:$P,6,0)*VLOOKUP("613-2",▼マッピング!$A:$G,5,0)/100,0)+IFERROR(VLOOKUP(C24,▼売上原票!$A:$P,7,0)*VLOOKUP("614-1",▼マッピング!$A:$G,5,0)/100,0)+IFERROR(VLOOKUP(C24,▼売上原票!$A:$P,8,0)*VLOOKUP("614-2",▼マッピング!$A:$G,5,0)/100,0)+IFERROR(VLOOKUP(C24,▼売上原票!$A:$P,9,0)*VLOOKUP("614-3",▼マッピング!$A:$G,5,0)/100,0)+IFERROR(VLOOKUP(C24,▼売上原票!$A:$P,11,0)*VLOOKUP("615-2",▼マッピング!$A:$G,5,0)/100,0)+IFERROR(VLOOKUP(C24,▼売上原票!$A:$P,12,0)*VLOOKUP("615-3",▼マッピング!$A:$G,5,0)/100,0)+IFERROR(VLOOKUP(C24,▼売上原票!$A:$P,13,0)*VLOOKUP("615-4",▼マッピング!$A:$G,5,0)/100,0)</f>
        <v/>
      </c>
      <c r="H24" s="11">
        <f>D24+E24+F24+G24</f>
        <v/>
      </c>
      <c r="I24" s="12" t="n"/>
      <c r="J24" s="12" t="n"/>
      <c r="K24" s="12" t="n"/>
      <c r="L24" s="12" t="n"/>
      <c r="M24" s="12" t="n"/>
      <c r="N24" s="12" t="n"/>
      <c r="O24" s="12" t="n"/>
      <c r="P24" s="13">
        <f>I24+J24+K24+L24+M24+N24+O24</f>
        <v/>
      </c>
      <c r="Q24" s="14">
        <f>H24-P24</f>
        <v/>
      </c>
      <c r="R24" s="15">
        <f>IF(H24&lt;&gt;0,Q24/H24,0)</f>
        <v/>
      </c>
      <c r="S24" s="16">
        <f>IF(R24&gt;=0.25,"◎ 優良",IF(R24&gt;=0.15,"○ 良好",IF(R24&gt;=0.05,"△ 要注意","× 赤字")))</f>
        <v/>
      </c>
      <c r="T24" s="24">
        <f>IF(H23&lt;&gt;0,H24/H23-1,"")</f>
        <v/>
      </c>
    </row>
    <row r="25" ht="22" customHeight="1">
      <c r="A25" s="20" t="inlineStr">
        <is>
          <t>C002</t>
        </is>
      </c>
      <c r="B25" s="21" t="inlineStr">
        <is>
          <t>都営地下鉄案件</t>
        </is>
      </c>
      <c r="C25" s="22" t="inlineStr">
        <is>
          <t>2024-09</t>
        </is>
      </c>
      <c r="D25" s="10">
        <f>IFERROR(VLOOKUP(C25,▼売上原票!$A:$P,3,0)*VLOOKUP("612-1",▼マッピング!$A:$G,5,0)/100,0)</f>
        <v/>
      </c>
      <c r="E25" s="10">
        <f>IFERROR(VLOOKUP(C25,▼売上原票!$A:$P,4,0)*VLOOKUP("612-2",▼マッピング!$A:$G,5,0)/100,0)</f>
        <v/>
      </c>
      <c r="F25" s="10">
        <f>IFERROR(VLOOKUP(C25,▼売上原票!$A:$P,10,0)*VLOOKUP("615-1",▼マッピング!$A:$G,5,0)/100,0)</f>
        <v/>
      </c>
      <c r="G25" s="10">
        <f>IFERROR(VLOOKUP(C25,▼売上原票!$A:$P,5,0)*VLOOKUP("613-1",▼マッピング!$A:$G,5,0)/100,0)+IFERROR(VLOOKUP(C25,▼売上原票!$A:$P,6,0)*VLOOKUP("613-2",▼マッピング!$A:$G,5,0)/100,0)+IFERROR(VLOOKUP(C25,▼売上原票!$A:$P,7,0)*VLOOKUP("614-1",▼マッピング!$A:$G,5,0)/100,0)+IFERROR(VLOOKUP(C25,▼売上原票!$A:$P,8,0)*VLOOKUP("614-2",▼マッピング!$A:$G,5,0)/100,0)+IFERROR(VLOOKUP(C25,▼売上原票!$A:$P,9,0)*VLOOKUP("614-3",▼マッピング!$A:$G,5,0)/100,0)+IFERROR(VLOOKUP(C25,▼売上原票!$A:$P,11,0)*VLOOKUP("615-2",▼マッピング!$A:$G,5,0)/100,0)+IFERROR(VLOOKUP(C25,▼売上原票!$A:$P,12,0)*VLOOKUP("615-3",▼マッピング!$A:$G,5,0)/100,0)+IFERROR(VLOOKUP(C25,▼売上原票!$A:$P,13,0)*VLOOKUP("615-4",▼マッピング!$A:$G,5,0)/100,0)</f>
        <v/>
      </c>
      <c r="H25" s="11">
        <f>D25+E25+F25+G25</f>
        <v/>
      </c>
      <c r="I25" s="12" t="n"/>
      <c r="J25" s="12" t="n"/>
      <c r="K25" s="12" t="n"/>
      <c r="L25" s="12" t="n"/>
      <c r="M25" s="12" t="n"/>
      <c r="N25" s="12" t="n"/>
      <c r="O25" s="12" t="n"/>
      <c r="P25" s="13">
        <f>I25+J25+K25+L25+M25+N25+O25</f>
        <v/>
      </c>
      <c r="Q25" s="14">
        <f>H25-P25</f>
        <v/>
      </c>
      <c r="R25" s="15">
        <f>IF(H25&lt;&gt;0,Q25/H25,0)</f>
        <v/>
      </c>
      <c r="S25" s="16">
        <f>IF(R25&gt;=0.25,"◎ 優良",IF(R25&gt;=0.15,"○ 良好",IF(R25&gt;=0.05,"△ 要注意","× 赤字")))</f>
        <v/>
      </c>
      <c r="T25" s="24">
        <f>IF(H24&lt;&gt;0,H25/H24-1,"")</f>
        <v/>
      </c>
    </row>
    <row r="26" ht="22" customHeight="1">
      <c r="A26" s="20" t="inlineStr">
        <is>
          <t>C002</t>
        </is>
      </c>
      <c r="B26" s="21" t="inlineStr">
        <is>
          <t>都営地下鉄案件</t>
        </is>
      </c>
      <c r="C26" s="22" t="inlineStr">
        <is>
          <t>2024-10</t>
        </is>
      </c>
      <c r="D26" s="10">
        <f>IFERROR(VLOOKUP(C26,▼売上原票!$A:$P,3,0)*VLOOKUP("612-1",▼マッピング!$A:$G,5,0)/100,0)</f>
        <v/>
      </c>
      <c r="E26" s="10">
        <f>IFERROR(VLOOKUP(C26,▼売上原票!$A:$P,4,0)*VLOOKUP("612-2",▼マッピング!$A:$G,5,0)/100,0)</f>
        <v/>
      </c>
      <c r="F26" s="10">
        <f>IFERROR(VLOOKUP(C26,▼売上原票!$A:$P,10,0)*VLOOKUP("615-1",▼マッピング!$A:$G,5,0)/100,0)</f>
        <v/>
      </c>
      <c r="G26" s="10">
        <f>IFERROR(VLOOKUP(C26,▼売上原票!$A:$P,5,0)*VLOOKUP("613-1",▼マッピング!$A:$G,5,0)/100,0)+IFERROR(VLOOKUP(C26,▼売上原票!$A:$P,6,0)*VLOOKUP("613-2",▼マッピング!$A:$G,5,0)/100,0)+IFERROR(VLOOKUP(C26,▼売上原票!$A:$P,7,0)*VLOOKUP("614-1",▼マッピング!$A:$G,5,0)/100,0)+IFERROR(VLOOKUP(C26,▼売上原票!$A:$P,8,0)*VLOOKUP("614-2",▼マッピング!$A:$G,5,0)/100,0)+IFERROR(VLOOKUP(C26,▼売上原票!$A:$P,9,0)*VLOOKUP("614-3",▼マッピング!$A:$G,5,0)/100,0)+IFERROR(VLOOKUP(C26,▼売上原票!$A:$P,11,0)*VLOOKUP("615-2",▼マッピング!$A:$G,5,0)/100,0)+IFERROR(VLOOKUP(C26,▼売上原票!$A:$P,12,0)*VLOOKUP("615-3",▼マッピング!$A:$G,5,0)/100,0)+IFERROR(VLOOKUP(C26,▼売上原票!$A:$P,13,0)*VLOOKUP("615-4",▼マッピング!$A:$G,5,0)/100,0)</f>
        <v/>
      </c>
      <c r="H26" s="11">
        <f>D26+E26+F26+G26</f>
        <v/>
      </c>
      <c r="I26" s="12" t="n"/>
      <c r="J26" s="12" t="n"/>
      <c r="K26" s="12" t="n"/>
      <c r="L26" s="12" t="n"/>
      <c r="M26" s="12" t="n"/>
      <c r="N26" s="12" t="n"/>
      <c r="O26" s="12" t="n"/>
      <c r="P26" s="13">
        <f>I26+J26+K26+L26+M26+N26+O26</f>
        <v/>
      </c>
      <c r="Q26" s="14">
        <f>H26-P26</f>
        <v/>
      </c>
      <c r="R26" s="15">
        <f>IF(H26&lt;&gt;0,Q26/H26,0)</f>
        <v/>
      </c>
      <c r="S26" s="16">
        <f>IF(R26&gt;=0.25,"◎ 優良",IF(R26&gt;=0.15,"○ 良好",IF(R26&gt;=0.05,"△ 要注意","× 赤字")))</f>
        <v/>
      </c>
      <c r="T26" s="24">
        <f>IF(H25&lt;&gt;0,H26/H25-1,"")</f>
        <v/>
      </c>
    </row>
    <row r="27" ht="22" customHeight="1">
      <c r="A27" s="20" t="inlineStr">
        <is>
          <t>C002</t>
        </is>
      </c>
      <c r="B27" s="21" t="inlineStr">
        <is>
          <t>都営地下鉄案件</t>
        </is>
      </c>
      <c r="C27" s="22" t="inlineStr">
        <is>
          <t>2024-11</t>
        </is>
      </c>
      <c r="D27" s="10">
        <f>IFERROR(VLOOKUP(C27,▼売上原票!$A:$P,3,0)*VLOOKUP("612-1",▼マッピング!$A:$G,5,0)/100,0)</f>
        <v/>
      </c>
      <c r="E27" s="10">
        <f>IFERROR(VLOOKUP(C27,▼売上原票!$A:$P,4,0)*VLOOKUP("612-2",▼マッピング!$A:$G,5,0)/100,0)</f>
        <v/>
      </c>
      <c r="F27" s="10">
        <f>IFERROR(VLOOKUP(C27,▼売上原票!$A:$P,10,0)*VLOOKUP("615-1",▼マッピング!$A:$G,5,0)/100,0)</f>
        <v/>
      </c>
      <c r="G27" s="10">
        <f>IFERROR(VLOOKUP(C27,▼売上原票!$A:$P,5,0)*VLOOKUP("613-1",▼マッピング!$A:$G,5,0)/100,0)+IFERROR(VLOOKUP(C27,▼売上原票!$A:$P,6,0)*VLOOKUP("613-2",▼マッピング!$A:$G,5,0)/100,0)+IFERROR(VLOOKUP(C27,▼売上原票!$A:$P,7,0)*VLOOKUP("614-1",▼マッピング!$A:$G,5,0)/100,0)+IFERROR(VLOOKUP(C27,▼売上原票!$A:$P,8,0)*VLOOKUP("614-2",▼マッピング!$A:$G,5,0)/100,0)+IFERROR(VLOOKUP(C27,▼売上原票!$A:$P,9,0)*VLOOKUP("614-3",▼マッピング!$A:$G,5,0)/100,0)+IFERROR(VLOOKUP(C27,▼売上原票!$A:$P,11,0)*VLOOKUP("615-2",▼マッピング!$A:$G,5,0)/100,0)+IFERROR(VLOOKUP(C27,▼売上原票!$A:$P,12,0)*VLOOKUP("615-3",▼マッピング!$A:$G,5,0)/100,0)+IFERROR(VLOOKUP(C27,▼売上原票!$A:$P,13,0)*VLOOKUP("615-4",▼マッピング!$A:$G,5,0)/100,0)</f>
        <v/>
      </c>
      <c r="H27" s="11">
        <f>D27+E27+F27+G27</f>
        <v/>
      </c>
      <c r="I27" s="12" t="n"/>
      <c r="J27" s="12" t="n"/>
      <c r="K27" s="12" t="n"/>
      <c r="L27" s="12" t="n"/>
      <c r="M27" s="12" t="n"/>
      <c r="N27" s="12" t="n"/>
      <c r="O27" s="12" t="n"/>
      <c r="P27" s="13">
        <f>I27+J27+K27+L27+M27+N27+O27</f>
        <v/>
      </c>
      <c r="Q27" s="14">
        <f>H27-P27</f>
        <v/>
      </c>
      <c r="R27" s="15">
        <f>IF(H27&lt;&gt;0,Q27/H27,0)</f>
        <v/>
      </c>
      <c r="S27" s="16">
        <f>IF(R27&gt;=0.25,"◎ 優良",IF(R27&gt;=0.15,"○ 良好",IF(R27&gt;=0.05,"△ 要注意","× 赤字")))</f>
        <v/>
      </c>
      <c r="T27" s="24">
        <f>IF(H26&lt;&gt;0,H27/H26-1,"")</f>
        <v/>
      </c>
    </row>
    <row r="28" ht="22" customHeight="1">
      <c r="A28" s="20" t="inlineStr">
        <is>
          <t>C002</t>
        </is>
      </c>
      <c r="B28" s="21" t="inlineStr">
        <is>
          <t>都営地下鉄案件</t>
        </is>
      </c>
      <c r="C28" s="22" t="inlineStr">
        <is>
          <t>2024-12</t>
        </is>
      </c>
      <c r="D28" s="10">
        <f>IFERROR(VLOOKUP(C28,▼売上原票!$A:$P,3,0)*VLOOKUP("612-1",▼マッピング!$A:$G,5,0)/100,0)</f>
        <v/>
      </c>
      <c r="E28" s="10">
        <f>IFERROR(VLOOKUP(C28,▼売上原票!$A:$P,4,0)*VLOOKUP("612-2",▼マッピング!$A:$G,5,0)/100,0)</f>
        <v/>
      </c>
      <c r="F28" s="10">
        <f>IFERROR(VLOOKUP(C28,▼売上原票!$A:$P,10,0)*VLOOKUP("615-1",▼マッピング!$A:$G,5,0)/100,0)</f>
        <v/>
      </c>
      <c r="G28" s="10">
        <f>IFERROR(VLOOKUP(C28,▼売上原票!$A:$P,5,0)*VLOOKUP("613-1",▼マッピング!$A:$G,5,0)/100,0)+IFERROR(VLOOKUP(C28,▼売上原票!$A:$P,6,0)*VLOOKUP("613-2",▼マッピング!$A:$G,5,0)/100,0)+IFERROR(VLOOKUP(C28,▼売上原票!$A:$P,7,0)*VLOOKUP("614-1",▼マッピング!$A:$G,5,0)/100,0)+IFERROR(VLOOKUP(C28,▼売上原票!$A:$P,8,0)*VLOOKUP("614-2",▼マッピング!$A:$G,5,0)/100,0)+IFERROR(VLOOKUP(C28,▼売上原票!$A:$P,9,0)*VLOOKUP("614-3",▼マッピング!$A:$G,5,0)/100,0)+IFERROR(VLOOKUP(C28,▼売上原票!$A:$P,11,0)*VLOOKUP("615-2",▼マッピング!$A:$G,5,0)/100,0)+IFERROR(VLOOKUP(C28,▼売上原票!$A:$P,12,0)*VLOOKUP("615-3",▼マッピング!$A:$G,5,0)/100,0)+IFERROR(VLOOKUP(C28,▼売上原票!$A:$P,13,0)*VLOOKUP("615-4",▼マッピング!$A:$G,5,0)/100,0)</f>
        <v/>
      </c>
      <c r="H28" s="11">
        <f>D28+E28+F28+G28</f>
        <v/>
      </c>
      <c r="I28" s="12" t="n"/>
      <c r="J28" s="12" t="n"/>
      <c r="K28" s="12" t="n"/>
      <c r="L28" s="12" t="n"/>
      <c r="M28" s="12" t="n"/>
      <c r="N28" s="12" t="n"/>
      <c r="O28" s="12" t="n"/>
      <c r="P28" s="13">
        <f>I28+J28+K28+L28+M28+N28+O28</f>
        <v/>
      </c>
      <c r="Q28" s="14">
        <f>H28-P28</f>
        <v/>
      </c>
      <c r="R28" s="15">
        <f>IF(H28&lt;&gt;0,Q28/H28,0)</f>
        <v/>
      </c>
      <c r="S28" s="16">
        <f>IF(R28&gt;=0.25,"◎ 優良",IF(R28&gt;=0.15,"○ 良好",IF(R28&gt;=0.05,"△ 要注意","× 赤字")))</f>
        <v/>
      </c>
      <c r="T28" s="24">
        <f>IF(H27&lt;&gt;0,H28/H27-1,"")</f>
        <v/>
      </c>
    </row>
    <row r="29" ht="22" customHeight="1">
      <c r="A29" s="20" t="inlineStr">
        <is>
          <t>C002</t>
        </is>
      </c>
      <c r="B29" s="21" t="inlineStr">
        <is>
          <t>都営地下鉄案件</t>
        </is>
      </c>
      <c r="C29" s="22" t="inlineStr">
        <is>
          <t>2025-01</t>
        </is>
      </c>
      <c r="D29" s="10">
        <f>IFERROR(VLOOKUP(C29,▼売上原票!$A:$P,3,0)*VLOOKUP("612-1",▼マッピング!$A:$G,5,0)/100,0)</f>
        <v/>
      </c>
      <c r="E29" s="10">
        <f>IFERROR(VLOOKUP(C29,▼売上原票!$A:$P,4,0)*VLOOKUP("612-2",▼マッピング!$A:$G,5,0)/100,0)</f>
        <v/>
      </c>
      <c r="F29" s="10">
        <f>IFERROR(VLOOKUP(C29,▼売上原票!$A:$P,10,0)*VLOOKUP("615-1",▼マッピング!$A:$G,5,0)/100,0)</f>
        <v/>
      </c>
      <c r="G29" s="10">
        <f>IFERROR(VLOOKUP(C29,▼売上原票!$A:$P,5,0)*VLOOKUP("613-1",▼マッピング!$A:$G,5,0)/100,0)+IFERROR(VLOOKUP(C29,▼売上原票!$A:$P,6,0)*VLOOKUP("613-2",▼マッピング!$A:$G,5,0)/100,0)+IFERROR(VLOOKUP(C29,▼売上原票!$A:$P,7,0)*VLOOKUP("614-1",▼マッピング!$A:$G,5,0)/100,0)+IFERROR(VLOOKUP(C29,▼売上原票!$A:$P,8,0)*VLOOKUP("614-2",▼マッピング!$A:$G,5,0)/100,0)+IFERROR(VLOOKUP(C29,▼売上原票!$A:$P,9,0)*VLOOKUP("614-3",▼マッピング!$A:$G,5,0)/100,0)+IFERROR(VLOOKUP(C29,▼売上原票!$A:$P,11,0)*VLOOKUP("615-2",▼マッピング!$A:$G,5,0)/100,0)+IFERROR(VLOOKUP(C29,▼売上原票!$A:$P,12,0)*VLOOKUP("615-3",▼マッピング!$A:$G,5,0)/100,0)+IFERROR(VLOOKUP(C29,▼売上原票!$A:$P,13,0)*VLOOKUP("615-4",▼マッピング!$A:$G,5,0)/100,0)</f>
        <v/>
      </c>
      <c r="H29" s="11">
        <f>D29+E29+F29+G29</f>
        <v/>
      </c>
      <c r="I29" s="12" t="n"/>
      <c r="J29" s="12" t="n"/>
      <c r="K29" s="12" t="n"/>
      <c r="L29" s="12" t="n"/>
      <c r="M29" s="12" t="n"/>
      <c r="N29" s="12" t="n"/>
      <c r="O29" s="12" t="n"/>
      <c r="P29" s="13">
        <f>I29+J29+K29+L29+M29+N29+O29</f>
        <v/>
      </c>
      <c r="Q29" s="14">
        <f>H29-P29</f>
        <v/>
      </c>
      <c r="R29" s="15">
        <f>IF(H29&lt;&gt;0,Q29/H29,0)</f>
        <v/>
      </c>
      <c r="S29" s="16">
        <f>IF(R29&gt;=0.25,"◎ 優良",IF(R29&gt;=0.15,"○ 良好",IF(R29&gt;=0.05,"△ 要注意","× 赤字")))</f>
        <v/>
      </c>
      <c r="T29" s="24">
        <f>IF(H28&lt;&gt;0,H29/H28-1,"")</f>
        <v/>
      </c>
    </row>
    <row r="30" ht="22" customHeight="1">
      <c r="A30" s="20" t="inlineStr">
        <is>
          <t>C002</t>
        </is>
      </c>
      <c r="B30" s="21" t="inlineStr">
        <is>
          <t>都営地下鉄案件</t>
        </is>
      </c>
      <c r="C30" s="22" t="inlineStr">
        <is>
          <t>2025-02</t>
        </is>
      </c>
      <c r="D30" s="10">
        <f>IFERROR(VLOOKUP(C30,▼売上原票!$A:$P,3,0)*VLOOKUP("612-1",▼マッピング!$A:$G,5,0)/100,0)</f>
        <v/>
      </c>
      <c r="E30" s="10">
        <f>IFERROR(VLOOKUP(C30,▼売上原票!$A:$P,4,0)*VLOOKUP("612-2",▼マッピング!$A:$G,5,0)/100,0)</f>
        <v/>
      </c>
      <c r="F30" s="10">
        <f>IFERROR(VLOOKUP(C30,▼売上原票!$A:$P,10,0)*VLOOKUP("615-1",▼マッピング!$A:$G,5,0)/100,0)</f>
        <v/>
      </c>
      <c r="G30" s="10">
        <f>IFERROR(VLOOKUP(C30,▼売上原票!$A:$P,5,0)*VLOOKUP("613-1",▼マッピング!$A:$G,5,0)/100,0)+IFERROR(VLOOKUP(C30,▼売上原票!$A:$P,6,0)*VLOOKUP("613-2",▼マッピング!$A:$G,5,0)/100,0)+IFERROR(VLOOKUP(C30,▼売上原票!$A:$P,7,0)*VLOOKUP("614-1",▼マッピング!$A:$G,5,0)/100,0)+IFERROR(VLOOKUP(C30,▼売上原票!$A:$P,8,0)*VLOOKUP("614-2",▼マッピング!$A:$G,5,0)/100,0)+IFERROR(VLOOKUP(C30,▼売上原票!$A:$P,9,0)*VLOOKUP("614-3",▼マッピング!$A:$G,5,0)/100,0)+IFERROR(VLOOKUP(C30,▼売上原票!$A:$P,11,0)*VLOOKUP("615-2",▼マッピング!$A:$G,5,0)/100,0)+IFERROR(VLOOKUP(C30,▼売上原票!$A:$P,12,0)*VLOOKUP("615-3",▼マッピング!$A:$G,5,0)/100,0)+IFERROR(VLOOKUP(C30,▼売上原票!$A:$P,13,0)*VLOOKUP("615-4",▼マッピング!$A:$G,5,0)/100,0)</f>
        <v/>
      </c>
      <c r="H30" s="11">
        <f>D30+E30+F30+G30</f>
        <v/>
      </c>
      <c r="I30" s="12" t="n"/>
      <c r="J30" s="12" t="n"/>
      <c r="K30" s="12" t="n"/>
      <c r="L30" s="12" t="n"/>
      <c r="M30" s="12" t="n"/>
      <c r="N30" s="12" t="n"/>
      <c r="O30" s="12" t="n"/>
      <c r="P30" s="13">
        <f>I30+J30+K30+L30+M30+N30+O30</f>
        <v/>
      </c>
      <c r="Q30" s="14">
        <f>H30-P30</f>
        <v/>
      </c>
      <c r="R30" s="15">
        <f>IF(H30&lt;&gt;0,Q30/H30,0)</f>
        <v/>
      </c>
      <c r="S30" s="16">
        <f>IF(R30&gt;=0.25,"◎ 優良",IF(R30&gt;=0.15,"○ 良好",IF(R30&gt;=0.05,"△ 要注意","× 赤字")))</f>
        <v/>
      </c>
      <c r="T30" s="24">
        <f>IF(H29&lt;&gt;0,H30/H29-1,"")</f>
        <v/>
      </c>
    </row>
    <row r="31" ht="22" customHeight="1">
      <c r="A31" s="20" t="inlineStr">
        <is>
          <t>C002</t>
        </is>
      </c>
      <c r="B31" s="21" t="inlineStr">
        <is>
          <t>都営地下鉄案件</t>
        </is>
      </c>
      <c r="C31" s="22" t="inlineStr">
        <is>
          <t>2025-03</t>
        </is>
      </c>
      <c r="D31" s="10">
        <f>IFERROR(VLOOKUP(C31,▼売上原票!$A:$P,3,0)*VLOOKUP("612-1",▼マッピング!$A:$G,5,0)/100,0)</f>
        <v/>
      </c>
      <c r="E31" s="10">
        <f>IFERROR(VLOOKUP(C31,▼売上原票!$A:$P,4,0)*VLOOKUP("612-2",▼マッピング!$A:$G,5,0)/100,0)</f>
        <v/>
      </c>
      <c r="F31" s="10">
        <f>IFERROR(VLOOKUP(C31,▼売上原票!$A:$P,10,0)*VLOOKUP("615-1",▼マッピング!$A:$G,5,0)/100,0)</f>
        <v/>
      </c>
      <c r="G31" s="10">
        <f>IFERROR(VLOOKUP(C31,▼売上原票!$A:$P,5,0)*VLOOKUP("613-1",▼マッピング!$A:$G,5,0)/100,0)+IFERROR(VLOOKUP(C31,▼売上原票!$A:$P,6,0)*VLOOKUP("613-2",▼マッピング!$A:$G,5,0)/100,0)+IFERROR(VLOOKUP(C31,▼売上原票!$A:$P,7,0)*VLOOKUP("614-1",▼マッピング!$A:$G,5,0)/100,0)+IFERROR(VLOOKUP(C31,▼売上原票!$A:$P,8,0)*VLOOKUP("614-2",▼マッピング!$A:$G,5,0)/100,0)+IFERROR(VLOOKUP(C31,▼売上原票!$A:$P,9,0)*VLOOKUP("614-3",▼マッピング!$A:$G,5,0)/100,0)+IFERROR(VLOOKUP(C31,▼売上原票!$A:$P,11,0)*VLOOKUP("615-2",▼マッピング!$A:$G,5,0)/100,0)+IFERROR(VLOOKUP(C31,▼売上原票!$A:$P,12,0)*VLOOKUP("615-3",▼マッピング!$A:$G,5,0)/100,0)+IFERROR(VLOOKUP(C31,▼売上原票!$A:$P,13,0)*VLOOKUP("615-4",▼マッピング!$A:$G,5,0)/100,0)</f>
        <v/>
      </c>
      <c r="H31" s="11">
        <f>D31+E31+F31+G31</f>
        <v/>
      </c>
      <c r="I31" s="12" t="n"/>
      <c r="J31" s="12" t="n"/>
      <c r="K31" s="12" t="n"/>
      <c r="L31" s="12" t="n"/>
      <c r="M31" s="12" t="n"/>
      <c r="N31" s="12" t="n"/>
      <c r="O31" s="12" t="n"/>
      <c r="P31" s="13">
        <f>I31+J31+K31+L31+M31+N31+O31</f>
        <v/>
      </c>
      <c r="Q31" s="14">
        <f>H31-P31</f>
        <v/>
      </c>
      <c r="R31" s="15">
        <f>IF(H31&lt;&gt;0,Q31/H31,0)</f>
        <v/>
      </c>
      <c r="S31" s="16">
        <f>IF(R31&gt;=0.25,"◎ 優良",IF(R31&gt;=0.15,"○ 良好",IF(R31&gt;=0.05,"△ 要注意","× 赤字")))</f>
        <v/>
      </c>
      <c r="T31" s="24">
        <f>IF(H30&lt;&gt;0,H31/H30-1,"")</f>
        <v/>
      </c>
    </row>
    <row r="32" ht="22" customHeight="1">
      <c r="A32" s="20" t="inlineStr">
        <is>
          <t>C002</t>
        </is>
      </c>
      <c r="B32" s="21" t="inlineStr">
        <is>
          <t>都営地下鉄案件</t>
        </is>
      </c>
      <c r="C32" s="22" t="inlineStr">
        <is>
          <t>2025-04</t>
        </is>
      </c>
      <c r="D32" s="10">
        <f>IFERROR(VLOOKUP(C32,▼売上原票!$A:$P,3,0)*VLOOKUP("612-1",▼マッピング!$A:$G,5,0)/100,0)</f>
        <v/>
      </c>
      <c r="E32" s="10">
        <f>IFERROR(VLOOKUP(C32,▼売上原票!$A:$P,4,0)*VLOOKUP("612-2",▼マッピング!$A:$G,5,0)/100,0)</f>
        <v/>
      </c>
      <c r="F32" s="10">
        <f>IFERROR(VLOOKUP(C32,▼売上原票!$A:$P,10,0)*VLOOKUP("615-1",▼マッピング!$A:$G,5,0)/100,0)</f>
        <v/>
      </c>
      <c r="G32" s="10">
        <f>IFERROR(VLOOKUP(C32,▼売上原票!$A:$P,5,0)*VLOOKUP("613-1",▼マッピング!$A:$G,5,0)/100,0)+IFERROR(VLOOKUP(C32,▼売上原票!$A:$P,6,0)*VLOOKUP("613-2",▼マッピング!$A:$G,5,0)/100,0)+IFERROR(VLOOKUP(C32,▼売上原票!$A:$P,7,0)*VLOOKUP("614-1",▼マッピング!$A:$G,5,0)/100,0)+IFERROR(VLOOKUP(C32,▼売上原票!$A:$P,8,0)*VLOOKUP("614-2",▼マッピング!$A:$G,5,0)/100,0)+IFERROR(VLOOKUP(C32,▼売上原票!$A:$P,9,0)*VLOOKUP("614-3",▼マッピング!$A:$G,5,0)/100,0)+IFERROR(VLOOKUP(C32,▼売上原票!$A:$P,11,0)*VLOOKUP("615-2",▼マッピング!$A:$G,5,0)/100,0)+IFERROR(VLOOKUP(C32,▼売上原票!$A:$P,12,0)*VLOOKUP("615-3",▼マッピング!$A:$G,5,0)/100,0)+IFERROR(VLOOKUP(C32,▼売上原票!$A:$P,13,0)*VLOOKUP("615-4",▼マッピング!$A:$G,5,0)/100,0)</f>
        <v/>
      </c>
      <c r="H32" s="11">
        <f>D32+E32+F32+G32</f>
        <v/>
      </c>
      <c r="I32" s="12" t="n"/>
      <c r="J32" s="12" t="n"/>
      <c r="K32" s="12" t="n"/>
      <c r="L32" s="12" t="n"/>
      <c r="M32" s="12" t="n"/>
      <c r="N32" s="12" t="n"/>
      <c r="O32" s="12" t="n"/>
      <c r="P32" s="13">
        <f>I32+J32+K32+L32+M32+N32+O32</f>
        <v/>
      </c>
      <c r="Q32" s="14">
        <f>H32-P32</f>
        <v/>
      </c>
      <c r="R32" s="15">
        <f>IF(H32&lt;&gt;0,Q32/H32,0)</f>
        <v/>
      </c>
      <c r="S32" s="16">
        <f>IF(R32&gt;=0.25,"◎ 優良",IF(R32&gt;=0.15,"○ 良好",IF(R32&gt;=0.05,"△ 要注意","× 赤字")))</f>
        <v/>
      </c>
      <c r="T32" s="24">
        <f>IF(H31&lt;&gt;0,H32/H31-1,"")</f>
        <v/>
      </c>
    </row>
    <row r="33" ht="22" customHeight="1">
      <c r="A33" s="20" t="inlineStr">
        <is>
          <t>C002</t>
        </is>
      </c>
      <c r="B33" s="21" t="inlineStr">
        <is>
          <t>都営地下鉄案件</t>
        </is>
      </c>
      <c r="C33" s="22" t="inlineStr">
        <is>
          <t>2025-05</t>
        </is>
      </c>
      <c r="D33" s="10">
        <f>IFERROR(VLOOKUP(C33,▼売上原票!$A:$P,3,0)*VLOOKUP("612-1",▼マッピング!$A:$G,5,0)/100,0)</f>
        <v/>
      </c>
      <c r="E33" s="10">
        <f>IFERROR(VLOOKUP(C33,▼売上原票!$A:$P,4,0)*VLOOKUP("612-2",▼マッピング!$A:$G,5,0)/100,0)</f>
        <v/>
      </c>
      <c r="F33" s="10">
        <f>IFERROR(VLOOKUP(C33,▼売上原票!$A:$P,10,0)*VLOOKUP("615-1",▼マッピング!$A:$G,5,0)/100,0)</f>
        <v/>
      </c>
      <c r="G33" s="10">
        <f>IFERROR(VLOOKUP(C33,▼売上原票!$A:$P,5,0)*VLOOKUP("613-1",▼マッピング!$A:$G,5,0)/100,0)+IFERROR(VLOOKUP(C33,▼売上原票!$A:$P,6,0)*VLOOKUP("613-2",▼マッピング!$A:$G,5,0)/100,0)+IFERROR(VLOOKUP(C33,▼売上原票!$A:$P,7,0)*VLOOKUP("614-1",▼マッピング!$A:$G,5,0)/100,0)+IFERROR(VLOOKUP(C33,▼売上原票!$A:$P,8,0)*VLOOKUP("614-2",▼マッピング!$A:$G,5,0)/100,0)+IFERROR(VLOOKUP(C33,▼売上原票!$A:$P,9,0)*VLOOKUP("614-3",▼マッピング!$A:$G,5,0)/100,0)+IFERROR(VLOOKUP(C33,▼売上原票!$A:$P,11,0)*VLOOKUP("615-2",▼マッピング!$A:$G,5,0)/100,0)+IFERROR(VLOOKUP(C33,▼売上原票!$A:$P,12,0)*VLOOKUP("615-3",▼マッピング!$A:$G,5,0)/100,0)+IFERROR(VLOOKUP(C33,▼売上原票!$A:$P,13,0)*VLOOKUP("615-4",▼マッピング!$A:$G,5,0)/100,0)</f>
        <v/>
      </c>
      <c r="H33" s="11">
        <f>D33+E33+F33+G33</f>
        <v/>
      </c>
      <c r="I33" s="12" t="n"/>
      <c r="J33" s="12" t="n"/>
      <c r="K33" s="12" t="n"/>
      <c r="L33" s="12" t="n"/>
      <c r="M33" s="12" t="n"/>
      <c r="N33" s="12" t="n"/>
      <c r="O33" s="12" t="n"/>
      <c r="P33" s="13">
        <f>I33+J33+K33+L33+M33+N33+O33</f>
        <v/>
      </c>
      <c r="Q33" s="14">
        <f>H33-P33</f>
        <v/>
      </c>
      <c r="R33" s="15">
        <f>IF(H33&lt;&gt;0,Q33/H33,0)</f>
        <v/>
      </c>
      <c r="S33" s="16">
        <f>IF(R33&gt;=0.25,"◎ 優良",IF(R33&gt;=0.15,"○ 良好",IF(R33&gt;=0.05,"△ 要注意","× 赤字")))</f>
        <v/>
      </c>
      <c r="T33" s="24">
        <f>IF(H32&lt;&gt;0,H33/H32-1,"")</f>
        <v/>
      </c>
    </row>
    <row r="34" ht="22" customHeight="1">
      <c r="A34" s="20" t="inlineStr">
        <is>
          <t>C002</t>
        </is>
      </c>
      <c r="B34" s="21" t="inlineStr">
        <is>
          <t>都営地下鉄案件</t>
        </is>
      </c>
      <c r="C34" s="22" t="inlineStr">
        <is>
          <t>2025-06</t>
        </is>
      </c>
      <c r="D34" s="10">
        <f>IFERROR(VLOOKUP(C34,▼売上原票!$A:$P,3,0)*VLOOKUP("612-1",▼マッピング!$A:$G,5,0)/100,0)</f>
        <v/>
      </c>
      <c r="E34" s="10">
        <f>IFERROR(VLOOKUP(C34,▼売上原票!$A:$P,4,0)*VLOOKUP("612-2",▼マッピング!$A:$G,5,0)/100,0)</f>
        <v/>
      </c>
      <c r="F34" s="10">
        <f>IFERROR(VLOOKUP(C34,▼売上原票!$A:$P,10,0)*VLOOKUP("615-1",▼マッピング!$A:$G,5,0)/100,0)</f>
        <v/>
      </c>
      <c r="G34" s="10">
        <f>IFERROR(VLOOKUP(C34,▼売上原票!$A:$P,5,0)*VLOOKUP("613-1",▼マッピング!$A:$G,5,0)/100,0)+IFERROR(VLOOKUP(C34,▼売上原票!$A:$P,6,0)*VLOOKUP("613-2",▼マッピング!$A:$G,5,0)/100,0)+IFERROR(VLOOKUP(C34,▼売上原票!$A:$P,7,0)*VLOOKUP("614-1",▼マッピング!$A:$G,5,0)/100,0)+IFERROR(VLOOKUP(C34,▼売上原票!$A:$P,8,0)*VLOOKUP("614-2",▼マッピング!$A:$G,5,0)/100,0)+IFERROR(VLOOKUP(C34,▼売上原票!$A:$P,9,0)*VLOOKUP("614-3",▼マッピング!$A:$G,5,0)/100,0)+IFERROR(VLOOKUP(C34,▼売上原票!$A:$P,11,0)*VLOOKUP("615-2",▼マッピング!$A:$G,5,0)/100,0)+IFERROR(VLOOKUP(C34,▼売上原票!$A:$P,12,0)*VLOOKUP("615-3",▼マッピング!$A:$G,5,0)/100,0)+IFERROR(VLOOKUP(C34,▼売上原票!$A:$P,13,0)*VLOOKUP("615-4",▼マッピング!$A:$G,5,0)/100,0)</f>
        <v/>
      </c>
      <c r="H34" s="11">
        <f>D34+E34+F34+G34</f>
        <v/>
      </c>
      <c r="I34" s="12" t="n"/>
      <c r="J34" s="12" t="n"/>
      <c r="K34" s="12" t="n"/>
      <c r="L34" s="12" t="n"/>
      <c r="M34" s="12" t="n"/>
      <c r="N34" s="12" t="n"/>
      <c r="O34" s="12" t="n"/>
      <c r="P34" s="13">
        <f>I34+J34+K34+L34+M34+N34+O34</f>
        <v/>
      </c>
      <c r="Q34" s="14">
        <f>H34-P34</f>
        <v/>
      </c>
      <c r="R34" s="15">
        <f>IF(H34&lt;&gt;0,Q34/H34,0)</f>
        <v/>
      </c>
      <c r="S34" s="16">
        <f>IF(R34&gt;=0.25,"◎ 優良",IF(R34&gt;=0.15,"○ 良好",IF(R34&gt;=0.05,"△ 要注意","× 赤字")))</f>
        <v/>
      </c>
      <c r="T34" s="24">
        <f>IF(H33&lt;&gt;0,H34/H33-1,"")</f>
        <v/>
      </c>
    </row>
    <row r="35" ht="22" customHeight="1">
      <c r="A35" s="20" t="inlineStr">
        <is>
          <t>C002</t>
        </is>
      </c>
      <c r="B35" s="21" t="inlineStr">
        <is>
          <t>都営地下鉄案件</t>
        </is>
      </c>
      <c r="C35" s="22" t="inlineStr">
        <is>
          <t>2025-07</t>
        </is>
      </c>
      <c r="D35" s="10">
        <f>IFERROR(VLOOKUP(C35,▼売上原票!$A:$P,3,0)*VLOOKUP("612-1",▼マッピング!$A:$G,5,0)/100,0)</f>
        <v/>
      </c>
      <c r="E35" s="10">
        <f>IFERROR(VLOOKUP(C35,▼売上原票!$A:$P,4,0)*VLOOKUP("612-2",▼マッピング!$A:$G,5,0)/100,0)</f>
        <v/>
      </c>
      <c r="F35" s="10">
        <f>IFERROR(VLOOKUP(C35,▼売上原票!$A:$P,10,0)*VLOOKUP("615-1",▼マッピング!$A:$G,5,0)/100,0)</f>
        <v/>
      </c>
      <c r="G35" s="10">
        <f>IFERROR(VLOOKUP(C35,▼売上原票!$A:$P,5,0)*VLOOKUP("613-1",▼マッピング!$A:$G,5,0)/100,0)+IFERROR(VLOOKUP(C35,▼売上原票!$A:$P,6,0)*VLOOKUP("613-2",▼マッピング!$A:$G,5,0)/100,0)+IFERROR(VLOOKUP(C35,▼売上原票!$A:$P,7,0)*VLOOKUP("614-1",▼マッピング!$A:$G,5,0)/100,0)+IFERROR(VLOOKUP(C35,▼売上原票!$A:$P,8,0)*VLOOKUP("614-2",▼マッピング!$A:$G,5,0)/100,0)+IFERROR(VLOOKUP(C35,▼売上原票!$A:$P,9,0)*VLOOKUP("614-3",▼マッピング!$A:$G,5,0)/100,0)+IFERROR(VLOOKUP(C35,▼売上原票!$A:$P,11,0)*VLOOKUP("615-2",▼マッピング!$A:$G,5,0)/100,0)+IFERROR(VLOOKUP(C35,▼売上原票!$A:$P,12,0)*VLOOKUP("615-3",▼マッピング!$A:$G,5,0)/100,0)+IFERROR(VLOOKUP(C35,▼売上原票!$A:$P,13,0)*VLOOKUP("615-4",▼マッピング!$A:$G,5,0)/100,0)</f>
        <v/>
      </c>
      <c r="H35" s="11">
        <f>D35+E35+F35+G35</f>
        <v/>
      </c>
      <c r="I35" s="12" t="n"/>
      <c r="J35" s="12" t="n"/>
      <c r="K35" s="12" t="n"/>
      <c r="L35" s="12" t="n"/>
      <c r="M35" s="12" t="n"/>
      <c r="N35" s="12" t="n"/>
      <c r="O35" s="12" t="n"/>
      <c r="P35" s="13">
        <f>I35+J35+K35+L35+M35+N35+O35</f>
        <v/>
      </c>
      <c r="Q35" s="14">
        <f>H35-P35</f>
        <v/>
      </c>
      <c r="R35" s="15">
        <f>IF(H35&lt;&gt;0,Q35/H35,0)</f>
        <v/>
      </c>
      <c r="S35" s="16">
        <f>IF(R35&gt;=0.25,"◎ 優良",IF(R35&gt;=0.15,"○ 良好",IF(R35&gt;=0.05,"△ 要注意","× 赤字")))</f>
        <v/>
      </c>
      <c r="T35" s="24">
        <f>IF(H34&lt;&gt;0,H35/H34-1,"")</f>
        <v/>
      </c>
    </row>
    <row r="36" ht="22" customHeight="1">
      <c r="A36" s="20" t="inlineStr">
        <is>
          <t>C002</t>
        </is>
      </c>
      <c r="B36" s="21" t="inlineStr">
        <is>
          <t>都営地下鉄案件</t>
        </is>
      </c>
      <c r="C36" s="22" t="inlineStr">
        <is>
          <t>2025-08</t>
        </is>
      </c>
      <c r="D36" s="10">
        <f>IFERROR(VLOOKUP(C36,▼売上原票!$A:$P,3,0)*VLOOKUP("612-1",▼マッピング!$A:$G,5,0)/100,0)</f>
        <v/>
      </c>
      <c r="E36" s="10">
        <f>IFERROR(VLOOKUP(C36,▼売上原票!$A:$P,4,0)*VLOOKUP("612-2",▼マッピング!$A:$G,5,0)/100,0)</f>
        <v/>
      </c>
      <c r="F36" s="10">
        <f>IFERROR(VLOOKUP(C36,▼売上原票!$A:$P,10,0)*VLOOKUP("615-1",▼マッピング!$A:$G,5,0)/100,0)</f>
        <v/>
      </c>
      <c r="G36" s="10">
        <f>IFERROR(VLOOKUP(C36,▼売上原票!$A:$P,5,0)*VLOOKUP("613-1",▼マッピング!$A:$G,5,0)/100,0)+IFERROR(VLOOKUP(C36,▼売上原票!$A:$P,6,0)*VLOOKUP("613-2",▼マッピング!$A:$G,5,0)/100,0)+IFERROR(VLOOKUP(C36,▼売上原票!$A:$P,7,0)*VLOOKUP("614-1",▼マッピング!$A:$G,5,0)/100,0)+IFERROR(VLOOKUP(C36,▼売上原票!$A:$P,8,0)*VLOOKUP("614-2",▼マッピング!$A:$G,5,0)/100,0)+IFERROR(VLOOKUP(C36,▼売上原票!$A:$P,9,0)*VLOOKUP("614-3",▼マッピング!$A:$G,5,0)/100,0)+IFERROR(VLOOKUP(C36,▼売上原票!$A:$P,11,0)*VLOOKUP("615-2",▼マッピング!$A:$G,5,0)/100,0)+IFERROR(VLOOKUP(C36,▼売上原票!$A:$P,12,0)*VLOOKUP("615-3",▼マッピング!$A:$G,5,0)/100,0)+IFERROR(VLOOKUP(C36,▼売上原票!$A:$P,13,0)*VLOOKUP("615-4",▼マッピング!$A:$G,5,0)/100,0)</f>
        <v/>
      </c>
      <c r="H36" s="11">
        <f>D36+E36+F36+G36</f>
        <v/>
      </c>
      <c r="I36" s="12" t="n"/>
      <c r="J36" s="12" t="n"/>
      <c r="K36" s="12" t="n"/>
      <c r="L36" s="12" t="n"/>
      <c r="M36" s="12" t="n"/>
      <c r="N36" s="12" t="n"/>
      <c r="O36" s="12" t="n"/>
      <c r="P36" s="13">
        <f>I36+J36+K36+L36+M36+N36+O36</f>
        <v/>
      </c>
      <c r="Q36" s="14">
        <f>H36-P36</f>
        <v/>
      </c>
      <c r="R36" s="15">
        <f>IF(H36&lt;&gt;0,Q36/H36,0)</f>
        <v/>
      </c>
      <c r="S36" s="16">
        <f>IF(R36&gt;=0.25,"◎ 優良",IF(R36&gt;=0.15,"○ 良好",IF(R36&gt;=0.05,"△ 要注意","× 赤字")))</f>
        <v/>
      </c>
      <c r="T36" s="24">
        <f>IF(H35&lt;&gt;0,H36/H35-1,"")</f>
        <v/>
      </c>
    </row>
    <row r="37" ht="22" customHeight="1">
      <c r="A37" s="20" t="inlineStr">
        <is>
          <t>C002</t>
        </is>
      </c>
      <c r="B37" s="21" t="inlineStr">
        <is>
          <t>都営地下鉄案件</t>
        </is>
      </c>
      <c r="C37" s="22" t="inlineStr">
        <is>
          <t>2025-09</t>
        </is>
      </c>
      <c r="D37" s="10">
        <f>IFERROR(VLOOKUP(C37,▼売上原票!$A:$P,3,0)*VLOOKUP("612-1",▼マッピング!$A:$G,5,0)/100,0)</f>
        <v/>
      </c>
      <c r="E37" s="10">
        <f>IFERROR(VLOOKUP(C37,▼売上原票!$A:$P,4,0)*VLOOKUP("612-2",▼マッピング!$A:$G,5,0)/100,0)</f>
        <v/>
      </c>
      <c r="F37" s="10">
        <f>IFERROR(VLOOKUP(C37,▼売上原票!$A:$P,10,0)*VLOOKUP("615-1",▼マッピング!$A:$G,5,0)/100,0)</f>
        <v/>
      </c>
      <c r="G37" s="10">
        <f>IFERROR(VLOOKUP(C37,▼売上原票!$A:$P,5,0)*VLOOKUP("613-1",▼マッピング!$A:$G,5,0)/100,0)+IFERROR(VLOOKUP(C37,▼売上原票!$A:$P,6,0)*VLOOKUP("613-2",▼マッピング!$A:$G,5,0)/100,0)+IFERROR(VLOOKUP(C37,▼売上原票!$A:$P,7,0)*VLOOKUP("614-1",▼マッピング!$A:$G,5,0)/100,0)+IFERROR(VLOOKUP(C37,▼売上原票!$A:$P,8,0)*VLOOKUP("614-2",▼マッピング!$A:$G,5,0)/100,0)+IFERROR(VLOOKUP(C37,▼売上原票!$A:$P,9,0)*VLOOKUP("614-3",▼マッピング!$A:$G,5,0)/100,0)+IFERROR(VLOOKUP(C37,▼売上原票!$A:$P,11,0)*VLOOKUP("615-2",▼マッピング!$A:$G,5,0)/100,0)+IFERROR(VLOOKUP(C37,▼売上原票!$A:$P,12,0)*VLOOKUP("615-3",▼マッピング!$A:$G,5,0)/100,0)+IFERROR(VLOOKUP(C37,▼売上原票!$A:$P,13,0)*VLOOKUP("615-4",▼マッピング!$A:$G,5,0)/100,0)</f>
        <v/>
      </c>
      <c r="H37" s="11">
        <f>D37+E37+F37+G37</f>
        <v/>
      </c>
      <c r="I37" s="12" t="n"/>
      <c r="J37" s="12" t="n"/>
      <c r="K37" s="12" t="n"/>
      <c r="L37" s="12" t="n"/>
      <c r="M37" s="12" t="n"/>
      <c r="N37" s="12" t="n"/>
      <c r="O37" s="12" t="n"/>
      <c r="P37" s="13">
        <f>I37+J37+K37+L37+M37+N37+O37</f>
        <v/>
      </c>
      <c r="Q37" s="14">
        <f>H37-P37</f>
        <v/>
      </c>
      <c r="R37" s="15">
        <f>IF(H37&lt;&gt;0,Q37/H37,0)</f>
        <v/>
      </c>
      <c r="S37" s="16">
        <f>IF(R37&gt;=0.25,"◎ 優良",IF(R37&gt;=0.15,"○ 良好",IF(R37&gt;=0.05,"△ 要注意","× 赤字")))</f>
        <v/>
      </c>
      <c r="T37" s="24">
        <f>IF(H36&lt;&gt;0,H37/H36-1,"")</f>
        <v/>
      </c>
    </row>
    <row r="38" ht="22" customHeight="1">
      <c r="A38" s="20" t="inlineStr">
        <is>
          <t>C002</t>
        </is>
      </c>
      <c r="B38" s="21" t="inlineStr">
        <is>
          <t>都営地下鉄案件</t>
        </is>
      </c>
      <c r="C38" s="22" t="inlineStr">
        <is>
          <t>2025-10</t>
        </is>
      </c>
      <c r="D38" s="10">
        <f>IFERROR(VLOOKUP(C38,▼売上原票!$A:$P,3,0)*VLOOKUP("612-1",▼マッピング!$A:$G,5,0)/100,0)</f>
        <v/>
      </c>
      <c r="E38" s="10">
        <f>IFERROR(VLOOKUP(C38,▼売上原票!$A:$P,4,0)*VLOOKUP("612-2",▼マッピング!$A:$G,5,0)/100,0)</f>
        <v/>
      </c>
      <c r="F38" s="10">
        <f>IFERROR(VLOOKUP(C38,▼売上原票!$A:$P,10,0)*VLOOKUP("615-1",▼マッピング!$A:$G,5,0)/100,0)</f>
        <v/>
      </c>
      <c r="G38" s="10">
        <f>IFERROR(VLOOKUP(C38,▼売上原票!$A:$P,5,0)*VLOOKUP("613-1",▼マッピング!$A:$G,5,0)/100,0)+IFERROR(VLOOKUP(C38,▼売上原票!$A:$P,6,0)*VLOOKUP("613-2",▼マッピング!$A:$G,5,0)/100,0)+IFERROR(VLOOKUP(C38,▼売上原票!$A:$P,7,0)*VLOOKUP("614-1",▼マッピング!$A:$G,5,0)/100,0)+IFERROR(VLOOKUP(C38,▼売上原票!$A:$P,8,0)*VLOOKUP("614-2",▼マッピング!$A:$G,5,0)/100,0)+IFERROR(VLOOKUP(C38,▼売上原票!$A:$P,9,0)*VLOOKUP("614-3",▼マッピング!$A:$G,5,0)/100,0)+IFERROR(VLOOKUP(C38,▼売上原票!$A:$P,11,0)*VLOOKUP("615-2",▼マッピング!$A:$G,5,0)/100,0)+IFERROR(VLOOKUP(C38,▼売上原票!$A:$P,12,0)*VLOOKUP("615-3",▼マッピング!$A:$G,5,0)/100,0)+IFERROR(VLOOKUP(C38,▼売上原票!$A:$P,13,0)*VLOOKUP("615-4",▼マッピング!$A:$G,5,0)/100,0)</f>
        <v/>
      </c>
      <c r="H38" s="11">
        <f>D38+E38+F38+G38</f>
        <v/>
      </c>
      <c r="I38" s="12" t="n"/>
      <c r="J38" s="12" t="n"/>
      <c r="K38" s="12" t="n"/>
      <c r="L38" s="12" t="n"/>
      <c r="M38" s="12" t="n"/>
      <c r="N38" s="12" t="n"/>
      <c r="O38" s="12" t="n"/>
      <c r="P38" s="13">
        <f>I38+J38+K38+L38+M38+N38+O38</f>
        <v/>
      </c>
      <c r="Q38" s="14">
        <f>H38-P38</f>
        <v/>
      </c>
      <c r="R38" s="15">
        <f>IF(H38&lt;&gt;0,Q38/H38,0)</f>
        <v/>
      </c>
      <c r="S38" s="16">
        <f>IF(R38&gt;=0.25,"◎ 優良",IF(R38&gt;=0.15,"○ 良好",IF(R38&gt;=0.05,"△ 要注意","× 赤字")))</f>
        <v/>
      </c>
      <c r="T38" s="24">
        <f>IF(H37&lt;&gt;0,H38/H37-1,"")</f>
        <v/>
      </c>
    </row>
    <row r="39" ht="22" customHeight="1">
      <c r="A39" s="20" t="inlineStr">
        <is>
          <t>C002</t>
        </is>
      </c>
      <c r="B39" s="21" t="inlineStr">
        <is>
          <t>都営地下鉄案件</t>
        </is>
      </c>
      <c r="C39" s="22" t="inlineStr">
        <is>
          <t>2025-11</t>
        </is>
      </c>
      <c r="D39" s="10">
        <f>IFERROR(VLOOKUP(C39,▼売上原票!$A:$P,3,0)*VLOOKUP("612-1",▼マッピング!$A:$G,5,0)/100,0)</f>
        <v/>
      </c>
      <c r="E39" s="10">
        <f>IFERROR(VLOOKUP(C39,▼売上原票!$A:$P,4,0)*VLOOKUP("612-2",▼マッピング!$A:$G,5,0)/100,0)</f>
        <v/>
      </c>
      <c r="F39" s="10">
        <f>IFERROR(VLOOKUP(C39,▼売上原票!$A:$P,10,0)*VLOOKUP("615-1",▼マッピング!$A:$G,5,0)/100,0)</f>
        <v/>
      </c>
      <c r="G39" s="10">
        <f>IFERROR(VLOOKUP(C39,▼売上原票!$A:$P,5,0)*VLOOKUP("613-1",▼マッピング!$A:$G,5,0)/100,0)+IFERROR(VLOOKUP(C39,▼売上原票!$A:$P,6,0)*VLOOKUP("613-2",▼マッピング!$A:$G,5,0)/100,0)+IFERROR(VLOOKUP(C39,▼売上原票!$A:$P,7,0)*VLOOKUP("614-1",▼マッピング!$A:$G,5,0)/100,0)+IFERROR(VLOOKUP(C39,▼売上原票!$A:$P,8,0)*VLOOKUP("614-2",▼マッピング!$A:$G,5,0)/100,0)+IFERROR(VLOOKUP(C39,▼売上原票!$A:$P,9,0)*VLOOKUP("614-3",▼マッピング!$A:$G,5,0)/100,0)+IFERROR(VLOOKUP(C39,▼売上原票!$A:$P,11,0)*VLOOKUP("615-2",▼マッピング!$A:$G,5,0)/100,0)+IFERROR(VLOOKUP(C39,▼売上原票!$A:$P,12,0)*VLOOKUP("615-3",▼マッピング!$A:$G,5,0)/100,0)+IFERROR(VLOOKUP(C39,▼売上原票!$A:$P,13,0)*VLOOKUP("615-4",▼マッピング!$A:$G,5,0)/100,0)</f>
        <v/>
      </c>
      <c r="H39" s="11">
        <f>D39+E39+F39+G39</f>
        <v/>
      </c>
      <c r="I39" s="12" t="n"/>
      <c r="J39" s="12" t="n"/>
      <c r="K39" s="12" t="n"/>
      <c r="L39" s="12" t="n"/>
      <c r="M39" s="12" t="n"/>
      <c r="N39" s="12" t="n"/>
      <c r="O39" s="12" t="n"/>
      <c r="P39" s="13">
        <f>I39+J39+K39+L39+M39+N39+O39</f>
        <v/>
      </c>
      <c r="Q39" s="14">
        <f>H39-P39</f>
        <v/>
      </c>
      <c r="R39" s="15">
        <f>IF(H39&lt;&gt;0,Q39/H39,0)</f>
        <v/>
      </c>
      <c r="S39" s="16">
        <f>IF(R39&gt;=0.25,"◎ 優良",IF(R39&gt;=0.15,"○ 良好",IF(R39&gt;=0.05,"△ 要注意","× 赤字")))</f>
        <v/>
      </c>
      <c r="T39" s="24">
        <f>IF(H38&lt;&gt;0,H39/H38-1,"")</f>
        <v/>
      </c>
    </row>
    <row r="40" ht="8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</row>
    <row r="41" ht="22" customHeight="1">
      <c r="A41" s="16" t="inlineStr">
        <is>
          <t>C003</t>
        </is>
      </c>
      <c r="B41" s="25" t="inlineStr">
        <is>
          <t>一般事業者案件</t>
        </is>
      </c>
      <c r="C41" s="26" t="inlineStr">
        <is>
          <t>2024-07</t>
        </is>
      </c>
      <c r="D41" s="10">
        <f>IFERROR(VLOOKUP(C41,▼売上原票!$A:$P,3,0)*VLOOKUP("612-1",▼マッピング!$A:$G,6,0)/100,0)</f>
        <v/>
      </c>
      <c r="E41" s="10">
        <f>IFERROR(VLOOKUP(C41,▼売上原票!$A:$P,4,0)*VLOOKUP("612-2",▼マッピング!$A:$G,6,0)/100,0)</f>
        <v/>
      </c>
      <c r="F41" s="10">
        <f>IFERROR(VLOOKUP(C41,▼売上原票!$A:$P,10,0)*VLOOKUP("615-1",▼マッピング!$A:$G,6,0)/100,0)</f>
        <v/>
      </c>
      <c r="G41" s="10">
        <f>IFERROR(VLOOKUP(C41,▼売上原票!$A:$P,5,0)*VLOOKUP("613-1",▼マッピング!$A:$G,6,0)/100,0)+IFERROR(VLOOKUP(C41,▼売上原票!$A:$P,6,0)*VLOOKUP("613-2",▼マッピング!$A:$G,6,0)/100,0)+IFERROR(VLOOKUP(C41,▼売上原票!$A:$P,7,0)*VLOOKUP("614-1",▼マッピング!$A:$G,6,0)/100,0)+IFERROR(VLOOKUP(C41,▼売上原票!$A:$P,8,0)*VLOOKUP("614-2",▼マッピング!$A:$G,6,0)/100,0)+IFERROR(VLOOKUP(C41,▼売上原票!$A:$P,9,0)*VLOOKUP("614-3",▼マッピング!$A:$G,6,0)/100,0)+IFERROR(VLOOKUP(C41,▼売上原票!$A:$P,11,0)*VLOOKUP("615-2",▼マッピング!$A:$G,6,0)/100,0)+IFERROR(VLOOKUP(C41,▼売上原票!$A:$P,12,0)*VLOOKUP("615-3",▼マッピング!$A:$G,6,0)/100,0)+IFERROR(VLOOKUP(C41,▼売上原票!$A:$P,13,0)*VLOOKUP("615-4",▼マッピング!$A:$G,6,0)/100,0)</f>
        <v/>
      </c>
      <c r="H41" s="11">
        <f>D41+E41+F41+G41</f>
        <v/>
      </c>
      <c r="I41" s="12" t="n"/>
      <c r="J41" s="12" t="n"/>
      <c r="K41" s="12" t="n"/>
      <c r="L41" s="12" t="n"/>
      <c r="M41" s="12" t="n"/>
      <c r="N41" s="12" t="n"/>
      <c r="O41" s="12" t="n"/>
      <c r="P41" s="13">
        <f>I41+J41+K41+L41+M41+N41+O41</f>
        <v/>
      </c>
      <c r="Q41" s="14">
        <f>H41-P41</f>
        <v/>
      </c>
      <c r="R41" s="15">
        <f>IF(H41&lt;&gt;0,Q41/H41,0)</f>
        <v/>
      </c>
      <c r="S41" s="16">
        <f>IF(R41&gt;=0.25,"◎ 優良",IF(R41&gt;=0.15,"○ 良好",IF(R41&gt;=0.05,"△ 要注意","× 赤字")))</f>
        <v/>
      </c>
      <c r="T41" s="27" t="inlineStr">
        <is>
          <t>—</t>
        </is>
      </c>
    </row>
    <row r="42" ht="22" customHeight="1">
      <c r="A42" s="16" t="inlineStr">
        <is>
          <t>C003</t>
        </is>
      </c>
      <c r="B42" s="25" t="inlineStr">
        <is>
          <t>一般事業者案件</t>
        </is>
      </c>
      <c r="C42" s="26" t="inlineStr">
        <is>
          <t>2024-08</t>
        </is>
      </c>
      <c r="D42" s="10">
        <f>IFERROR(VLOOKUP(C42,▼売上原票!$A:$P,3,0)*VLOOKUP("612-1",▼マッピング!$A:$G,6,0)/100,0)</f>
        <v/>
      </c>
      <c r="E42" s="10">
        <f>IFERROR(VLOOKUP(C42,▼売上原票!$A:$P,4,0)*VLOOKUP("612-2",▼マッピング!$A:$G,6,0)/100,0)</f>
        <v/>
      </c>
      <c r="F42" s="10">
        <f>IFERROR(VLOOKUP(C42,▼売上原票!$A:$P,10,0)*VLOOKUP("615-1",▼マッピング!$A:$G,6,0)/100,0)</f>
        <v/>
      </c>
      <c r="G42" s="10">
        <f>IFERROR(VLOOKUP(C42,▼売上原票!$A:$P,5,0)*VLOOKUP("613-1",▼マッピング!$A:$G,6,0)/100,0)+IFERROR(VLOOKUP(C42,▼売上原票!$A:$P,6,0)*VLOOKUP("613-2",▼マッピング!$A:$G,6,0)/100,0)+IFERROR(VLOOKUP(C42,▼売上原票!$A:$P,7,0)*VLOOKUP("614-1",▼マッピング!$A:$G,6,0)/100,0)+IFERROR(VLOOKUP(C42,▼売上原票!$A:$P,8,0)*VLOOKUP("614-2",▼マッピング!$A:$G,6,0)/100,0)+IFERROR(VLOOKUP(C42,▼売上原票!$A:$P,9,0)*VLOOKUP("614-3",▼マッピング!$A:$G,6,0)/100,0)+IFERROR(VLOOKUP(C42,▼売上原票!$A:$P,11,0)*VLOOKUP("615-2",▼マッピング!$A:$G,6,0)/100,0)+IFERROR(VLOOKUP(C42,▼売上原票!$A:$P,12,0)*VLOOKUP("615-3",▼マッピング!$A:$G,6,0)/100,0)+IFERROR(VLOOKUP(C42,▼売上原票!$A:$P,13,0)*VLOOKUP("615-4",▼マッピング!$A:$G,6,0)/100,0)</f>
        <v/>
      </c>
      <c r="H42" s="11">
        <f>D42+E42+F42+G42</f>
        <v/>
      </c>
      <c r="I42" s="12" t="n"/>
      <c r="J42" s="12" t="n"/>
      <c r="K42" s="12" t="n"/>
      <c r="L42" s="12" t="n"/>
      <c r="M42" s="12" t="n"/>
      <c r="N42" s="12" t="n"/>
      <c r="O42" s="12" t="n"/>
      <c r="P42" s="13">
        <f>I42+J42+K42+L42+M42+N42+O42</f>
        <v/>
      </c>
      <c r="Q42" s="14">
        <f>H42-P42</f>
        <v/>
      </c>
      <c r="R42" s="15">
        <f>IF(H42&lt;&gt;0,Q42/H42,0)</f>
        <v/>
      </c>
      <c r="S42" s="16">
        <f>IF(R42&gt;=0.25,"◎ 優良",IF(R42&gt;=0.15,"○ 良好",IF(R42&gt;=0.05,"△ 要注意","× 赤字")))</f>
        <v/>
      </c>
      <c r="T42" s="28">
        <f>IF(H41&lt;&gt;0,H42/H41-1,"")</f>
        <v/>
      </c>
    </row>
    <row r="43" ht="22" customHeight="1">
      <c r="A43" s="16" t="inlineStr">
        <is>
          <t>C003</t>
        </is>
      </c>
      <c r="B43" s="25" t="inlineStr">
        <is>
          <t>一般事業者案件</t>
        </is>
      </c>
      <c r="C43" s="26" t="inlineStr">
        <is>
          <t>2024-09</t>
        </is>
      </c>
      <c r="D43" s="10">
        <f>IFERROR(VLOOKUP(C43,▼売上原票!$A:$P,3,0)*VLOOKUP("612-1",▼マッピング!$A:$G,6,0)/100,0)</f>
        <v/>
      </c>
      <c r="E43" s="10">
        <f>IFERROR(VLOOKUP(C43,▼売上原票!$A:$P,4,0)*VLOOKUP("612-2",▼マッピング!$A:$G,6,0)/100,0)</f>
        <v/>
      </c>
      <c r="F43" s="10">
        <f>IFERROR(VLOOKUP(C43,▼売上原票!$A:$P,10,0)*VLOOKUP("615-1",▼マッピング!$A:$G,6,0)/100,0)</f>
        <v/>
      </c>
      <c r="G43" s="10">
        <f>IFERROR(VLOOKUP(C43,▼売上原票!$A:$P,5,0)*VLOOKUP("613-1",▼マッピング!$A:$G,6,0)/100,0)+IFERROR(VLOOKUP(C43,▼売上原票!$A:$P,6,0)*VLOOKUP("613-2",▼マッピング!$A:$G,6,0)/100,0)+IFERROR(VLOOKUP(C43,▼売上原票!$A:$P,7,0)*VLOOKUP("614-1",▼マッピング!$A:$G,6,0)/100,0)+IFERROR(VLOOKUP(C43,▼売上原票!$A:$P,8,0)*VLOOKUP("614-2",▼マッピング!$A:$G,6,0)/100,0)+IFERROR(VLOOKUP(C43,▼売上原票!$A:$P,9,0)*VLOOKUP("614-3",▼マッピング!$A:$G,6,0)/100,0)+IFERROR(VLOOKUP(C43,▼売上原票!$A:$P,11,0)*VLOOKUP("615-2",▼マッピング!$A:$G,6,0)/100,0)+IFERROR(VLOOKUP(C43,▼売上原票!$A:$P,12,0)*VLOOKUP("615-3",▼マッピング!$A:$G,6,0)/100,0)+IFERROR(VLOOKUP(C43,▼売上原票!$A:$P,13,0)*VLOOKUP("615-4",▼マッピング!$A:$G,6,0)/100,0)</f>
        <v/>
      </c>
      <c r="H43" s="11">
        <f>D43+E43+F43+G43</f>
        <v/>
      </c>
      <c r="I43" s="12" t="n"/>
      <c r="J43" s="12" t="n"/>
      <c r="K43" s="12" t="n"/>
      <c r="L43" s="12" t="n"/>
      <c r="M43" s="12" t="n"/>
      <c r="N43" s="12" t="n"/>
      <c r="O43" s="12" t="n"/>
      <c r="P43" s="13">
        <f>I43+J43+K43+L43+M43+N43+O43</f>
        <v/>
      </c>
      <c r="Q43" s="14">
        <f>H43-P43</f>
        <v/>
      </c>
      <c r="R43" s="15">
        <f>IF(H43&lt;&gt;0,Q43/H43,0)</f>
        <v/>
      </c>
      <c r="S43" s="16">
        <f>IF(R43&gt;=0.25,"◎ 優良",IF(R43&gt;=0.15,"○ 良好",IF(R43&gt;=0.05,"△ 要注意","× 赤字")))</f>
        <v/>
      </c>
      <c r="T43" s="28">
        <f>IF(H42&lt;&gt;0,H43/H42-1,"")</f>
        <v/>
      </c>
    </row>
    <row r="44" ht="22" customHeight="1">
      <c r="A44" s="16" t="inlineStr">
        <is>
          <t>C003</t>
        </is>
      </c>
      <c r="B44" s="25" t="inlineStr">
        <is>
          <t>一般事業者案件</t>
        </is>
      </c>
      <c r="C44" s="26" t="inlineStr">
        <is>
          <t>2024-10</t>
        </is>
      </c>
      <c r="D44" s="10">
        <f>IFERROR(VLOOKUP(C44,▼売上原票!$A:$P,3,0)*VLOOKUP("612-1",▼マッピング!$A:$G,6,0)/100,0)</f>
        <v/>
      </c>
      <c r="E44" s="10">
        <f>IFERROR(VLOOKUP(C44,▼売上原票!$A:$P,4,0)*VLOOKUP("612-2",▼マッピング!$A:$G,6,0)/100,0)</f>
        <v/>
      </c>
      <c r="F44" s="10">
        <f>IFERROR(VLOOKUP(C44,▼売上原票!$A:$P,10,0)*VLOOKUP("615-1",▼マッピング!$A:$G,6,0)/100,0)</f>
        <v/>
      </c>
      <c r="G44" s="10">
        <f>IFERROR(VLOOKUP(C44,▼売上原票!$A:$P,5,0)*VLOOKUP("613-1",▼マッピング!$A:$G,6,0)/100,0)+IFERROR(VLOOKUP(C44,▼売上原票!$A:$P,6,0)*VLOOKUP("613-2",▼マッピング!$A:$G,6,0)/100,0)+IFERROR(VLOOKUP(C44,▼売上原票!$A:$P,7,0)*VLOOKUP("614-1",▼マッピング!$A:$G,6,0)/100,0)+IFERROR(VLOOKUP(C44,▼売上原票!$A:$P,8,0)*VLOOKUP("614-2",▼マッピング!$A:$G,6,0)/100,0)+IFERROR(VLOOKUP(C44,▼売上原票!$A:$P,9,0)*VLOOKUP("614-3",▼マッピング!$A:$G,6,0)/100,0)+IFERROR(VLOOKUP(C44,▼売上原票!$A:$P,11,0)*VLOOKUP("615-2",▼マッピング!$A:$G,6,0)/100,0)+IFERROR(VLOOKUP(C44,▼売上原票!$A:$P,12,0)*VLOOKUP("615-3",▼マッピング!$A:$G,6,0)/100,0)+IFERROR(VLOOKUP(C44,▼売上原票!$A:$P,13,0)*VLOOKUP("615-4",▼マッピング!$A:$G,6,0)/100,0)</f>
        <v/>
      </c>
      <c r="H44" s="11">
        <f>D44+E44+F44+G44</f>
        <v/>
      </c>
      <c r="I44" s="12" t="n"/>
      <c r="J44" s="12" t="n"/>
      <c r="K44" s="12" t="n"/>
      <c r="L44" s="12" t="n"/>
      <c r="M44" s="12" t="n"/>
      <c r="N44" s="12" t="n"/>
      <c r="O44" s="12" t="n"/>
      <c r="P44" s="13">
        <f>I44+J44+K44+L44+M44+N44+O44</f>
        <v/>
      </c>
      <c r="Q44" s="14">
        <f>H44-P44</f>
        <v/>
      </c>
      <c r="R44" s="15">
        <f>IF(H44&lt;&gt;0,Q44/H44,0)</f>
        <v/>
      </c>
      <c r="S44" s="16">
        <f>IF(R44&gt;=0.25,"◎ 優良",IF(R44&gt;=0.15,"○ 良好",IF(R44&gt;=0.05,"△ 要注意","× 赤字")))</f>
        <v/>
      </c>
      <c r="T44" s="28">
        <f>IF(H43&lt;&gt;0,H44/H43-1,"")</f>
        <v/>
      </c>
    </row>
    <row r="45" ht="22" customHeight="1">
      <c r="A45" s="16" t="inlineStr">
        <is>
          <t>C003</t>
        </is>
      </c>
      <c r="B45" s="25" t="inlineStr">
        <is>
          <t>一般事業者案件</t>
        </is>
      </c>
      <c r="C45" s="26" t="inlineStr">
        <is>
          <t>2024-11</t>
        </is>
      </c>
      <c r="D45" s="10">
        <f>IFERROR(VLOOKUP(C45,▼売上原票!$A:$P,3,0)*VLOOKUP("612-1",▼マッピング!$A:$G,6,0)/100,0)</f>
        <v/>
      </c>
      <c r="E45" s="10">
        <f>IFERROR(VLOOKUP(C45,▼売上原票!$A:$P,4,0)*VLOOKUP("612-2",▼マッピング!$A:$G,6,0)/100,0)</f>
        <v/>
      </c>
      <c r="F45" s="10">
        <f>IFERROR(VLOOKUP(C45,▼売上原票!$A:$P,10,0)*VLOOKUP("615-1",▼マッピング!$A:$G,6,0)/100,0)</f>
        <v/>
      </c>
      <c r="G45" s="10">
        <f>IFERROR(VLOOKUP(C45,▼売上原票!$A:$P,5,0)*VLOOKUP("613-1",▼マッピング!$A:$G,6,0)/100,0)+IFERROR(VLOOKUP(C45,▼売上原票!$A:$P,6,0)*VLOOKUP("613-2",▼マッピング!$A:$G,6,0)/100,0)+IFERROR(VLOOKUP(C45,▼売上原票!$A:$P,7,0)*VLOOKUP("614-1",▼マッピング!$A:$G,6,0)/100,0)+IFERROR(VLOOKUP(C45,▼売上原票!$A:$P,8,0)*VLOOKUP("614-2",▼マッピング!$A:$G,6,0)/100,0)+IFERROR(VLOOKUP(C45,▼売上原票!$A:$P,9,0)*VLOOKUP("614-3",▼マッピング!$A:$G,6,0)/100,0)+IFERROR(VLOOKUP(C45,▼売上原票!$A:$P,11,0)*VLOOKUP("615-2",▼マッピング!$A:$G,6,0)/100,0)+IFERROR(VLOOKUP(C45,▼売上原票!$A:$P,12,0)*VLOOKUP("615-3",▼マッピング!$A:$G,6,0)/100,0)+IFERROR(VLOOKUP(C45,▼売上原票!$A:$P,13,0)*VLOOKUP("615-4",▼マッピング!$A:$G,6,0)/100,0)</f>
        <v/>
      </c>
      <c r="H45" s="11">
        <f>D45+E45+F45+G45</f>
        <v/>
      </c>
      <c r="I45" s="12" t="n"/>
      <c r="J45" s="12" t="n"/>
      <c r="K45" s="12" t="n"/>
      <c r="L45" s="12" t="n"/>
      <c r="M45" s="12" t="n"/>
      <c r="N45" s="12" t="n"/>
      <c r="O45" s="12" t="n"/>
      <c r="P45" s="13">
        <f>I45+J45+K45+L45+M45+N45+O45</f>
        <v/>
      </c>
      <c r="Q45" s="14">
        <f>H45-P45</f>
        <v/>
      </c>
      <c r="R45" s="15">
        <f>IF(H45&lt;&gt;0,Q45/H45,0)</f>
        <v/>
      </c>
      <c r="S45" s="16">
        <f>IF(R45&gt;=0.25,"◎ 優良",IF(R45&gt;=0.15,"○ 良好",IF(R45&gt;=0.05,"△ 要注意","× 赤字")))</f>
        <v/>
      </c>
      <c r="T45" s="28">
        <f>IF(H44&lt;&gt;0,H45/H44-1,"")</f>
        <v/>
      </c>
    </row>
    <row r="46" ht="22" customHeight="1">
      <c r="A46" s="16" t="inlineStr">
        <is>
          <t>C003</t>
        </is>
      </c>
      <c r="B46" s="25" t="inlineStr">
        <is>
          <t>一般事業者案件</t>
        </is>
      </c>
      <c r="C46" s="26" t="inlineStr">
        <is>
          <t>2024-12</t>
        </is>
      </c>
      <c r="D46" s="10">
        <f>IFERROR(VLOOKUP(C46,▼売上原票!$A:$P,3,0)*VLOOKUP("612-1",▼マッピング!$A:$G,6,0)/100,0)</f>
        <v/>
      </c>
      <c r="E46" s="10">
        <f>IFERROR(VLOOKUP(C46,▼売上原票!$A:$P,4,0)*VLOOKUP("612-2",▼マッピング!$A:$G,6,0)/100,0)</f>
        <v/>
      </c>
      <c r="F46" s="10">
        <f>IFERROR(VLOOKUP(C46,▼売上原票!$A:$P,10,0)*VLOOKUP("615-1",▼マッピング!$A:$G,6,0)/100,0)</f>
        <v/>
      </c>
      <c r="G46" s="10">
        <f>IFERROR(VLOOKUP(C46,▼売上原票!$A:$P,5,0)*VLOOKUP("613-1",▼マッピング!$A:$G,6,0)/100,0)+IFERROR(VLOOKUP(C46,▼売上原票!$A:$P,6,0)*VLOOKUP("613-2",▼マッピング!$A:$G,6,0)/100,0)+IFERROR(VLOOKUP(C46,▼売上原票!$A:$P,7,0)*VLOOKUP("614-1",▼マッピング!$A:$G,6,0)/100,0)+IFERROR(VLOOKUP(C46,▼売上原票!$A:$P,8,0)*VLOOKUP("614-2",▼マッピング!$A:$G,6,0)/100,0)+IFERROR(VLOOKUP(C46,▼売上原票!$A:$P,9,0)*VLOOKUP("614-3",▼マッピング!$A:$G,6,0)/100,0)+IFERROR(VLOOKUP(C46,▼売上原票!$A:$P,11,0)*VLOOKUP("615-2",▼マッピング!$A:$G,6,0)/100,0)+IFERROR(VLOOKUP(C46,▼売上原票!$A:$P,12,0)*VLOOKUP("615-3",▼マッピング!$A:$G,6,0)/100,0)+IFERROR(VLOOKUP(C46,▼売上原票!$A:$P,13,0)*VLOOKUP("615-4",▼マッピング!$A:$G,6,0)/100,0)</f>
        <v/>
      </c>
      <c r="H46" s="11">
        <f>D46+E46+F46+G46</f>
        <v/>
      </c>
      <c r="I46" s="12" t="n"/>
      <c r="J46" s="12" t="n"/>
      <c r="K46" s="12" t="n"/>
      <c r="L46" s="12" t="n"/>
      <c r="M46" s="12" t="n"/>
      <c r="N46" s="12" t="n"/>
      <c r="O46" s="12" t="n"/>
      <c r="P46" s="13">
        <f>I46+J46+K46+L46+M46+N46+O46</f>
        <v/>
      </c>
      <c r="Q46" s="14">
        <f>H46-P46</f>
        <v/>
      </c>
      <c r="R46" s="15">
        <f>IF(H46&lt;&gt;0,Q46/H46,0)</f>
        <v/>
      </c>
      <c r="S46" s="16">
        <f>IF(R46&gt;=0.25,"◎ 優良",IF(R46&gt;=0.15,"○ 良好",IF(R46&gt;=0.05,"△ 要注意","× 赤字")))</f>
        <v/>
      </c>
      <c r="T46" s="28">
        <f>IF(H45&lt;&gt;0,H46/H45-1,"")</f>
        <v/>
      </c>
    </row>
    <row r="47" ht="22" customHeight="1">
      <c r="A47" s="16" t="inlineStr">
        <is>
          <t>C003</t>
        </is>
      </c>
      <c r="B47" s="25" t="inlineStr">
        <is>
          <t>一般事業者案件</t>
        </is>
      </c>
      <c r="C47" s="26" t="inlineStr">
        <is>
          <t>2025-01</t>
        </is>
      </c>
      <c r="D47" s="10">
        <f>IFERROR(VLOOKUP(C47,▼売上原票!$A:$P,3,0)*VLOOKUP("612-1",▼マッピング!$A:$G,6,0)/100,0)</f>
        <v/>
      </c>
      <c r="E47" s="10">
        <f>IFERROR(VLOOKUP(C47,▼売上原票!$A:$P,4,0)*VLOOKUP("612-2",▼マッピング!$A:$G,6,0)/100,0)</f>
        <v/>
      </c>
      <c r="F47" s="10">
        <f>IFERROR(VLOOKUP(C47,▼売上原票!$A:$P,10,0)*VLOOKUP("615-1",▼マッピング!$A:$G,6,0)/100,0)</f>
        <v/>
      </c>
      <c r="G47" s="10">
        <f>IFERROR(VLOOKUP(C47,▼売上原票!$A:$P,5,0)*VLOOKUP("613-1",▼マッピング!$A:$G,6,0)/100,0)+IFERROR(VLOOKUP(C47,▼売上原票!$A:$P,6,0)*VLOOKUP("613-2",▼マッピング!$A:$G,6,0)/100,0)+IFERROR(VLOOKUP(C47,▼売上原票!$A:$P,7,0)*VLOOKUP("614-1",▼マッピング!$A:$G,6,0)/100,0)+IFERROR(VLOOKUP(C47,▼売上原票!$A:$P,8,0)*VLOOKUP("614-2",▼マッピング!$A:$G,6,0)/100,0)+IFERROR(VLOOKUP(C47,▼売上原票!$A:$P,9,0)*VLOOKUP("614-3",▼マッピング!$A:$G,6,0)/100,0)+IFERROR(VLOOKUP(C47,▼売上原票!$A:$P,11,0)*VLOOKUP("615-2",▼マッピング!$A:$G,6,0)/100,0)+IFERROR(VLOOKUP(C47,▼売上原票!$A:$P,12,0)*VLOOKUP("615-3",▼マッピング!$A:$G,6,0)/100,0)+IFERROR(VLOOKUP(C47,▼売上原票!$A:$P,13,0)*VLOOKUP("615-4",▼マッピング!$A:$G,6,0)/100,0)</f>
        <v/>
      </c>
      <c r="H47" s="11">
        <f>D47+E47+F47+G47</f>
        <v/>
      </c>
      <c r="I47" s="12" t="n"/>
      <c r="J47" s="12" t="n"/>
      <c r="K47" s="12" t="n"/>
      <c r="L47" s="12" t="n"/>
      <c r="M47" s="12" t="n"/>
      <c r="N47" s="12" t="n"/>
      <c r="O47" s="12" t="n"/>
      <c r="P47" s="13">
        <f>I47+J47+K47+L47+M47+N47+O47</f>
        <v/>
      </c>
      <c r="Q47" s="14">
        <f>H47-P47</f>
        <v/>
      </c>
      <c r="R47" s="15">
        <f>IF(H47&lt;&gt;0,Q47/H47,0)</f>
        <v/>
      </c>
      <c r="S47" s="16">
        <f>IF(R47&gt;=0.25,"◎ 優良",IF(R47&gt;=0.15,"○ 良好",IF(R47&gt;=0.05,"△ 要注意","× 赤字")))</f>
        <v/>
      </c>
      <c r="T47" s="28">
        <f>IF(H46&lt;&gt;0,H47/H46-1,"")</f>
        <v/>
      </c>
    </row>
    <row r="48" ht="22" customHeight="1">
      <c r="A48" s="16" t="inlineStr">
        <is>
          <t>C003</t>
        </is>
      </c>
      <c r="B48" s="25" t="inlineStr">
        <is>
          <t>一般事業者案件</t>
        </is>
      </c>
      <c r="C48" s="26" t="inlineStr">
        <is>
          <t>2025-02</t>
        </is>
      </c>
      <c r="D48" s="10">
        <f>IFERROR(VLOOKUP(C48,▼売上原票!$A:$P,3,0)*VLOOKUP("612-1",▼マッピング!$A:$G,6,0)/100,0)</f>
        <v/>
      </c>
      <c r="E48" s="10">
        <f>IFERROR(VLOOKUP(C48,▼売上原票!$A:$P,4,0)*VLOOKUP("612-2",▼マッピング!$A:$G,6,0)/100,0)</f>
        <v/>
      </c>
      <c r="F48" s="10">
        <f>IFERROR(VLOOKUP(C48,▼売上原票!$A:$P,10,0)*VLOOKUP("615-1",▼マッピング!$A:$G,6,0)/100,0)</f>
        <v/>
      </c>
      <c r="G48" s="10">
        <f>IFERROR(VLOOKUP(C48,▼売上原票!$A:$P,5,0)*VLOOKUP("613-1",▼マッピング!$A:$G,6,0)/100,0)+IFERROR(VLOOKUP(C48,▼売上原票!$A:$P,6,0)*VLOOKUP("613-2",▼マッピング!$A:$G,6,0)/100,0)+IFERROR(VLOOKUP(C48,▼売上原票!$A:$P,7,0)*VLOOKUP("614-1",▼マッピング!$A:$G,6,0)/100,0)+IFERROR(VLOOKUP(C48,▼売上原票!$A:$P,8,0)*VLOOKUP("614-2",▼マッピング!$A:$G,6,0)/100,0)+IFERROR(VLOOKUP(C48,▼売上原票!$A:$P,9,0)*VLOOKUP("614-3",▼マッピング!$A:$G,6,0)/100,0)+IFERROR(VLOOKUP(C48,▼売上原票!$A:$P,11,0)*VLOOKUP("615-2",▼マッピング!$A:$G,6,0)/100,0)+IFERROR(VLOOKUP(C48,▼売上原票!$A:$P,12,0)*VLOOKUP("615-3",▼マッピング!$A:$G,6,0)/100,0)+IFERROR(VLOOKUP(C48,▼売上原票!$A:$P,13,0)*VLOOKUP("615-4",▼マッピング!$A:$G,6,0)/100,0)</f>
        <v/>
      </c>
      <c r="H48" s="11">
        <f>D48+E48+F48+G48</f>
        <v/>
      </c>
      <c r="I48" s="12" t="n"/>
      <c r="J48" s="12" t="n"/>
      <c r="K48" s="12" t="n"/>
      <c r="L48" s="12" t="n"/>
      <c r="M48" s="12" t="n"/>
      <c r="N48" s="12" t="n"/>
      <c r="O48" s="12" t="n"/>
      <c r="P48" s="13">
        <f>I48+J48+K48+L48+M48+N48+O48</f>
        <v/>
      </c>
      <c r="Q48" s="14">
        <f>H48-P48</f>
        <v/>
      </c>
      <c r="R48" s="15">
        <f>IF(H48&lt;&gt;0,Q48/H48,0)</f>
        <v/>
      </c>
      <c r="S48" s="16">
        <f>IF(R48&gt;=0.25,"◎ 優良",IF(R48&gt;=0.15,"○ 良好",IF(R48&gt;=0.05,"△ 要注意","× 赤字")))</f>
        <v/>
      </c>
      <c r="T48" s="28">
        <f>IF(H47&lt;&gt;0,H48/H47-1,"")</f>
        <v/>
      </c>
    </row>
    <row r="49" ht="22" customHeight="1">
      <c r="A49" s="16" t="inlineStr">
        <is>
          <t>C003</t>
        </is>
      </c>
      <c r="B49" s="25" t="inlineStr">
        <is>
          <t>一般事業者案件</t>
        </is>
      </c>
      <c r="C49" s="26" t="inlineStr">
        <is>
          <t>2025-03</t>
        </is>
      </c>
      <c r="D49" s="10">
        <f>IFERROR(VLOOKUP(C49,▼売上原票!$A:$P,3,0)*VLOOKUP("612-1",▼マッピング!$A:$G,6,0)/100,0)</f>
        <v/>
      </c>
      <c r="E49" s="10">
        <f>IFERROR(VLOOKUP(C49,▼売上原票!$A:$P,4,0)*VLOOKUP("612-2",▼マッピング!$A:$G,6,0)/100,0)</f>
        <v/>
      </c>
      <c r="F49" s="10">
        <f>IFERROR(VLOOKUP(C49,▼売上原票!$A:$P,10,0)*VLOOKUP("615-1",▼マッピング!$A:$G,6,0)/100,0)</f>
        <v/>
      </c>
      <c r="G49" s="10">
        <f>IFERROR(VLOOKUP(C49,▼売上原票!$A:$P,5,0)*VLOOKUP("613-1",▼マッピング!$A:$G,6,0)/100,0)+IFERROR(VLOOKUP(C49,▼売上原票!$A:$P,6,0)*VLOOKUP("613-2",▼マッピング!$A:$G,6,0)/100,0)+IFERROR(VLOOKUP(C49,▼売上原票!$A:$P,7,0)*VLOOKUP("614-1",▼マッピング!$A:$G,6,0)/100,0)+IFERROR(VLOOKUP(C49,▼売上原票!$A:$P,8,0)*VLOOKUP("614-2",▼マッピング!$A:$G,6,0)/100,0)+IFERROR(VLOOKUP(C49,▼売上原票!$A:$P,9,0)*VLOOKUP("614-3",▼マッピング!$A:$G,6,0)/100,0)+IFERROR(VLOOKUP(C49,▼売上原票!$A:$P,11,0)*VLOOKUP("615-2",▼マッピング!$A:$G,6,0)/100,0)+IFERROR(VLOOKUP(C49,▼売上原票!$A:$P,12,0)*VLOOKUP("615-3",▼マッピング!$A:$G,6,0)/100,0)+IFERROR(VLOOKUP(C49,▼売上原票!$A:$P,13,0)*VLOOKUP("615-4",▼マッピング!$A:$G,6,0)/100,0)</f>
        <v/>
      </c>
      <c r="H49" s="11">
        <f>D49+E49+F49+G49</f>
        <v/>
      </c>
      <c r="I49" s="12" t="n"/>
      <c r="J49" s="12" t="n"/>
      <c r="K49" s="12" t="n"/>
      <c r="L49" s="12" t="n"/>
      <c r="M49" s="12" t="n"/>
      <c r="N49" s="12" t="n"/>
      <c r="O49" s="12" t="n"/>
      <c r="P49" s="13">
        <f>I49+J49+K49+L49+M49+N49+O49</f>
        <v/>
      </c>
      <c r="Q49" s="14">
        <f>H49-P49</f>
        <v/>
      </c>
      <c r="R49" s="15">
        <f>IF(H49&lt;&gt;0,Q49/H49,0)</f>
        <v/>
      </c>
      <c r="S49" s="16">
        <f>IF(R49&gt;=0.25,"◎ 優良",IF(R49&gt;=0.15,"○ 良好",IF(R49&gt;=0.05,"△ 要注意","× 赤字")))</f>
        <v/>
      </c>
      <c r="T49" s="28">
        <f>IF(H48&lt;&gt;0,H49/H48-1,"")</f>
        <v/>
      </c>
    </row>
    <row r="50" ht="22" customHeight="1">
      <c r="A50" s="16" t="inlineStr">
        <is>
          <t>C003</t>
        </is>
      </c>
      <c r="B50" s="25" t="inlineStr">
        <is>
          <t>一般事業者案件</t>
        </is>
      </c>
      <c r="C50" s="26" t="inlineStr">
        <is>
          <t>2025-04</t>
        </is>
      </c>
      <c r="D50" s="10">
        <f>IFERROR(VLOOKUP(C50,▼売上原票!$A:$P,3,0)*VLOOKUP("612-1",▼マッピング!$A:$G,6,0)/100,0)</f>
        <v/>
      </c>
      <c r="E50" s="10">
        <f>IFERROR(VLOOKUP(C50,▼売上原票!$A:$P,4,0)*VLOOKUP("612-2",▼マッピング!$A:$G,6,0)/100,0)</f>
        <v/>
      </c>
      <c r="F50" s="10">
        <f>IFERROR(VLOOKUP(C50,▼売上原票!$A:$P,10,0)*VLOOKUP("615-1",▼マッピング!$A:$G,6,0)/100,0)</f>
        <v/>
      </c>
      <c r="G50" s="10">
        <f>IFERROR(VLOOKUP(C50,▼売上原票!$A:$P,5,0)*VLOOKUP("613-1",▼マッピング!$A:$G,6,0)/100,0)+IFERROR(VLOOKUP(C50,▼売上原票!$A:$P,6,0)*VLOOKUP("613-2",▼マッピング!$A:$G,6,0)/100,0)+IFERROR(VLOOKUP(C50,▼売上原票!$A:$P,7,0)*VLOOKUP("614-1",▼マッピング!$A:$G,6,0)/100,0)+IFERROR(VLOOKUP(C50,▼売上原票!$A:$P,8,0)*VLOOKUP("614-2",▼マッピング!$A:$G,6,0)/100,0)+IFERROR(VLOOKUP(C50,▼売上原票!$A:$P,9,0)*VLOOKUP("614-3",▼マッピング!$A:$G,6,0)/100,0)+IFERROR(VLOOKUP(C50,▼売上原票!$A:$P,11,0)*VLOOKUP("615-2",▼マッピング!$A:$G,6,0)/100,0)+IFERROR(VLOOKUP(C50,▼売上原票!$A:$P,12,0)*VLOOKUP("615-3",▼マッピング!$A:$G,6,0)/100,0)+IFERROR(VLOOKUP(C50,▼売上原票!$A:$P,13,0)*VLOOKUP("615-4",▼マッピング!$A:$G,6,0)/100,0)</f>
        <v/>
      </c>
      <c r="H50" s="11">
        <f>D50+E50+F50+G50</f>
        <v/>
      </c>
      <c r="I50" s="12" t="n"/>
      <c r="J50" s="12" t="n"/>
      <c r="K50" s="12" t="n"/>
      <c r="L50" s="12" t="n"/>
      <c r="M50" s="12" t="n"/>
      <c r="N50" s="12" t="n"/>
      <c r="O50" s="12" t="n"/>
      <c r="P50" s="13">
        <f>I50+J50+K50+L50+M50+N50+O50</f>
        <v/>
      </c>
      <c r="Q50" s="14">
        <f>H50-P50</f>
        <v/>
      </c>
      <c r="R50" s="15">
        <f>IF(H50&lt;&gt;0,Q50/H50,0)</f>
        <v/>
      </c>
      <c r="S50" s="16">
        <f>IF(R50&gt;=0.25,"◎ 優良",IF(R50&gt;=0.15,"○ 良好",IF(R50&gt;=0.05,"△ 要注意","× 赤字")))</f>
        <v/>
      </c>
      <c r="T50" s="28">
        <f>IF(H49&lt;&gt;0,H50/H49-1,"")</f>
        <v/>
      </c>
    </row>
    <row r="51" ht="22" customHeight="1">
      <c r="A51" s="16" t="inlineStr">
        <is>
          <t>C003</t>
        </is>
      </c>
      <c r="B51" s="25" t="inlineStr">
        <is>
          <t>一般事業者案件</t>
        </is>
      </c>
      <c r="C51" s="26" t="inlineStr">
        <is>
          <t>2025-05</t>
        </is>
      </c>
      <c r="D51" s="10">
        <f>IFERROR(VLOOKUP(C51,▼売上原票!$A:$P,3,0)*VLOOKUP("612-1",▼マッピング!$A:$G,6,0)/100,0)</f>
        <v/>
      </c>
      <c r="E51" s="10">
        <f>IFERROR(VLOOKUP(C51,▼売上原票!$A:$P,4,0)*VLOOKUP("612-2",▼マッピング!$A:$G,6,0)/100,0)</f>
        <v/>
      </c>
      <c r="F51" s="10">
        <f>IFERROR(VLOOKUP(C51,▼売上原票!$A:$P,10,0)*VLOOKUP("615-1",▼マッピング!$A:$G,6,0)/100,0)</f>
        <v/>
      </c>
      <c r="G51" s="10">
        <f>IFERROR(VLOOKUP(C51,▼売上原票!$A:$P,5,0)*VLOOKUP("613-1",▼マッピング!$A:$G,6,0)/100,0)+IFERROR(VLOOKUP(C51,▼売上原票!$A:$P,6,0)*VLOOKUP("613-2",▼マッピング!$A:$G,6,0)/100,0)+IFERROR(VLOOKUP(C51,▼売上原票!$A:$P,7,0)*VLOOKUP("614-1",▼マッピング!$A:$G,6,0)/100,0)+IFERROR(VLOOKUP(C51,▼売上原票!$A:$P,8,0)*VLOOKUP("614-2",▼マッピング!$A:$G,6,0)/100,0)+IFERROR(VLOOKUP(C51,▼売上原票!$A:$P,9,0)*VLOOKUP("614-3",▼マッピング!$A:$G,6,0)/100,0)+IFERROR(VLOOKUP(C51,▼売上原票!$A:$P,11,0)*VLOOKUP("615-2",▼マッピング!$A:$G,6,0)/100,0)+IFERROR(VLOOKUP(C51,▼売上原票!$A:$P,12,0)*VLOOKUP("615-3",▼マッピング!$A:$G,6,0)/100,0)+IFERROR(VLOOKUP(C51,▼売上原票!$A:$P,13,0)*VLOOKUP("615-4",▼マッピング!$A:$G,6,0)/100,0)</f>
        <v/>
      </c>
      <c r="H51" s="11">
        <f>D51+E51+F51+G51</f>
        <v/>
      </c>
      <c r="I51" s="12" t="n"/>
      <c r="J51" s="12" t="n"/>
      <c r="K51" s="12" t="n"/>
      <c r="L51" s="12" t="n"/>
      <c r="M51" s="12" t="n"/>
      <c r="N51" s="12" t="n"/>
      <c r="O51" s="12" t="n"/>
      <c r="P51" s="13">
        <f>I51+J51+K51+L51+M51+N51+O51</f>
        <v/>
      </c>
      <c r="Q51" s="14">
        <f>H51-P51</f>
        <v/>
      </c>
      <c r="R51" s="15">
        <f>IF(H51&lt;&gt;0,Q51/H51,0)</f>
        <v/>
      </c>
      <c r="S51" s="16">
        <f>IF(R51&gt;=0.25,"◎ 優良",IF(R51&gt;=0.15,"○ 良好",IF(R51&gt;=0.05,"△ 要注意","× 赤字")))</f>
        <v/>
      </c>
      <c r="T51" s="28">
        <f>IF(H50&lt;&gt;0,H51/H50-1,"")</f>
        <v/>
      </c>
    </row>
    <row r="52" ht="22" customHeight="1">
      <c r="A52" s="16" t="inlineStr">
        <is>
          <t>C003</t>
        </is>
      </c>
      <c r="B52" s="25" t="inlineStr">
        <is>
          <t>一般事業者案件</t>
        </is>
      </c>
      <c r="C52" s="26" t="inlineStr">
        <is>
          <t>2025-06</t>
        </is>
      </c>
      <c r="D52" s="10">
        <f>IFERROR(VLOOKUP(C52,▼売上原票!$A:$P,3,0)*VLOOKUP("612-1",▼マッピング!$A:$G,6,0)/100,0)</f>
        <v/>
      </c>
      <c r="E52" s="10">
        <f>IFERROR(VLOOKUP(C52,▼売上原票!$A:$P,4,0)*VLOOKUP("612-2",▼マッピング!$A:$G,6,0)/100,0)</f>
        <v/>
      </c>
      <c r="F52" s="10">
        <f>IFERROR(VLOOKUP(C52,▼売上原票!$A:$P,10,0)*VLOOKUP("615-1",▼マッピング!$A:$G,6,0)/100,0)</f>
        <v/>
      </c>
      <c r="G52" s="10">
        <f>IFERROR(VLOOKUP(C52,▼売上原票!$A:$P,5,0)*VLOOKUP("613-1",▼マッピング!$A:$G,6,0)/100,0)+IFERROR(VLOOKUP(C52,▼売上原票!$A:$P,6,0)*VLOOKUP("613-2",▼マッピング!$A:$G,6,0)/100,0)+IFERROR(VLOOKUP(C52,▼売上原票!$A:$P,7,0)*VLOOKUP("614-1",▼マッピング!$A:$G,6,0)/100,0)+IFERROR(VLOOKUP(C52,▼売上原票!$A:$P,8,0)*VLOOKUP("614-2",▼マッピング!$A:$G,6,0)/100,0)+IFERROR(VLOOKUP(C52,▼売上原票!$A:$P,9,0)*VLOOKUP("614-3",▼マッピング!$A:$G,6,0)/100,0)+IFERROR(VLOOKUP(C52,▼売上原票!$A:$P,11,0)*VLOOKUP("615-2",▼マッピング!$A:$G,6,0)/100,0)+IFERROR(VLOOKUP(C52,▼売上原票!$A:$P,12,0)*VLOOKUP("615-3",▼マッピング!$A:$G,6,0)/100,0)+IFERROR(VLOOKUP(C52,▼売上原票!$A:$P,13,0)*VLOOKUP("615-4",▼マッピング!$A:$G,6,0)/100,0)</f>
        <v/>
      </c>
      <c r="H52" s="11">
        <f>D52+E52+F52+G52</f>
        <v/>
      </c>
      <c r="I52" s="12" t="n"/>
      <c r="J52" s="12" t="n"/>
      <c r="K52" s="12" t="n"/>
      <c r="L52" s="12" t="n"/>
      <c r="M52" s="12" t="n"/>
      <c r="N52" s="12" t="n"/>
      <c r="O52" s="12" t="n"/>
      <c r="P52" s="13">
        <f>I52+J52+K52+L52+M52+N52+O52</f>
        <v/>
      </c>
      <c r="Q52" s="14">
        <f>H52-P52</f>
        <v/>
      </c>
      <c r="R52" s="15">
        <f>IF(H52&lt;&gt;0,Q52/H52,0)</f>
        <v/>
      </c>
      <c r="S52" s="16">
        <f>IF(R52&gt;=0.25,"◎ 優良",IF(R52&gt;=0.15,"○ 良好",IF(R52&gt;=0.05,"△ 要注意","× 赤字")))</f>
        <v/>
      </c>
      <c r="T52" s="28">
        <f>IF(H51&lt;&gt;0,H52/H51-1,"")</f>
        <v/>
      </c>
    </row>
    <row r="53" ht="22" customHeight="1">
      <c r="A53" s="16" t="inlineStr">
        <is>
          <t>C003</t>
        </is>
      </c>
      <c r="B53" s="25" t="inlineStr">
        <is>
          <t>一般事業者案件</t>
        </is>
      </c>
      <c r="C53" s="26" t="inlineStr">
        <is>
          <t>2025-07</t>
        </is>
      </c>
      <c r="D53" s="10">
        <f>IFERROR(VLOOKUP(C53,▼売上原票!$A:$P,3,0)*VLOOKUP("612-1",▼マッピング!$A:$G,6,0)/100,0)</f>
        <v/>
      </c>
      <c r="E53" s="10">
        <f>IFERROR(VLOOKUP(C53,▼売上原票!$A:$P,4,0)*VLOOKUP("612-2",▼マッピング!$A:$G,6,0)/100,0)</f>
        <v/>
      </c>
      <c r="F53" s="10">
        <f>IFERROR(VLOOKUP(C53,▼売上原票!$A:$P,10,0)*VLOOKUP("615-1",▼マッピング!$A:$G,6,0)/100,0)</f>
        <v/>
      </c>
      <c r="G53" s="10">
        <f>IFERROR(VLOOKUP(C53,▼売上原票!$A:$P,5,0)*VLOOKUP("613-1",▼マッピング!$A:$G,6,0)/100,0)+IFERROR(VLOOKUP(C53,▼売上原票!$A:$P,6,0)*VLOOKUP("613-2",▼マッピング!$A:$G,6,0)/100,0)+IFERROR(VLOOKUP(C53,▼売上原票!$A:$P,7,0)*VLOOKUP("614-1",▼マッピング!$A:$G,6,0)/100,0)+IFERROR(VLOOKUP(C53,▼売上原票!$A:$P,8,0)*VLOOKUP("614-2",▼マッピング!$A:$G,6,0)/100,0)+IFERROR(VLOOKUP(C53,▼売上原票!$A:$P,9,0)*VLOOKUP("614-3",▼マッピング!$A:$G,6,0)/100,0)+IFERROR(VLOOKUP(C53,▼売上原票!$A:$P,11,0)*VLOOKUP("615-2",▼マッピング!$A:$G,6,0)/100,0)+IFERROR(VLOOKUP(C53,▼売上原票!$A:$P,12,0)*VLOOKUP("615-3",▼マッピング!$A:$G,6,0)/100,0)+IFERROR(VLOOKUP(C53,▼売上原票!$A:$P,13,0)*VLOOKUP("615-4",▼マッピング!$A:$G,6,0)/100,0)</f>
        <v/>
      </c>
      <c r="H53" s="11">
        <f>D53+E53+F53+G53</f>
        <v/>
      </c>
      <c r="I53" s="12" t="n"/>
      <c r="J53" s="12" t="n"/>
      <c r="K53" s="12" t="n"/>
      <c r="L53" s="12" t="n"/>
      <c r="M53" s="12" t="n"/>
      <c r="N53" s="12" t="n"/>
      <c r="O53" s="12" t="n"/>
      <c r="P53" s="13">
        <f>I53+J53+K53+L53+M53+N53+O53</f>
        <v/>
      </c>
      <c r="Q53" s="14">
        <f>H53-P53</f>
        <v/>
      </c>
      <c r="R53" s="15">
        <f>IF(H53&lt;&gt;0,Q53/H53,0)</f>
        <v/>
      </c>
      <c r="S53" s="16">
        <f>IF(R53&gt;=0.25,"◎ 優良",IF(R53&gt;=0.15,"○ 良好",IF(R53&gt;=0.05,"△ 要注意","× 赤字")))</f>
        <v/>
      </c>
      <c r="T53" s="28">
        <f>IF(H52&lt;&gt;0,H53/H52-1,"")</f>
        <v/>
      </c>
    </row>
    <row r="54" ht="22" customHeight="1">
      <c r="A54" s="16" t="inlineStr">
        <is>
          <t>C003</t>
        </is>
      </c>
      <c r="B54" s="25" t="inlineStr">
        <is>
          <t>一般事業者案件</t>
        </is>
      </c>
      <c r="C54" s="26" t="inlineStr">
        <is>
          <t>2025-08</t>
        </is>
      </c>
      <c r="D54" s="10">
        <f>IFERROR(VLOOKUP(C54,▼売上原票!$A:$P,3,0)*VLOOKUP("612-1",▼マッピング!$A:$G,6,0)/100,0)</f>
        <v/>
      </c>
      <c r="E54" s="10">
        <f>IFERROR(VLOOKUP(C54,▼売上原票!$A:$P,4,0)*VLOOKUP("612-2",▼マッピング!$A:$G,6,0)/100,0)</f>
        <v/>
      </c>
      <c r="F54" s="10">
        <f>IFERROR(VLOOKUP(C54,▼売上原票!$A:$P,10,0)*VLOOKUP("615-1",▼マッピング!$A:$G,6,0)/100,0)</f>
        <v/>
      </c>
      <c r="G54" s="10">
        <f>IFERROR(VLOOKUP(C54,▼売上原票!$A:$P,5,0)*VLOOKUP("613-1",▼マッピング!$A:$G,6,0)/100,0)+IFERROR(VLOOKUP(C54,▼売上原票!$A:$P,6,0)*VLOOKUP("613-2",▼マッピング!$A:$G,6,0)/100,0)+IFERROR(VLOOKUP(C54,▼売上原票!$A:$P,7,0)*VLOOKUP("614-1",▼マッピング!$A:$G,6,0)/100,0)+IFERROR(VLOOKUP(C54,▼売上原票!$A:$P,8,0)*VLOOKUP("614-2",▼マッピング!$A:$G,6,0)/100,0)+IFERROR(VLOOKUP(C54,▼売上原票!$A:$P,9,0)*VLOOKUP("614-3",▼マッピング!$A:$G,6,0)/100,0)+IFERROR(VLOOKUP(C54,▼売上原票!$A:$P,11,0)*VLOOKUP("615-2",▼マッピング!$A:$G,6,0)/100,0)+IFERROR(VLOOKUP(C54,▼売上原票!$A:$P,12,0)*VLOOKUP("615-3",▼マッピング!$A:$G,6,0)/100,0)+IFERROR(VLOOKUP(C54,▼売上原票!$A:$P,13,0)*VLOOKUP("615-4",▼マッピング!$A:$G,6,0)/100,0)</f>
        <v/>
      </c>
      <c r="H54" s="11">
        <f>D54+E54+F54+G54</f>
        <v/>
      </c>
      <c r="I54" s="12" t="n"/>
      <c r="J54" s="12" t="n"/>
      <c r="K54" s="12" t="n"/>
      <c r="L54" s="12" t="n"/>
      <c r="M54" s="12" t="n"/>
      <c r="N54" s="12" t="n"/>
      <c r="O54" s="12" t="n"/>
      <c r="P54" s="13">
        <f>I54+J54+K54+L54+M54+N54+O54</f>
        <v/>
      </c>
      <c r="Q54" s="14">
        <f>H54-P54</f>
        <v/>
      </c>
      <c r="R54" s="15">
        <f>IF(H54&lt;&gt;0,Q54/H54,0)</f>
        <v/>
      </c>
      <c r="S54" s="16">
        <f>IF(R54&gt;=0.25,"◎ 優良",IF(R54&gt;=0.15,"○ 良好",IF(R54&gt;=0.05,"△ 要注意","× 赤字")))</f>
        <v/>
      </c>
      <c r="T54" s="28">
        <f>IF(H53&lt;&gt;0,H54/H53-1,"")</f>
        <v/>
      </c>
    </row>
    <row r="55" ht="22" customHeight="1">
      <c r="A55" s="16" t="inlineStr">
        <is>
          <t>C003</t>
        </is>
      </c>
      <c r="B55" s="25" t="inlineStr">
        <is>
          <t>一般事業者案件</t>
        </is>
      </c>
      <c r="C55" s="26" t="inlineStr">
        <is>
          <t>2025-09</t>
        </is>
      </c>
      <c r="D55" s="10">
        <f>IFERROR(VLOOKUP(C55,▼売上原票!$A:$P,3,0)*VLOOKUP("612-1",▼マッピング!$A:$G,6,0)/100,0)</f>
        <v/>
      </c>
      <c r="E55" s="10">
        <f>IFERROR(VLOOKUP(C55,▼売上原票!$A:$P,4,0)*VLOOKUP("612-2",▼マッピング!$A:$G,6,0)/100,0)</f>
        <v/>
      </c>
      <c r="F55" s="10">
        <f>IFERROR(VLOOKUP(C55,▼売上原票!$A:$P,10,0)*VLOOKUP("615-1",▼マッピング!$A:$G,6,0)/100,0)</f>
        <v/>
      </c>
      <c r="G55" s="10">
        <f>IFERROR(VLOOKUP(C55,▼売上原票!$A:$P,5,0)*VLOOKUP("613-1",▼マッピング!$A:$G,6,0)/100,0)+IFERROR(VLOOKUP(C55,▼売上原票!$A:$P,6,0)*VLOOKUP("613-2",▼マッピング!$A:$G,6,0)/100,0)+IFERROR(VLOOKUP(C55,▼売上原票!$A:$P,7,0)*VLOOKUP("614-1",▼マッピング!$A:$G,6,0)/100,0)+IFERROR(VLOOKUP(C55,▼売上原票!$A:$P,8,0)*VLOOKUP("614-2",▼マッピング!$A:$G,6,0)/100,0)+IFERROR(VLOOKUP(C55,▼売上原票!$A:$P,9,0)*VLOOKUP("614-3",▼マッピング!$A:$G,6,0)/100,0)+IFERROR(VLOOKUP(C55,▼売上原票!$A:$P,11,0)*VLOOKUP("615-2",▼マッピング!$A:$G,6,0)/100,0)+IFERROR(VLOOKUP(C55,▼売上原票!$A:$P,12,0)*VLOOKUP("615-3",▼マッピング!$A:$G,6,0)/100,0)+IFERROR(VLOOKUP(C55,▼売上原票!$A:$P,13,0)*VLOOKUP("615-4",▼マッピング!$A:$G,6,0)/100,0)</f>
        <v/>
      </c>
      <c r="H55" s="11">
        <f>D55+E55+F55+G55</f>
        <v/>
      </c>
      <c r="I55" s="12" t="n"/>
      <c r="J55" s="12" t="n"/>
      <c r="K55" s="12" t="n"/>
      <c r="L55" s="12" t="n"/>
      <c r="M55" s="12" t="n"/>
      <c r="N55" s="12" t="n"/>
      <c r="O55" s="12" t="n"/>
      <c r="P55" s="13">
        <f>I55+J55+K55+L55+M55+N55+O55</f>
        <v/>
      </c>
      <c r="Q55" s="14">
        <f>H55-P55</f>
        <v/>
      </c>
      <c r="R55" s="15">
        <f>IF(H55&lt;&gt;0,Q55/H55,0)</f>
        <v/>
      </c>
      <c r="S55" s="16">
        <f>IF(R55&gt;=0.25,"◎ 優良",IF(R55&gt;=0.15,"○ 良好",IF(R55&gt;=0.05,"△ 要注意","× 赤字")))</f>
        <v/>
      </c>
      <c r="T55" s="28">
        <f>IF(H54&lt;&gt;0,H55/H54-1,"")</f>
        <v/>
      </c>
    </row>
    <row r="56" ht="22" customHeight="1">
      <c r="A56" s="16" t="inlineStr">
        <is>
          <t>C003</t>
        </is>
      </c>
      <c r="B56" s="25" t="inlineStr">
        <is>
          <t>一般事業者案件</t>
        </is>
      </c>
      <c r="C56" s="26" t="inlineStr">
        <is>
          <t>2025-10</t>
        </is>
      </c>
      <c r="D56" s="10">
        <f>IFERROR(VLOOKUP(C56,▼売上原票!$A:$P,3,0)*VLOOKUP("612-1",▼マッピング!$A:$G,6,0)/100,0)</f>
        <v/>
      </c>
      <c r="E56" s="10">
        <f>IFERROR(VLOOKUP(C56,▼売上原票!$A:$P,4,0)*VLOOKUP("612-2",▼マッピング!$A:$G,6,0)/100,0)</f>
        <v/>
      </c>
      <c r="F56" s="10">
        <f>IFERROR(VLOOKUP(C56,▼売上原票!$A:$P,10,0)*VLOOKUP("615-1",▼マッピング!$A:$G,6,0)/100,0)</f>
        <v/>
      </c>
      <c r="G56" s="10">
        <f>IFERROR(VLOOKUP(C56,▼売上原票!$A:$P,5,0)*VLOOKUP("613-1",▼マッピング!$A:$G,6,0)/100,0)+IFERROR(VLOOKUP(C56,▼売上原票!$A:$P,6,0)*VLOOKUP("613-2",▼マッピング!$A:$G,6,0)/100,0)+IFERROR(VLOOKUP(C56,▼売上原票!$A:$P,7,0)*VLOOKUP("614-1",▼マッピング!$A:$G,6,0)/100,0)+IFERROR(VLOOKUP(C56,▼売上原票!$A:$P,8,0)*VLOOKUP("614-2",▼マッピング!$A:$G,6,0)/100,0)+IFERROR(VLOOKUP(C56,▼売上原票!$A:$P,9,0)*VLOOKUP("614-3",▼マッピング!$A:$G,6,0)/100,0)+IFERROR(VLOOKUP(C56,▼売上原票!$A:$P,11,0)*VLOOKUP("615-2",▼マッピング!$A:$G,6,0)/100,0)+IFERROR(VLOOKUP(C56,▼売上原票!$A:$P,12,0)*VLOOKUP("615-3",▼マッピング!$A:$G,6,0)/100,0)+IFERROR(VLOOKUP(C56,▼売上原票!$A:$P,13,0)*VLOOKUP("615-4",▼マッピング!$A:$G,6,0)/100,0)</f>
        <v/>
      </c>
      <c r="H56" s="11">
        <f>D56+E56+F56+G56</f>
        <v/>
      </c>
      <c r="I56" s="12" t="n"/>
      <c r="J56" s="12" t="n"/>
      <c r="K56" s="12" t="n"/>
      <c r="L56" s="12" t="n"/>
      <c r="M56" s="12" t="n"/>
      <c r="N56" s="12" t="n"/>
      <c r="O56" s="12" t="n"/>
      <c r="P56" s="13">
        <f>I56+J56+K56+L56+M56+N56+O56</f>
        <v/>
      </c>
      <c r="Q56" s="14">
        <f>H56-P56</f>
        <v/>
      </c>
      <c r="R56" s="15">
        <f>IF(H56&lt;&gt;0,Q56/H56,0)</f>
        <v/>
      </c>
      <c r="S56" s="16">
        <f>IF(R56&gt;=0.25,"◎ 優良",IF(R56&gt;=0.15,"○ 良好",IF(R56&gt;=0.05,"△ 要注意","× 赤字")))</f>
        <v/>
      </c>
      <c r="T56" s="28">
        <f>IF(H55&lt;&gt;0,H56/H55-1,"")</f>
        <v/>
      </c>
    </row>
    <row r="57" ht="22" customHeight="1">
      <c r="A57" s="16" t="inlineStr">
        <is>
          <t>C003</t>
        </is>
      </c>
      <c r="B57" s="25" t="inlineStr">
        <is>
          <t>一般事業者案件</t>
        </is>
      </c>
      <c r="C57" s="26" t="inlineStr">
        <is>
          <t>2025-11</t>
        </is>
      </c>
      <c r="D57" s="10">
        <f>IFERROR(VLOOKUP(C57,▼売上原票!$A:$P,3,0)*VLOOKUP("612-1",▼マッピング!$A:$G,6,0)/100,0)</f>
        <v/>
      </c>
      <c r="E57" s="10">
        <f>IFERROR(VLOOKUP(C57,▼売上原票!$A:$P,4,0)*VLOOKUP("612-2",▼マッピング!$A:$G,6,0)/100,0)</f>
        <v/>
      </c>
      <c r="F57" s="10">
        <f>IFERROR(VLOOKUP(C57,▼売上原票!$A:$P,10,0)*VLOOKUP("615-1",▼マッピング!$A:$G,6,0)/100,0)</f>
        <v/>
      </c>
      <c r="G57" s="10">
        <f>IFERROR(VLOOKUP(C57,▼売上原票!$A:$P,5,0)*VLOOKUP("613-1",▼マッピング!$A:$G,6,0)/100,0)+IFERROR(VLOOKUP(C57,▼売上原票!$A:$P,6,0)*VLOOKUP("613-2",▼マッピング!$A:$G,6,0)/100,0)+IFERROR(VLOOKUP(C57,▼売上原票!$A:$P,7,0)*VLOOKUP("614-1",▼マッピング!$A:$G,6,0)/100,0)+IFERROR(VLOOKUP(C57,▼売上原票!$A:$P,8,0)*VLOOKUP("614-2",▼マッピング!$A:$G,6,0)/100,0)+IFERROR(VLOOKUP(C57,▼売上原票!$A:$P,9,0)*VLOOKUP("614-3",▼マッピング!$A:$G,6,0)/100,0)+IFERROR(VLOOKUP(C57,▼売上原票!$A:$P,11,0)*VLOOKUP("615-2",▼マッピング!$A:$G,6,0)/100,0)+IFERROR(VLOOKUP(C57,▼売上原票!$A:$P,12,0)*VLOOKUP("615-3",▼マッピング!$A:$G,6,0)/100,0)+IFERROR(VLOOKUP(C57,▼売上原票!$A:$P,13,0)*VLOOKUP("615-4",▼マッピング!$A:$G,6,0)/100,0)</f>
        <v/>
      </c>
      <c r="H57" s="11">
        <f>D57+E57+F57+G57</f>
        <v/>
      </c>
      <c r="I57" s="12" t="n"/>
      <c r="J57" s="12" t="n"/>
      <c r="K57" s="12" t="n"/>
      <c r="L57" s="12" t="n"/>
      <c r="M57" s="12" t="n"/>
      <c r="N57" s="12" t="n"/>
      <c r="O57" s="12" t="n"/>
      <c r="P57" s="13">
        <f>I57+J57+K57+L57+M57+N57+O57</f>
        <v/>
      </c>
      <c r="Q57" s="14">
        <f>H57-P57</f>
        <v/>
      </c>
      <c r="R57" s="15">
        <f>IF(H57&lt;&gt;0,Q57/H57,0)</f>
        <v/>
      </c>
      <c r="S57" s="16">
        <f>IF(R57&gt;=0.25,"◎ 優良",IF(R57&gt;=0.15,"○ 良好",IF(R57&gt;=0.05,"△ 要注意","× 赤字")))</f>
        <v/>
      </c>
      <c r="T57" s="28">
        <f>IF(H56&lt;&gt;0,H57/H56-1,"")</f>
        <v/>
      </c>
    </row>
    <row r="58" ht="8" customHeight="1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</row>
    <row r="59" ht="22" customHeight="1">
      <c r="A59" s="29" t="inlineStr"/>
      <c r="B59" s="30" t="inlineStr"/>
      <c r="C59" s="29" t="inlineStr"/>
      <c r="D59" s="10" t="inlineStr"/>
      <c r="E59" s="10" t="inlineStr"/>
      <c r="F59" s="10" t="inlineStr"/>
      <c r="G59" s="10" t="inlineStr"/>
      <c r="H59" s="31">
        <f>D59+E59+F59+G59</f>
        <v/>
      </c>
      <c r="I59" s="12" t="n"/>
      <c r="J59" s="12" t="n"/>
      <c r="K59" s="12" t="n"/>
      <c r="L59" s="12" t="n"/>
      <c r="M59" s="12" t="n"/>
      <c r="N59" s="12" t="n"/>
      <c r="O59" s="12" t="n"/>
      <c r="P59" s="32">
        <f>IF(I59+J59+K59+L59+M59+N59+O59=0,"",I59+J59+K59+L59+M59+N59+O59)</f>
        <v/>
      </c>
      <c r="Q59" s="33">
        <f>IF(H59&lt;&gt;0,H59-P59,"")</f>
        <v/>
      </c>
      <c r="R59" s="34">
        <f>IF(H59&lt;&gt;0,Q59/H59,"")</f>
        <v/>
      </c>
      <c r="S59" s="35">
        <f>IF(R59="","",IF(R59&gt;=0.25,"◎ 優良",IF(R59&gt;=0.15,"○ 良好",IF(R59&gt;=0.05,"△ 要注意","× 赤字"))))</f>
        <v/>
      </c>
    </row>
    <row r="60" ht="22" customHeight="1">
      <c r="A60" s="36" t="inlineStr"/>
      <c r="B60" s="37" t="inlineStr"/>
      <c r="C60" s="36" t="inlineStr"/>
      <c r="D60" s="10" t="inlineStr"/>
      <c r="E60" s="10" t="inlineStr"/>
      <c r="F60" s="10" t="inlineStr"/>
      <c r="G60" s="10" t="inlineStr"/>
      <c r="H60" s="38">
        <f>D60+E60+F60+G60</f>
        <v/>
      </c>
      <c r="I60" s="12" t="n"/>
      <c r="J60" s="12" t="n"/>
      <c r="K60" s="12" t="n"/>
      <c r="L60" s="12" t="n"/>
      <c r="M60" s="12" t="n"/>
      <c r="N60" s="12" t="n"/>
      <c r="O60" s="12" t="n"/>
      <c r="P60" s="32">
        <f>IF(I60+J60+K60+L60+M60+N60+O60=0,"",I60+J60+K60+L60+M60+N60+O60)</f>
        <v/>
      </c>
      <c r="Q60" s="33">
        <f>IF(H60&lt;&gt;0,H60-P60,"")</f>
        <v/>
      </c>
      <c r="R60" s="34">
        <f>IF(H60&lt;&gt;0,Q60/H60,"")</f>
        <v/>
      </c>
      <c r="S60" s="35">
        <f>IF(R60="","",IF(R60&gt;=0.25,"◎ 優良",IF(R60&gt;=0.15,"○ 良好",IF(R60&gt;=0.05,"△ 要注意","× 赤字"))))</f>
        <v/>
      </c>
    </row>
    <row r="61" ht="22" customHeight="1">
      <c r="A61" s="29" t="inlineStr"/>
      <c r="B61" s="30" t="inlineStr"/>
      <c r="C61" s="29" t="inlineStr"/>
      <c r="D61" s="10" t="inlineStr"/>
      <c r="E61" s="10" t="inlineStr"/>
      <c r="F61" s="10" t="inlineStr"/>
      <c r="G61" s="10" t="inlineStr"/>
      <c r="H61" s="31">
        <f>D61+E61+F61+G61</f>
        <v/>
      </c>
      <c r="I61" s="12" t="n"/>
      <c r="J61" s="12" t="n"/>
      <c r="K61" s="12" t="n"/>
      <c r="L61" s="12" t="n"/>
      <c r="M61" s="12" t="n"/>
      <c r="N61" s="12" t="n"/>
      <c r="O61" s="12" t="n"/>
      <c r="P61" s="32">
        <f>IF(I61+J61+K61+L61+M61+N61+O61=0,"",I61+J61+K61+L61+M61+N61+O61)</f>
        <v/>
      </c>
      <c r="Q61" s="33">
        <f>IF(H61&lt;&gt;0,H61-P61,"")</f>
        <v/>
      </c>
      <c r="R61" s="34">
        <f>IF(H61&lt;&gt;0,Q61/H61,"")</f>
        <v/>
      </c>
      <c r="S61" s="35">
        <f>IF(R61="","",IF(R61&gt;=0.25,"◎ 優良",IF(R61&gt;=0.15,"○ 良好",IF(R61&gt;=0.05,"△ 要注意","× 赤字"))))</f>
        <v/>
      </c>
    </row>
    <row r="62" ht="22" customHeight="1">
      <c r="A62" s="36" t="inlineStr"/>
      <c r="B62" s="37" t="inlineStr"/>
      <c r="C62" s="36" t="inlineStr"/>
      <c r="D62" s="10" t="inlineStr"/>
      <c r="E62" s="10" t="inlineStr"/>
      <c r="F62" s="10" t="inlineStr"/>
      <c r="G62" s="10" t="inlineStr"/>
      <c r="H62" s="38">
        <f>D62+E62+F62+G62</f>
        <v/>
      </c>
      <c r="I62" s="12" t="n"/>
      <c r="J62" s="12" t="n"/>
      <c r="K62" s="12" t="n"/>
      <c r="L62" s="12" t="n"/>
      <c r="M62" s="12" t="n"/>
      <c r="N62" s="12" t="n"/>
      <c r="O62" s="12" t="n"/>
      <c r="P62" s="32">
        <f>IF(I62+J62+K62+L62+M62+N62+O62=0,"",I62+J62+K62+L62+M62+N62+O62)</f>
        <v/>
      </c>
      <c r="Q62" s="33">
        <f>IF(H62&lt;&gt;0,H62-P62,"")</f>
        <v/>
      </c>
      <c r="R62" s="34">
        <f>IF(H62&lt;&gt;0,Q62/H62,"")</f>
        <v/>
      </c>
      <c r="S62" s="35">
        <f>IF(R62="","",IF(R62&gt;=0.25,"◎ 優良",IF(R62&gt;=0.15,"○ 良好",IF(R62&gt;=0.05,"△ 要注意","× 赤字"))))</f>
        <v/>
      </c>
    </row>
    <row r="63" ht="22" customHeight="1">
      <c r="A63" s="29" t="inlineStr"/>
      <c r="B63" s="30" t="inlineStr"/>
      <c r="C63" s="29" t="inlineStr"/>
      <c r="D63" s="10" t="inlineStr"/>
      <c r="E63" s="10" t="inlineStr"/>
      <c r="F63" s="10" t="inlineStr"/>
      <c r="G63" s="10" t="inlineStr"/>
      <c r="H63" s="31">
        <f>D63+E63+F63+G63</f>
        <v/>
      </c>
      <c r="I63" s="12" t="n"/>
      <c r="J63" s="12" t="n"/>
      <c r="K63" s="12" t="n"/>
      <c r="L63" s="12" t="n"/>
      <c r="M63" s="12" t="n"/>
      <c r="N63" s="12" t="n"/>
      <c r="O63" s="12" t="n"/>
      <c r="P63" s="32">
        <f>IF(I63+J63+K63+L63+M63+N63+O63=0,"",I63+J63+K63+L63+M63+N63+O63)</f>
        <v/>
      </c>
      <c r="Q63" s="33">
        <f>IF(H63&lt;&gt;0,H63-P63,"")</f>
        <v/>
      </c>
      <c r="R63" s="34">
        <f>IF(H63&lt;&gt;0,Q63/H63,"")</f>
        <v/>
      </c>
      <c r="S63" s="35">
        <f>IF(R63="","",IF(R63&gt;=0.25,"◎ 優良",IF(R63&gt;=0.15,"○ 良好",IF(R63&gt;=0.05,"△ 要注意","× 赤字"))))</f>
        <v/>
      </c>
    </row>
    <row r="64" ht="22" customHeight="1">
      <c r="A64" s="36" t="inlineStr"/>
      <c r="B64" s="37" t="inlineStr"/>
      <c r="C64" s="36" t="inlineStr"/>
      <c r="D64" s="10" t="inlineStr"/>
      <c r="E64" s="10" t="inlineStr"/>
      <c r="F64" s="10" t="inlineStr"/>
      <c r="G64" s="10" t="inlineStr"/>
      <c r="H64" s="38">
        <f>D64+E64+F64+G64</f>
        <v/>
      </c>
      <c r="I64" s="12" t="n"/>
      <c r="J64" s="12" t="n"/>
      <c r="K64" s="12" t="n"/>
      <c r="L64" s="12" t="n"/>
      <c r="M64" s="12" t="n"/>
      <c r="N64" s="12" t="n"/>
      <c r="O64" s="12" t="n"/>
      <c r="P64" s="32">
        <f>IF(I64+J64+K64+L64+M64+N64+O64=0,"",I64+J64+K64+L64+M64+N64+O64)</f>
        <v/>
      </c>
      <c r="Q64" s="33">
        <f>IF(H64&lt;&gt;0,H64-P64,"")</f>
        <v/>
      </c>
      <c r="R64" s="34">
        <f>IF(H64&lt;&gt;0,Q64/H64,"")</f>
        <v/>
      </c>
      <c r="S64" s="35">
        <f>IF(R64="","",IF(R64&gt;=0.25,"◎ 優良",IF(R64&gt;=0.15,"○ 良好",IF(R64&gt;=0.05,"△ 要注意","× 赤字"))))</f>
        <v/>
      </c>
    </row>
    <row r="65" ht="22" customHeight="1">
      <c r="A65" s="29" t="inlineStr"/>
      <c r="B65" s="30" t="inlineStr"/>
      <c r="C65" s="29" t="inlineStr"/>
      <c r="D65" s="10" t="inlineStr"/>
      <c r="E65" s="10" t="inlineStr"/>
      <c r="F65" s="10" t="inlineStr"/>
      <c r="G65" s="10" t="inlineStr"/>
      <c r="H65" s="31">
        <f>D65+E65+F65+G65</f>
        <v/>
      </c>
      <c r="I65" s="12" t="n"/>
      <c r="J65" s="12" t="n"/>
      <c r="K65" s="12" t="n"/>
      <c r="L65" s="12" t="n"/>
      <c r="M65" s="12" t="n"/>
      <c r="N65" s="12" t="n"/>
      <c r="O65" s="12" t="n"/>
      <c r="P65" s="32">
        <f>IF(I65+J65+K65+L65+M65+N65+O65=0,"",I65+J65+K65+L65+M65+N65+O65)</f>
        <v/>
      </c>
      <c r="Q65" s="33">
        <f>IF(H65&lt;&gt;0,H65-P65,"")</f>
        <v/>
      </c>
      <c r="R65" s="34">
        <f>IF(H65&lt;&gt;0,Q65/H65,"")</f>
        <v/>
      </c>
      <c r="S65" s="35">
        <f>IF(R65="","",IF(R65&gt;=0.25,"◎ 優良",IF(R65&gt;=0.15,"○ 良好",IF(R65&gt;=0.05,"△ 要注意","× 赤字"))))</f>
        <v/>
      </c>
    </row>
    <row r="66" ht="22" customHeight="1">
      <c r="A66" s="36" t="inlineStr"/>
      <c r="B66" s="37" t="inlineStr"/>
      <c r="C66" s="36" t="inlineStr"/>
      <c r="D66" s="10" t="inlineStr"/>
      <c r="E66" s="10" t="inlineStr"/>
      <c r="F66" s="10" t="inlineStr"/>
      <c r="G66" s="10" t="inlineStr"/>
      <c r="H66" s="38">
        <f>D66+E66+F66+G66</f>
        <v/>
      </c>
      <c r="I66" s="12" t="n"/>
      <c r="J66" s="12" t="n"/>
      <c r="K66" s="12" t="n"/>
      <c r="L66" s="12" t="n"/>
      <c r="M66" s="12" t="n"/>
      <c r="N66" s="12" t="n"/>
      <c r="O66" s="12" t="n"/>
      <c r="P66" s="32">
        <f>IF(I66+J66+K66+L66+M66+N66+O66=0,"",I66+J66+K66+L66+M66+N66+O66)</f>
        <v/>
      </c>
      <c r="Q66" s="33">
        <f>IF(H66&lt;&gt;0,H66-P66,"")</f>
        <v/>
      </c>
      <c r="R66" s="34">
        <f>IF(H66&lt;&gt;0,Q66/H66,"")</f>
        <v/>
      </c>
      <c r="S66" s="35">
        <f>IF(R66="","",IF(R66&gt;=0.25,"◎ 優良",IF(R66&gt;=0.15,"○ 良好",IF(R66&gt;=0.05,"△ 要注意","× 赤字"))))</f>
        <v/>
      </c>
    </row>
    <row r="67" ht="22" customHeight="1">
      <c r="A67" s="29" t="inlineStr"/>
      <c r="B67" s="30" t="inlineStr"/>
      <c r="C67" s="29" t="inlineStr"/>
      <c r="D67" s="10" t="inlineStr"/>
      <c r="E67" s="10" t="inlineStr"/>
      <c r="F67" s="10" t="inlineStr"/>
      <c r="G67" s="10" t="inlineStr"/>
      <c r="H67" s="31">
        <f>D67+E67+F67+G67</f>
        <v/>
      </c>
      <c r="I67" s="12" t="n"/>
      <c r="J67" s="12" t="n"/>
      <c r="K67" s="12" t="n"/>
      <c r="L67" s="12" t="n"/>
      <c r="M67" s="12" t="n"/>
      <c r="N67" s="12" t="n"/>
      <c r="O67" s="12" t="n"/>
      <c r="P67" s="32">
        <f>IF(I67+J67+K67+L67+M67+N67+O67=0,"",I67+J67+K67+L67+M67+N67+O67)</f>
        <v/>
      </c>
      <c r="Q67" s="33">
        <f>IF(H67&lt;&gt;0,H67-P67,"")</f>
        <v/>
      </c>
      <c r="R67" s="34">
        <f>IF(H67&lt;&gt;0,Q67/H67,"")</f>
        <v/>
      </c>
      <c r="S67" s="35">
        <f>IF(R67="","",IF(R67&gt;=0.25,"◎ 優良",IF(R67&gt;=0.15,"○ 良好",IF(R67&gt;=0.05,"△ 要注意","× 赤字"))))</f>
        <v/>
      </c>
    </row>
    <row r="68" ht="22" customHeight="1">
      <c r="A68" s="36" t="inlineStr"/>
      <c r="B68" s="37" t="inlineStr"/>
      <c r="C68" s="36" t="inlineStr"/>
      <c r="D68" s="10" t="inlineStr"/>
      <c r="E68" s="10" t="inlineStr"/>
      <c r="F68" s="10" t="inlineStr"/>
      <c r="G68" s="10" t="inlineStr"/>
      <c r="H68" s="38">
        <f>D68+E68+F68+G68</f>
        <v/>
      </c>
      <c r="I68" s="12" t="n"/>
      <c r="J68" s="12" t="n"/>
      <c r="K68" s="12" t="n"/>
      <c r="L68" s="12" t="n"/>
      <c r="M68" s="12" t="n"/>
      <c r="N68" s="12" t="n"/>
      <c r="O68" s="12" t="n"/>
      <c r="P68" s="32">
        <f>IF(I68+J68+K68+L68+M68+N68+O68=0,"",I68+J68+K68+L68+M68+N68+O68)</f>
        <v/>
      </c>
      <c r="Q68" s="33">
        <f>IF(H68&lt;&gt;0,H68-P68,"")</f>
        <v/>
      </c>
      <c r="R68" s="34">
        <f>IF(H68&lt;&gt;0,Q68/H68,"")</f>
        <v/>
      </c>
      <c r="S68" s="35">
        <f>IF(R68="","",IF(R68&gt;=0.25,"◎ 優良",IF(R68&gt;=0.15,"○ 良好",IF(R68&gt;=0.05,"△ 要注意","× 赤字"))))</f>
        <v/>
      </c>
    </row>
    <row r="69" ht="22" customHeight="1">
      <c r="A69" s="29" t="inlineStr"/>
      <c r="B69" s="30" t="inlineStr"/>
      <c r="C69" s="29" t="inlineStr"/>
      <c r="D69" s="10" t="inlineStr"/>
      <c r="E69" s="10" t="inlineStr"/>
      <c r="F69" s="10" t="inlineStr"/>
      <c r="G69" s="10" t="inlineStr"/>
      <c r="H69" s="31">
        <f>D69+E69+F69+G69</f>
        <v/>
      </c>
      <c r="I69" s="12" t="n"/>
      <c r="J69" s="12" t="n"/>
      <c r="K69" s="12" t="n"/>
      <c r="L69" s="12" t="n"/>
      <c r="M69" s="12" t="n"/>
      <c r="N69" s="12" t="n"/>
      <c r="O69" s="12" t="n"/>
      <c r="P69" s="32">
        <f>IF(I69+J69+K69+L69+M69+N69+O69=0,"",I69+J69+K69+L69+M69+N69+O69)</f>
        <v/>
      </c>
      <c r="Q69" s="33">
        <f>IF(H69&lt;&gt;0,H69-P69,"")</f>
        <v/>
      </c>
      <c r="R69" s="34">
        <f>IF(H69&lt;&gt;0,Q69/H69,"")</f>
        <v/>
      </c>
      <c r="S69" s="35">
        <f>IF(R69="","",IF(R69&gt;=0.25,"◎ 優良",IF(R69&gt;=0.15,"○ 良好",IF(R69&gt;=0.05,"△ 要注意","× 赤字"))))</f>
        <v/>
      </c>
    </row>
    <row r="70" ht="22" customHeight="1">
      <c r="A70" s="36" t="inlineStr"/>
      <c r="B70" s="37" t="inlineStr"/>
      <c r="C70" s="36" t="inlineStr"/>
      <c r="D70" s="10" t="inlineStr"/>
      <c r="E70" s="10" t="inlineStr"/>
      <c r="F70" s="10" t="inlineStr"/>
      <c r="G70" s="10" t="inlineStr"/>
      <c r="H70" s="38">
        <f>D70+E70+F70+G70</f>
        <v/>
      </c>
      <c r="I70" s="12" t="n"/>
      <c r="J70" s="12" t="n"/>
      <c r="K70" s="12" t="n"/>
      <c r="L70" s="12" t="n"/>
      <c r="M70" s="12" t="n"/>
      <c r="N70" s="12" t="n"/>
      <c r="O70" s="12" t="n"/>
      <c r="P70" s="32">
        <f>IF(I70+J70+K70+L70+M70+N70+O70=0,"",I70+J70+K70+L70+M70+N70+O70)</f>
        <v/>
      </c>
      <c r="Q70" s="33">
        <f>IF(H70&lt;&gt;0,H70-P70,"")</f>
        <v/>
      </c>
      <c r="R70" s="34">
        <f>IF(H70&lt;&gt;0,Q70/H70,"")</f>
        <v/>
      </c>
      <c r="S70" s="35">
        <f>IF(R70="","",IF(R70&gt;=0.25,"◎ 優良",IF(R70&gt;=0.15,"○ 良好",IF(R70&gt;=0.05,"△ 要注意","× 赤字"))))</f>
        <v/>
      </c>
    </row>
    <row r="71" ht="22" customHeight="1">
      <c r="A71" s="29" t="inlineStr"/>
      <c r="B71" s="30" t="inlineStr"/>
      <c r="C71" s="29" t="inlineStr"/>
      <c r="D71" s="10" t="inlineStr"/>
      <c r="E71" s="10" t="inlineStr"/>
      <c r="F71" s="10" t="inlineStr"/>
      <c r="G71" s="10" t="inlineStr"/>
      <c r="H71" s="31">
        <f>D71+E71+F71+G71</f>
        <v/>
      </c>
      <c r="I71" s="12" t="n"/>
      <c r="J71" s="12" t="n"/>
      <c r="K71" s="12" t="n"/>
      <c r="L71" s="12" t="n"/>
      <c r="M71" s="12" t="n"/>
      <c r="N71" s="12" t="n"/>
      <c r="O71" s="12" t="n"/>
      <c r="P71" s="32">
        <f>IF(I71+J71+K71+L71+M71+N71+O71=0,"",I71+J71+K71+L71+M71+N71+O71)</f>
        <v/>
      </c>
      <c r="Q71" s="33">
        <f>IF(H71&lt;&gt;0,H71-P71,"")</f>
        <v/>
      </c>
      <c r="R71" s="34">
        <f>IF(H71&lt;&gt;0,Q71/H71,"")</f>
        <v/>
      </c>
      <c r="S71" s="35">
        <f>IF(R71="","",IF(R71&gt;=0.25,"◎ 優良",IF(R71&gt;=0.15,"○ 良好",IF(R71&gt;=0.05,"△ 要注意","× 赤字"))))</f>
        <v/>
      </c>
    </row>
    <row r="72" ht="22" customHeight="1">
      <c r="A72" s="36" t="inlineStr"/>
      <c r="B72" s="37" t="inlineStr"/>
      <c r="C72" s="36" t="inlineStr"/>
      <c r="D72" s="10" t="inlineStr"/>
      <c r="E72" s="10" t="inlineStr"/>
      <c r="F72" s="10" t="inlineStr"/>
      <c r="G72" s="10" t="inlineStr"/>
      <c r="H72" s="38">
        <f>D72+E72+F72+G72</f>
        <v/>
      </c>
      <c r="I72" s="12" t="n"/>
      <c r="J72" s="12" t="n"/>
      <c r="K72" s="12" t="n"/>
      <c r="L72" s="12" t="n"/>
      <c r="M72" s="12" t="n"/>
      <c r="N72" s="12" t="n"/>
      <c r="O72" s="12" t="n"/>
      <c r="P72" s="32">
        <f>IF(I72+J72+K72+L72+M72+N72+O72=0,"",I72+J72+K72+L72+M72+N72+O72)</f>
        <v/>
      </c>
      <c r="Q72" s="33">
        <f>IF(H72&lt;&gt;0,H72-P72,"")</f>
        <v/>
      </c>
      <c r="R72" s="34">
        <f>IF(H72&lt;&gt;0,Q72/H72,"")</f>
        <v/>
      </c>
      <c r="S72" s="35">
        <f>IF(R72="","",IF(R72&gt;=0.25,"◎ 優良",IF(R72&gt;=0.15,"○ 良好",IF(R72&gt;=0.05,"△ 要注意","× 赤字"))))</f>
        <v/>
      </c>
    </row>
    <row r="73" ht="22" customHeight="1">
      <c r="A73" s="29" t="inlineStr"/>
      <c r="B73" s="30" t="inlineStr"/>
      <c r="C73" s="29" t="inlineStr"/>
      <c r="D73" s="10" t="inlineStr"/>
      <c r="E73" s="10" t="inlineStr"/>
      <c r="F73" s="10" t="inlineStr"/>
      <c r="G73" s="10" t="inlineStr"/>
      <c r="H73" s="31">
        <f>D73+E73+F73+G73</f>
        <v/>
      </c>
      <c r="I73" s="12" t="n"/>
      <c r="J73" s="12" t="n"/>
      <c r="K73" s="12" t="n"/>
      <c r="L73" s="12" t="n"/>
      <c r="M73" s="12" t="n"/>
      <c r="N73" s="12" t="n"/>
      <c r="O73" s="12" t="n"/>
      <c r="P73" s="32">
        <f>IF(I73+J73+K73+L73+M73+N73+O73=0,"",I73+J73+K73+L73+M73+N73+O73)</f>
        <v/>
      </c>
      <c r="Q73" s="33">
        <f>IF(H73&lt;&gt;0,H73-P73,"")</f>
        <v/>
      </c>
      <c r="R73" s="34">
        <f>IF(H73&lt;&gt;0,Q73/H73,"")</f>
        <v/>
      </c>
      <c r="S73" s="35">
        <f>IF(R73="","",IF(R73&gt;=0.25,"◎ 優良",IF(R73&gt;=0.15,"○ 良好",IF(R73&gt;=0.05,"△ 要注意","× 赤字"))))</f>
        <v/>
      </c>
    </row>
  </sheetData>
  <mergeCells count="24">
    <mergeCell ref="D4"/>
    <mergeCell ref="I4"/>
    <mergeCell ref="B3:B4"/>
    <mergeCell ref="K4"/>
    <mergeCell ref="A1:T1"/>
    <mergeCell ref="M4"/>
    <mergeCell ref="F4"/>
    <mergeCell ref="A3:A4"/>
    <mergeCell ref="G3:G4"/>
    <mergeCell ref="N4"/>
    <mergeCell ref="D3:F3"/>
    <mergeCell ref="E4"/>
    <mergeCell ref="P3:P4"/>
    <mergeCell ref="H3:H4"/>
    <mergeCell ref="R3:R4"/>
    <mergeCell ref="T3:T4"/>
    <mergeCell ref="A2:T2"/>
    <mergeCell ref="O4"/>
    <mergeCell ref="J4"/>
    <mergeCell ref="C3:C4"/>
    <mergeCell ref="L4"/>
    <mergeCell ref="I3:O3"/>
    <mergeCell ref="Q3:Q4"/>
    <mergeCell ref="S3:S4"/>
  </mergeCells>
  <conditionalFormatting sqref="S5:S73">
    <cfRule type="expression" priority="1" dxfId="0">
      <formula>S5="◎ 優良"</formula>
    </cfRule>
    <cfRule type="expression" priority="2" dxfId="1">
      <formula>S5="○ 良好"</formula>
    </cfRule>
    <cfRule type="expression" priority="3" dxfId="2">
      <formula>S5="△ 要注意"</formula>
    </cfRule>
    <cfRule type="expression" priority="4" dxfId="3">
      <formula>S5="× 赤字"</formula>
    </cfRule>
  </conditionalFormatting>
  <conditionalFormatting sqref="R5:R73">
    <cfRule type="colorScale" priority="5">
      <colorScale>
        <cfvo type="num" val="0"/>
        <cfvo type="num" val="0.15"/>
        <cfvo type="num" val="0.3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2E"/>
    <outlinePr summaryBelow="1" summaryRight="1"/>
    <pageSetUpPr/>
  </sheetPr>
  <dimension ref="A1:S20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1" customWidth="1" min="9" max="9"/>
    <col width="11" customWidth="1" min="10" max="10"/>
    <col width="14" customWidth="1" min="11" max="11"/>
    <col width="14" customWidth="1" min="12" max="12"/>
    <col width="10" customWidth="1" min="13" max="13"/>
    <col width="12" customWidth="1" min="14" max="14"/>
    <col width="12" customWidth="1" min="15" max="15"/>
    <col width="16" customWidth="1" min="16" max="16"/>
    <col width="16" customWidth="1" min="17" max="17"/>
  </cols>
  <sheetData>
    <row r="1" ht="34" customHeight="1">
      <c r="A1" s="1" t="inlineStr">
        <is>
          <t>ルート別 採算管理　（ルート = 科目コード / 各営業担当）</t>
        </is>
      </c>
    </row>
    <row r="2" ht="16" customHeight="1">
      <c r="A2" s="2" t="inlineStr">
        <is>
          <t>【売上】⑤売上原票からVLOOKUPで自動参照　【原価】黄色セルに実績を入力　各ルートの粗利率で採算の良し悪しを確認できます</t>
        </is>
      </c>
    </row>
    <row r="3" ht="16" customHeight="1">
      <c r="A3" s="3" t="inlineStr">
        <is>
          <t>ルートコード</t>
        </is>
      </c>
      <c r="B3" s="3" t="inlineStr">
        <is>
          <t>ルート名</t>
        </is>
      </c>
      <c r="C3" s="3" t="inlineStr">
        <is>
          <t>集計月
(YYYY-MM)</t>
        </is>
      </c>
      <c r="D3" s="4" t="inlineStr">
        <is>
          <t>売上
(VLOOKUP)</t>
        </is>
      </c>
      <c r="E3" s="5" t="inlineStr">
        <is>
          <t>原価　（黄色セル入力）</t>
        </is>
      </c>
      <c r="L3" s="6" t="inlineStr">
        <is>
          <t>粗利益</t>
        </is>
      </c>
      <c r="M3" s="6" t="inlineStr">
        <is>
          <t>粗利率</t>
        </is>
      </c>
      <c r="N3" s="6" t="inlineStr">
        <is>
          <t>採算判定</t>
        </is>
      </c>
      <c r="O3" s="6" t="inlineStr">
        <is>
          <t>主担当
案件</t>
        </is>
      </c>
      <c r="P3" s="6" t="inlineStr">
        <is>
          <t>前月比
売上</t>
        </is>
      </c>
      <c r="Q3" s="39" t="inlineStr">
        <is>
          <t>月間回収量
(kg推算)</t>
        </is>
      </c>
    </row>
    <row r="4" ht="36" customHeight="1">
      <c r="E4" s="5" t="inlineStr">
        <is>
          <t>人件費</t>
        </is>
      </c>
      <c r="F4" s="5" t="inlineStr">
        <is>
          <t>燃料費</t>
        </is>
      </c>
      <c r="G4" s="5" t="inlineStr">
        <is>
          <t>車両費</t>
        </is>
      </c>
      <c r="H4" s="5" t="inlineStr">
        <is>
          <t>処理費</t>
        </is>
      </c>
      <c r="I4" s="5" t="inlineStr">
        <is>
          <t>運搬費</t>
        </is>
      </c>
      <c r="J4" s="5" t="inlineStr">
        <is>
          <t>その他</t>
        </is>
      </c>
      <c r="K4" s="5" t="inlineStr">
        <is>
          <t>合計</t>
        </is>
      </c>
    </row>
    <row r="5" ht="21" customHeight="1">
      <c r="A5" s="7" t="inlineStr">
        <is>
          <t>612-1</t>
        </is>
      </c>
      <c r="B5" s="8" t="inlineStr">
        <is>
          <t>運送（本社）</t>
        </is>
      </c>
      <c r="C5" s="40" t="inlineStr">
        <is>
          <t>2024-07</t>
        </is>
      </c>
      <c r="D5" s="41">
        <f>IFERROR(VLOOKUP(C5,▼売上原票!$A:$P,3,0),0)</f>
        <v/>
      </c>
      <c r="E5" s="32">
        <f>SUMPRODUCT((▼従業員マスター!$A$6:$A$300="本社")*(▼従業員マスター!$G$6:$G$300="直接")*▼従業員マスター!$F$6:$F$300)</f>
        <v/>
      </c>
      <c r="F5" s="12" t="n"/>
      <c r="G5" s="12" t="n"/>
      <c r="H5" s="12" t="n"/>
      <c r="I5" s="12" t="n"/>
      <c r="J5" s="12" t="n"/>
      <c r="K5" s="13">
        <f>E5+F5+G5+H5+I5+J5</f>
        <v/>
      </c>
      <c r="L5" s="14">
        <f>D5-K5</f>
        <v/>
      </c>
      <c r="M5" s="15">
        <f>IF(D5&lt;&gt;0,L5/D5,0)</f>
        <v/>
      </c>
      <c r="N5" s="42">
        <f>IF(D5=0,"—",IF(M5&gt;=0.25,"◎ 優良",IF(M5&gt;=0.15,"○ 良好",IF(M5&gt;=0.05,"△ 要注意","× 赤字"))))</f>
        <v/>
      </c>
      <c r="O5" s="17" t="inlineStr">
        <is>
          <t>C003一般</t>
        </is>
      </c>
      <c r="P5" s="17" t="inlineStr">
        <is>
          <t>—</t>
        </is>
      </c>
      <c r="Q5" s="43">
        <f>IFERROR(D5/100,0)</f>
        <v/>
      </c>
    </row>
    <row r="6" ht="21" customHeight="1">
      <c r="A6" s="7" t="inlineStr">
        <is>
          <t>612-1</t>
        </is>
      </c>
      <c r="B6" s="8" t="inlineStr">
        <is>
          <t>運送（本社）</t>
        </is>
      </c>
      <c r="C6" s="40" t="inlineStr">
        <is>
          <t>2024-08</t>
        </is>
      </c>
      <c r="D6" s="41">
        <f>IFERROR(VLOOKUP(C6,▼売上原票!$A:$P,3,0),0)</f>
        <v/>
      </c>
      <c r="E6" s="32">
        <f>SUMPRODUCT((▼従業員マスター!$A$6:$A$300="本社")*(▼従業員マスター!$G$6:$G$300="直接")*▼従業員マスター!$F$6:$F$300)</f>
        <v/>
      </c>
      <c r="F6" s="12" t="n"/>
      <c r="G6" s="12" t="n"/>
      <c r="H6" s="12" t="n"/>
      <c r="I6" s="12" t="n"/>
      <c r="J6" s="12" t="n"/>
      <c r="K6" s="13">
        <f>E6+F6+G6+H6+I6+J6</f>
        <v/>
      </c>
      <c r="L6" s="14">
        <f>D6-K6</f>
        <v/>
      </c>
      <c r="M6" s="15">
        <f>IF(D6&lt;&gt;0,L6/D6,0)</f>
        <v/>
      </c>
      <c r="N6" s="42">
        <f>IF(D6=0,"—",IF(M6&gt;=0.25,"◎ 優良",IF(M6&gt;=0.15,"○ 良好",IF(M6&gt;=0.05,"△ 要注意","× 赤字"))))</f>
        <v/>
      </c>
      <c r="O6" s="17" t="inlineStr">
        <is>
          <t>C003一般</t>
        </is>
      </c>
      <c r="P6" s="18">
        <f>IF(D5&lt;&gt;0,D6/D5-1,"")</f>
        <v/>
      </c>
      <c r="Q6" s="43">
        <f>IFERROR(D6/100,0)</f>
        <v/>
      </c>
    </row>
    <row r="7" ht="21" customHeight="1">
      <c r="A7" s="7" t="inlineStr">
        <is>
          <t>612-1</t>
        </is>
      </c>
      <c r="B7" s="8" t="inlineStr">
        <is>
          <t>運送（本社）</t>
        </is>
      </c>
      <c r="C7" s="40" t="inlineStr">
        <is>
          <t>2024-09</t>
        </is>
      </c>
      <c r="D7" s="41">
        <f>IFERROR(VLOOKUP(C7,▼売上原票!$A:$P,3,0),0)</f>
        <v/>
      </c>
      <c r="E7" s="32">
        <f>SUMPRODUCT((▼従業員マスター!$A$6:$A$300="本社")*(▼従業員マスター!$G$6:$G$300="直接")*▼従業員マスター!$F$6:$F$300)</f>
        <v/>
      </c>
      <c r="F7" s="12" t="n"/>
      <c r="G7" s="12" t="n"/>
      <c r="H7" s="12" t="n"/>
      <c r="I7" s="12" t="n"/>
      <c r="J7" s="12" t="n"/>
      <c r="K7" s="13">
        <f>E7+F7+G7+H7+I7+J7</f>
        <v/>
      </c>
      <c r="L7" s="14">
        <f>D7-K7</f>
        <v/>
      </c>
      <c r="M7" s="15">
        <f>IF(D7&lt;&gt;0,L7/D7,0)</f>
        <v/>
      </c>
      <c r="N7" s="42">
        <f>IF(D7=0,"—",IF(M7&gt;=0.25,"◎ 優良",IF(M7&gt;=0.15,"○ 良好",IF(M7&gt;=0.05,"△ 要注意","× 赤字"))))</f>
        <v/>
      </c>
      <c r="O7" s="17" t="inlineStr">
        <is>
          <t>C003一般</t>
        </is>
      </c>
      <c r="P7" s="18">
        <f>IF(D6&lt;&gt;0,D7/D6-1,"")</f>
        <v/>
      </c>
      <c r="Q7" s="43">
        <f>IFERROR(D7/100,0)</f>
        <v/>
      </c>
    </row>
    <row r="8" ht="21" customHeight="1">
      <c r="A8" s="7" t="inlineStr">
        <is>
          <t>612-1</t>
        </is>
      </c>
      <c r="B8" s="8" t="inlineStr">
        <is>
          <t>運送（本社）</t>
        </is>
      </c>
      <c r="C8" s="40" t="inlineStr">
        <is>
          <t>2024-10</t>
        </is>
      </c>
      <c r="D8" s="41">
        <f>IFERROR(VLOOKUP(C8,▼売上原票!$A:$P,3,0),0)</f>
        <v/>
      </c>
      <c r="E8" s="32">
        <f>SUMPRODUCT((▼従業員マスター!$A$6:$A$300="本社")*(▼従業員マスター!$G$6:$G$300="直接")*▼従業員マスター!$F$6:$F$300)</f>
        <v/>
      </c>
      <c r="F8" s="12" t="n"/>
      <c r="G8" s="12" t="n"/>
      <c r="H8" s="12" t="n"/>
      <c r="I8" s="12" t="n"/>
      <c r="J8" s="12" t="n"/>
      <c r="K8" s="13">
        <f>E8+F8+G8+H8+I8+J8</f>
        <v/>
      </c>
      <c r="L8" s="14">
        <f>D8-K8</f>
        <v/>
      </c>
      <c r="M8" s="15">
        <f>IF(D8&lt;&gt;0,L8/D8,0)</f>
        <v/>
      </c>
      <c r="N8" s="42">
        <f>IF(D8=0,"—",IF(M8&gt;=0.25,"◎ 優良",IF(M8&gt;=0.15,"○ 良好",IF(M8&gt;=0.05,"△ 要注意","× 赤字"))))</f>
        <v/>
      </c>
      <c r="O8" s="17" t="inlineStr">
        <is>
          <t>C003一般</t>
        </is>
      </c>
      <c r="P8" s="18">
        <f>IF(D7&lt;&gt;0,D8/D7-1,"")</f>
        <v/>
      </c>
      <c r="Q8" s="43">
        <f>IFERROR(D8/100,0)</f>
        <v/>
      </c>
    </row>
    <row r="9" ht="21" customHeight="1">
      <c r="A9" s="7" t="inlineStr">
        <is>
          <t>612-1</t>
        </is>
      </c>
      <c r="B9" s="8" t="inlineStr">
        <is>
          <t>運送（本社）</t>
        </is>
      </c>
      <c r="C9" s="40" t="inlineStr">
        <is>
          <t>2024-11</t>
        </is>
      </c>
      <c r="D9" s="41">
        <f>IFERROR(VLOOKUP(C9,▼売上原票!$A:$P,3,0),0)</f>
        <v/>
      </c>
      <c r="E9" s="32">
        <f>SUMPRODUCT((▼従業員マスター!$A$6:$A$300="本社")*(▼従業員マスター!$G$6:$G$300="直接")*▼従業員マスター!$F$6:$F$300)</f>
        <v/>
      </c>
      <c r="F9" s="12" t="n"/>
      <c r="G9" s="12" t="n"/>
      <c r="H9" s="12" t="n"/>
      <c r="I9" s="12" t="n"/>
      <c r="J9" s="12" t="n"/>
      <c r="K9" s="13">
        <f>E9+F9+G9+H9+I9+J9</f>
        <v/>
      </c>
      <c r="L9" s="14">
        <f>D9-K9</f>
        <v/>
      </c>
      <c r="M9" s="15">
        <f>IF(D9&lt;&gt;0,L9/D9,0)</f>
        <v/>
      </c>
      <c r="N9" s="42">
        <f>IF(D9=0,"—",IF(M9&gt;=0.25,"◎ 優良",IF(M9&gt;=0.15,"○ 良好",IF(M9&gt;=0.05,"△ 要注意","× 赤字"))))</f>
        <v/>
      </c>
      <c r="O9" s="17" t="inlineStr">
        <is>
          <t>C003一般</t>
        </is>
      </c>
      <c r="P9" s="18">
        <f>IF(D8&lt;&gt;0,D9/D8-1,"")</f>
        <v/>
      </c>
      <c r="Q9" s="43">
        <f>IFERROR(D9/100,0)</f>
        <v/>
      </c>
    </row>
    <row r="10" ht="21" customHeight="1">
      <c r="A10" s="7" t="inlineStr">
        <is>
          <t>612-1</t>
        </is>
      </c>
      <c r="B10" s="8" t="inlineStr">
        <is>
          <t>運送（本社）</t>
        </is>
      </c>
      <c r="C10" s="40" t="inlineStr">
        <is>
          <t>2024-12</t>
        </is>
      </c>
      <c r="D10" s="41">
        <f>IFERROR(VLOOKUP(C10,▼売上原票!$A:$P,3,0),0)</f>
        <v/>
      </c>
      <c r="E10" s="32">
        <f>SUMPRODUCT((▼従業員マスター!$A$6:$A$300="本社")*(▼従業員マスター!$G$6:$G$300="直接")*▼従業員マスター!$F$6:$F$300)</f>
        <v/>
      </c>
      <c r="F10" s="12" t="n"/>
      <c r="G10" s="12" t="n"/>
      <c r="H10" s="12" t="n"/>
      <c r="I10" s="12" t="n"/>
      <c r="J10" s="12" t="n"/>
      <c r="K10" s="13">
        <f>E10+F10+G10+H10+I10+J10</f>
        <v/>
      </c>
      <c r="L10" s="14">
        <f>D10-K10</f>
        <v/>
      </c>
      <c r="M10" s="15">
        <f>IF(D10&lt;&gt;0,L10/D10,0)</f>
        <v/>
      </c>
      <c r="N10" s="42">
        <f>IF(D10=0,"—",IF(M10&gt;=0.25,"◎ 優良",IF(M10&gt;=0.15,"○ 良好",IF(M10&gt;=0.05,"△ 要注意","× 赤字"))))</f>
        <v/>
      </c>
      <c r="O10" s="17" t="inlineStr">
        <is>
          <t>C003一般</t>
        </is>
      </c>
      <c r="P10" s="18">
        <f>IF(D9&lt;&gt;0,D10/D9-1,"")</f>
        <v/>
      </c>
      <c r="Q10" s="43">
        <f>IFERROR(D10/100,0)</f>
        <v/>
      </c>
    </row>
    <row r="11" ht="21" customHeight="1">
      <c r="A11" s="7" t="inlineStr">
        <is>
          <t>612-1</t>
        </is>
      </c>
      <c r="B11" s="8" t="inlineStr">
        <is>
          <t>運送（本社）</t>
        </is>
      </c>
      <c r="C11" s="40" t="inlineStr">
        <is>
          <t>2025-01</t>
        </is>
      </c>
      <c r="D11" s="41">
        <f>IFERROR(VLOOKUP(C11,▼売上原票!$A:$P,3,0),0)</f>
        <v/>
      </c>
      <c r="E11" s="32">
        <f>SUMPRODUCT((▼従業員マスター!$A$6:$A$300="本社")*(▼従業員マスター!$G$6:$G$300="直接")*▼従業員マスター!$F$6:$F$300)</f>
        <v/>
      </c>
      <c r="F11" s="12" t="n"/>
      <c r="G11" s="12" t="n"/>
      <c r="H11" s="12" t="n"/>
      <c r="I11" s="12" t="n"/>
      <c r="J11" s="12" t="n"/>
      <c r="K11" s="13">
        <f>E11+F11+G11+H11+I11+J11</f>
        <v/>
      </c>
      <c r="L11" s="14">
        <f>D11-K11</f>
        <v/>
      </c>
      <c r="M11" s="15">
        <f>IF(D11&lt;&gt;0,L11/D11,0)</f>
        <v/>
      </c>
      <c r="N11" s="42">
        <f>IF(D11=0,"—",IF(M11&gt;=0.25,"◎ 優良",IF(M11&gt;=0.15,"○ 良好",IF(M11&gt;=0.05,"△ 要注意","× 赤字"))))</f>
        <v/>
      </c>
      <c r="O11" s="17" t="inlineStr">
        <is>
          <t>C003一般</t>
        </is>
      </c>
      <c r="P11" s="18">
        <f>IF(D10&lt;&gt;0,D11/D10-1,"")</f>
        <v/>
      </c>
      <c r="Q11" s="43">
        <f>IFERROR(D11/100,0)</f>
        <v/>
      </c>
    </row>
    <row r="12" ht="21" customHeight="1">
      <c r="A12" s="7" t="inlineStr">
        <is>
          <t>612-1</t>
        </is>
      </c>
      <c r="B12" s="8" t="inlineStr">
        <is>
          <t>運送（本社）</t>
        </is>
      </c>
      <c r="C12" s="40" t="inlineStr">
        <is>
          <t>2025-02</t>
        </is>
      </c>
      <c r="D12" s="41">
        <f>IFERROR(VLOOKUP(C12,▼売上原票!$A:$P,3,0),0)</f>
        <v/>
      </c>
      <c r="E12" s="32">
        <f>SUMPRODUCT((▼従業員マスター!$A$6:$A$300="本社")*(▼従業員マスター!$G$6:$G$300="直接")*▼従業員マスター!$F$6:$F$300)</f>
        <v/>
      </c>
      <c r="F12" s="12" t="n"/>
      <c r="G12" s="12" t="n"/>
      <c r="H12" s="12" t="n"/>
      <c r="I12" s="12" t="n"/>
      <c r="J12" s="12" t="n"/>
      <c r="K12" s="13">
        <f>E12+F12+G12+H12+I12+J12</f>
        <v/>
      </c>
      <c r="L12" s="14">
        <f>D12-K12</f>
        <v/>
      </c>
      <c r="M12" s="15">
        <f>IF(D12&lt;&gt;0,L12/D12,0)</f>
        <v/>
      </c>
      <c r="N12" s="42">
        <f>IF(D12=0,"—",IF(M12&gt;=0.25,"◎ 優良",IF(M12&gt;=0.15,"○ 良好",IF(M12&gt;=0.05,"△ 要注意","× 赤字"))))</f>
        <v/>
      </c>
      <c r="O12" s="17" t="inlineStr">
        <is>
          <t>C003一般</t>
        </is>
      </c>
      <c r="P12" s="18">
        <f>IF(D11&lt;&gt;0,D12/D11-1,"")</f>
        <v/>
      </c>
      <c r="Q12" s="43">
        <f>IFERROR(D12/100,0)</f>
        <v/>
      </c>
    </row>
    <row r="13" ht="21" customHeight="1">
      <c r="A13" s="7" t="inlineStr">
        <is>
          <t>612-1</t>
        </is>
      </c>
      <c r="B13" s="8" t="inlineStr">
        <is>
          <t>運送（本社）</t>
        </is>
      </c>
      <c r="C13" s="40" t="inlineStr">
        <is>
          <t>2025-03</t>
        </is>
      </c>
      <c r="D13" s="41">
        <f>IFERROR(VLOOKUP(C13,▼売上原票!$A:$P,3,0),0)</f>
        <v/>
      </c>
      <c r="E13" s="32">
        <f>SUMPRODUCT((▼従業員マスター!$A$6:$A$300="本社")*(▼従業員マスター!$G$6:$G$300="直接")*▼従業員マスター!$F$6:$F$300)</f>
        <v/>
      </c>
      <c r="F13" s="12" t="n"/>
      <c r="G13" s="12" t="n"/>
      <c r="H13" s="12" t="n"/>
      <c r="I13" s="12" t="n"/>
      <c r="J13" s="12" t="n"/>
      <c r="K13" s="13">
        <f>E13+F13+G13+H13+I13+J13</f>
        <v/>
      </c>
      <c r="L13" s="14">
        <f>D13-K13</f>
        <v/>
      </c>
      <c r="M13" s="15">
        <f>IF(D13&lt;&gt;0,L13/D13,0)</f>
        <v/>
      </c>
      <c r="N13" s="42">
        <f>IF(D13=0,"—",IF(M13&gt;=0.25,"◎ 優良",IF(M13&gt;=0.15,"○ 良好",IF(M13&gt;=0.05,"△ 要注意","× 赤字"))))</f>
        <v/>
      </c>
      <c r="O13" s="17" t="inlineStr">
        <is>
          <t>C003一般</t>
        </is>
      </c>
      <c r="P13" s="18">
        <f>IF(D12&lt;&gt;0,D13/D12-1,"")</f>
        <v/>
      </c>
      <c r="Q13" s="43">
        <f>IFERROR(D13/100,0)</f>
        <v/>
      </c>
    </row>
    <row r="14" ht="21" customHeight="1">
      <c r="A14" s="7" t="inlineStr">
        <is>
          <t>612-1</t>
        </is>
      </c>
      <c r="B14" s="8" t="inlineStr">
        <is>
          <t>運送（本社）</t>
        </is>
      </c>
      <c r="C14" s="40" t="inlineStr">
        <is>
          <t>2025-04</t>
        </is>
      </c>
      <c r="D14" s="41">
        <f>IFERROR(VLOOKUP(C14,▼売上原票!$A:$P,3,0),0)</f>
        <v/>
      </c>
      <c r="E14" s="32">
        <f>SUMPRODUCT((▼従業員マスター!$A$6:$A$300="本社")*(▼従業員マスター!$G$6:$G$300="直接")*▼従業員マスター!$F$6:$F$300)</f>
        <v/>
      </c>
      <c r="F14" s="12" t="n"/>
      <c r="G14" s="12" t="n"/>
      <c r="H14" s="12" t="n"/>
      <c r="I14" s="12" t="n"/>
      <c r="J14" s="12" t="n"/>
      <c r="K14" s="13">
        <f>E14+F14+G14+H14+I14+J14</f>
        <v/>
      </c>
      <c r="L14" s="14">
        <f>D14-K14</f>
        <v/>
      </c>
      <c r="M14" s="15">
        <f>IF(D14&lt;&gt;0,L14/D14,0)</f>
        <v/>
      </c>
      <c r="N14" s="42">
        <f>IF(D14=0,"—",IF(M14&gt;=0.25,"◎ 優良",IF(M14&gt;=0.15,"○ 良好",IF(M14&gt;=0.05,"△ 要注意","× 赤字"))))</f>
        <v/>
      </c>
      <c r="O14" s="17" t="inlineStr">
        <is>
          <t>C003一般</t>
        </is>
      </c>
      <c r="P14" s="18">
        <f>IF(D13&lt;&gt;0,D14/D13-1,"")</f>
        <v/>
      </c>
      <c r="Q14" s="43">
        <f>IFERROR(D14/100,0)</f>
        <v/>
      </c>
    </row>
    <row r="15" ht="21" customHeight="1">
      <c r="A15" s="7" t="inlineStr">
        <is>
          <t>612-1</t>
        </is>
      </c>
      <c r="B15" s="8" t="inlineStr">
        <is>
          <t>運送（本社）</t>
        </is>
      </c>
      <c r="C15" s="40" t="inlineStr">
        <is>
          <t>2025-05</t>
        </is>
      </c>
      <c r="D15" s="41">
        <f>IFERROR(VLOOKUP(C15,▼売上原票!$A:$P,3,0),0)</f>
        <v/>
      </c>
      <c r="E15" s="32">
        <f>SUMPRODUCT((▼従業員マスター!$A$6:$A$300="本社")*(▼従業員マスター!$G$6:$G$300="直接")*▼従業員マスター!$F$6:$F$300)</f>
        <v/>
      </c>
      <c r="F15" s="12" t="n"/>
      <c r="G15" s="12" t="n"/>
      <c r="H15" s="12" t="n"/>
      <c r="I15" s="12" t="n"/>
      <c r="J15" s="12" t="n"/>
      <c r="K15" s="13">
        <f>E15+F15+G15+H15+I15+J15</f>
        <v/>
      </c>
      <c r="L15" s="14">
        <f>D15-K15</f>
        <v/>
      </c>
      <c r="M15" s="15">
        <f>IF(D15&lt;&gt;0,L15/D15,0)</f>
        <v/>
      </c>
      <c r="N15" s="42">
        <f>IF(D15=0,"—",IF(M15&gt;=0.25,"◎ 優良",IF(M15&gt;=0.15,"○ 良好",IF(M15&gt;=0.05,"△ 要注意","× 赤字"))))</f>
        <v/>
      </c>
      <c r="O15" s="17" t="inlineStr">
        <is>
          <t>C003一般</t>
        </is>
      </c>
      <c r="P15" s="18">
        <f>IF(D14&lt;&gt;0,D15/D14-1,"")</f>
        <v/>
      </c>
      <c r="Q15" s="43">
        <f>IFERROR(D15/100,0)</f>
        <v/>
      </c>
    </row>
    <row r="16" ht="21" customHeight="1">
      <c r="A16" s="7" t="inlineStr">
        <is>
          <t>612-1</t>
        </is>
      </c>
      <c r="B16" s="8" t="inlineStr">
        <is>
          <t>運送（本社）</t>
        </is>
      </c>
      <c r="C16" s="40" t="inlineStr">
        <is>
          <t>2025-06</t>
        </is>
      </c>
      <c r="D16" s="41">
        <f>IFERROR(VLOOKUP(C16,▼売上原票!$A:$P,3,0),0)</f>
        <v/>
      </c>
      <c r="E16" s="32">
        <f>SUMPRODUCT((▼従業員マスター!$A$6:$A$300="本社")*(▼従業員マスター!$G$6:$G$300="直接")*▼従業員マスター!$F$6:$F$300)</f>
        <v/>
      </c>
      <c r="F16" s="12" t="n"/>
      <c r="G16" s="12" t="n"/>
      <c r="H16" s="12" t="n"/>
      <c r="I16" s="12" t="n"/>
      <c r="J16" s="12" t="n"/>
      <c r="K16" s="13">
        <f>E16+F16+G16+H16+I16+J16</f>
        <v/>
      </c>
      <c r="L16" s="14">
        <f>D16-K16</f>
        <v/>
      </c>
      <c r="M16" s="15">
        <f>IF(D16&lt;&gt;0,L16/D16,0)</f>
        <v/>
      </c>
      <c r="N16" s="42">
        <f>IF(D16=0,"—",IF(M16&gt;=0.25,"◎ 優良",IF(M16&gt;=0.15,"○ 良好",IF(M16&gt;=0.05,"△ 要注意","× 赤字"))))</f>
        <v/>
      </c>
      <c r="O16" s="17" t="inlineStr">
        <is>
          <t>C003一般</t>
        </is>
      </c>
      <c r="P16" s="18">
        <f>IF(D15&lt;&gt;0,D16/D15-1,"")</f>
        <v/>
      </c>
      <c r="Q16" s="43">
        <f>IFERROR(D16/100,0)</f>
        <v/>
      </c>
    </row>
    <row r="17" ht="21" customHeight="1">
      <c r="A17" s="7" t="inlineStr">
        <is>
          <t>612-1</t>
        </is>
      </c>
      <c r="B17" s="8" t="inlineStr">
        <is>
          <t>運送（本社）</t>
        </is>
      </c>
      <c r="C17" s="40" t="inlineStr">
        <is>
          <t>2025-07</t>
        </is>
      </c>
      <c r="D17" s="41">
        <f>IFERROR(VLOOKUP(C17,▼売上原票!$A:$P,3,0),0)</f>
        <v/>
      </c>
      <c r="E17" s="32">
        <f>SUMPRODUCT((▼従業員マスター!$A$6:$A$300="本社")*(▼従業員マスター!$G$6:$G$300="直接")*▼従業員マスター!$F$6:$F$300)</f>
        <v/>
      </c>
      <c r="F17" s="12" t="n"/>
      <c r="G17" s="12" t="n"/>
      <c r="H17" s="12" t="n"/>
      <c r="I17" s="12" t="n"/>
      <c r="J17" s="12" t="n"/>
      <c r="K17" s="13">
        <f>E17+F17+G17+H17+I17+J17</f>
        <v/>
      </c>
      <c r="L17" s="14">
        <f>D17-K17</f>
        <v/>
      </c>
      <c r="M17" s="15">
        <f>IF(D17&lt;&gt;0,L17/D17,0)</f>
        <v/>
      </c>
      <c r="N17" s="42">
        <f>IF(D17=0,"—",IF(M17&gt;=0.25,"◎ 優良",IF(M17&gt;=0.15,"○ 良好",IF(M17&gt;=0.05,"△ 要注意","× 赤字"))))</f>
        <v/>
      </c>
      <c r="O17" s="17" t="inlineStr">
        <is>
          <t>C003一般</t>
        </is>
      </c>
      <c r="P17" s="18">
        <f>IF(D16&lt;&gt;0,D17/D16-1,"")</f>
        <v/>
      </c>
      <c r="Q17" s="43">
        <f>IFERROR(D17/100,0)</f>
        <v/>
      </c>
    </row>
    <row r="18" ht="21" customHeight="1">
      <c r="A18" s="7" t="inlineStr">
        <is>
          <t>612-1</t>
        </is>
      </c>
      <c r="B18" s="8" t="inlineStr">
        <is>
          <t>運送（本社）</t>
        </is>
      </c>
      <c r="C18" s="40" t="inlineStr">
        <is>
          <t>2025-08</t>
        </is>
      </c>
      <c r="D18" s="41">
        <f>IFERROR(VLOOKUP(C18,▼売上原票!$A:$P,3,0),0)</f>
        <v/>
      </c>
      <c r="E18" s="32">
        <f>SUMPRODUCT((▼従業員マスター!$A$6:$A$300="本社")*(▼従業員マスター!$G$6:$G$300="直接")*▼従業員マスター!$F$6:$F$300)</f>
        <v/>
      </c>
      <c r="F18" s="12" t="n"/>
      <c r="G18" s="12" t="n"/>
      <c r="H18" s="12" t="n"/>
      <c r="I18" s="12" t="n"/>
      <c r="J18" s="12" t="n"/>
      <c r="K18" s="13">
        <f>E18+F18+G18+H18+I18+J18</f>
        <v/>
      </c>
      <c r="L18" s="14">
        <f>D18-K18</f>
        <v/>
      </c>
      <c r="M18" s="15">
        <f>IF(D18&lt;&gt;0,L18/D18,0)</f>
        <v/>
      </c>
      <c r="N18" s="42">
        <f>IF(D18=0,"—",IF(M18&gt;=0.25,"◎ 優良",IF(M18&gt;=0.15,"○ 良好",IF(M18&gt;=0.05,"△ 要注意","× 赤字"))))</f>
        <v/>
      </c>
      <c r="O18" s="17" t="inlineStr">
        <is>
          <t>C003一般</t>
        </is>
      </c>
      <c r="P18" s="18">
        <f>IF(D17&lt;&gt;0,D18/D17-1,"")</f>
        <v/>
      </c>
      <c r="Q18" s="43">
        <f>IFERROR(D18/100,0)</f>
        <v/>
      </c>
    </row>
    <row r="19" ht="21" customHeight="1">
      <c r="A19" s="7" t="inlineStr">
        <is>
          <t>612-1</t>
        </is>
      </c>
      <c r="B19" s="8" t="inlineStr">
        <is>
          <t>運送（本社）</t>
        </is>
      </c>
      <c r="C19" s="40" t="inlineStr">
        <is>
          <t>2025-09</t>
        </is>
      </c>
      <c r="D19" s="41">
        <f>IFERROR(VLOOKUP(C19,▼売上原票!$A:$P,3,0),0)</f>
        <v/>
      </c>
      <c r="E19" s="32">
        <f>SUMPRODUCT((▼従業員マスター!$A$6:$A$300="本社")*(▼従業員マスター!$G$6:$G$300="直接")*▼従業員マスター!$F$6:$F$300)</f>
        <v/>
      </c>
      <c r="F19" s="12" t="n"/>
      <c r="G19" s="12" t="n"/>
      <c r="H19" s="12" t="n"/>
      <c r="I19" s="12" t="n"/>
      <c r="J19" s="12" t="n"/>
      <c r="K19" s="13">
        <f>E19+F19+G19+H19+I19+J19</f>
        <v/>
      </c>
      <c r="L19" s="14">
        <f>D19-K19</f>
        <v/>
      </c>
      <c r="M19" s="15">
        <f>IF(D19&lt;&gt;0,L19/D19,0)</f>
        <v/>
      </c>
      <c r="N19" s="42">
        <f>IF(D19=0,"—",IF(M19&gt;=0.25,"◎ 優良",IF(M19&gt;=0.15,"○ 良好",IF(M19&gt;=0.05,"△ 要注意","× 赤字"))))</f>
        <v/>
      </c>
      <c r="O19" s="17" t="inlineStr">
        <is>
          <t>C003一般</t>
        </is>
      </c>
      <c r="P19" s="18">
        <f>IF(D18&lt;&gt;0,D19/D18-1,"")</f>
        <v/>
      </c>
      <c r="Q19" s="43">
        <f>IFERROR(D19/100,0)</f>
        <v/>
      </c>
    </row>
    <row r="20" ht="21" customHeight="1">
      <c r="A20" s="7" t="inlineStr">
        <is>
          <t>612-1</t>
        </is>
      </c>
      <c r="B20" s="8" t="inlineStr">
        <is>
          <t>運送（本社）</t>
        </is>
      </c>
      <c r="C20" s="40" t="inlineStr">
        <is>
          <t>2025-10</t>
        </is>
      </c>
      <c r="D20" s="41">
        <f>IFERROR(VLOOKUP(C20,▼売上原票!$A:$P,3,0),0)</f>
        <v/>
      </c>
      <c r="E20" s="32">
        <f>SUMPRODUCT((▼従業員マスター!$A$6:$A$300="本社")*(▼従業員マスター!$G$6:$G$300="直接")*▼従業員マスター!$F$6:$F$300)</f>
        <v/>
      </c>
      <c r="F20" s="12" t="n"/>
      <c r="G20" s="12" t="n"/>
      <c r="H20" s="12" t="n"/>
      <c r="I20" s="12" t="n"/>
      <c r="J20" s="12" t="n"/>
      <c r="K20" s="13">
        <f>E20+F20+G20+H20+I20+J20</f>
        <v/>
      </c>
      <c r="L20" s="14">
        <f>D20-K20</f>
        <v/>
      </c>
      <c r="M20" s="15">
        <f>IF(D20&lt;&gt;0,L20/D20,0)</f>
        <v/>
      </c>
      <c r="N20" s="42">
        <f>IF(D20=0,"—",IF(M20&gt;=0.25,"◎ 優良",IF(M20&gt;=0.15,"○ 良好",IF(M20&gt;=0.05,"△ 要注意","× 赤字"))))</f>
        <v/>
      </c>
      <c r="O20" s="17" t="inlineStr">
        <is>
          <t>C003一般</t>
        </is>
      </c>
      <c r="P20" s="18">
        <f>IF(D19&lt;&gt;0,D20/D19-1,"")</f>
        <v/>
      </c>
      <c r="Q20" s="43">
        <f>IFERROR(D20/100,0)</f>
        <v/>
      </c>
    </row>
    <row r="21" ht="21" customHeight="1">
      <c r="A21" s="7" t="inlineStr">
        <is>
          <t>612-1</t>
        </is>
      </c>
      <c r="B21" s="8" t="inlineStr">
        <is>
          <t>運送（本社）</t>
        </is>
      </c>
      <c r="C21" s="40" t="inlineStr">
        <is>
          <t>2025-11</t>
        </is>
      </c>
      <c r="D21" s="41">
        <f>IFERROR(VLOOKUP(C21,▼売上原票!$A:$P,3,0),0)</f>
        <v/>
      </c>
      <c r="E21" s="32">
        <f>SUMPRODUCT((▼従業員マスター!$A$6:$A$300="本社")*(▼従業員マスター!$G$6:$G$300="直接")*▼従業員マスター!$F$6:$F$300)</f>
        <v/>
      </c>
      <c r="F21" s="12" t="n"/>
      <c r="G21" s="12" t="n"/>
      <c r="H21" s="12" t="n"/>
      <c r="I21" s="12" t="n"/>
      <c r="J21" s="12" t="n"/>
      <c r="K21" s="13">
        <f>E21+F21+G21+H21+I21+J21</f>
        <v/>
      </c>
      <c r="L21" s="14">
        <f>D21-K21</f>
        <v/>
      </c>
      <c r="M21" s="15">
        <f>IF(D21&lt;&gt;0,L21/D21,0)</f>
        <v/>
      </c>
      <c r="N21" s="42">
        <f>IF(D21=0,"—",IF(M21&gt;=0.25,"◎ 優良",IF(M21&gt;=0.15,"○ 良好",IF(M21&gt;=0.05,"△ 要注意","× 赤字"))))</f>
        <v/>
      </c>
      <c r="O21" s="17" t="inlineStr">
        <is>
          <t>C003一般</t>
        </is>
      </c>
      <c r="P21" s="18">
        <f>IF(D20&lt;&gt;0,D21/D20-1,"")</f>
        <v/>
      </c>
      <c r="Q21" s="43">
        <f>IFERROR(D21/100,0)</f>
        <v/>
      </c>
    </row>
    <row r="22" ht="5" customHeight="1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</row>
    <row r="23" ht="21" customHeight="1">
      <c r="A23" s="7" t="inlineStr">
        <is>
          <t>612-2</t>
        </is>
      </c>
      <c r="B23" s="8" t="inlineStr">
        <is>
          <t>入札（公共）</t>
        </is>
      </c>
      <c r="C23" s="40" t="inlineStr">
        <is>
          <t>2024-07</t>
        </is>
      </c>
      <c r="D23" s="41">
        <f>IFERROR(VLOOKUP(C23,▼売上原票!$A:$P,4,0),0)</f>
        <v/>
      </c>
      <c r="E23" s="32">
        <f>SUMPRODUCT((▼従業員マスター!$A$6:$A$300="埼玉")*(▼従業員マスター!$G$6:$G$300="直接")*▼従業員マスター!$F$6:$F$300)</f>
        <v/>
      </c>
      <c r="F23" s="12" t="n"/>
      <c r="G23" s="12" t="n"/>
      <c r="H23" s="12" t="n"/>
      <c r="I23" s="12" t="n"/>
      <c r="J23" s="12" t="n"/>
      <c r="K23" s="13">
        <f>E23+F23+G23+H23+I23+J23</f>
        <v/>
      </c>
      <c r="L23" s="14">
        <f>D23-K23</f>
        <v/>
      </c>
      <c r="M23" s="15">
        <f>IF(D23&lt;&gt;0,L23/D23,0)</f>
        <v/>
      </c>
      <c r="N23" s="42">
        <f>IF(D23=0,"—",IF(M23&gt;=0.25,"◎ 優良",IF(M23&gt;=0.15,"○ 良好",IF(M23&gt;=0.05,"△ 要注意","× 赤字"))))</f>
        <v/>
      </c>
      <c r="O23" s="17" t="inlineStr">
        <is>
          <t>C002都営</t>
        </is>
      </c>
      <c r="P23" s="17" t="inlineStr">
        <is>
          <t>—</t>
        </is>
      </c>
      <c r="Q23" s="43">
        <f>IFERROR(D23/100,0)</f>
        <v/>
      </c>
    </row>
    <row r="24" ht="21" customHeight="1">
      <c r="A24" s="7" t="inlineStr">
        <is>
          <t>612-2</t>
        </is>
      </c>
      <c r="B24" s="8" t="inlineStr">
        <is>
          <t>入札（公共）</t>
        </is>
      </c>
      <c r="C24" s="40" t="inlineStr">
        <is>
          <t>2024-08</t>
        </is>
      </c>
      <c r="D24" s="41">
        <f>IFERROR(VLOOKUP(C24,▼売上原票!$A:$P,4,0),0)</f>
        <v/>
      </c>
      <c r="E24" s="32">
        <f>SUMPRODUCT((▼従業員マスター!$A$6:$A$300="埼玉")*(▼従業員マスター!$G$6:$G$300="直接")*▼従業員マスター!$F$6:$F$300)</f>
        <v/>
      </c>
      <c r="F24" s="12" t="n"/>
      <c r="G24" s="12" t="n"/>
      <c r="H24" s="12" t="n"/>
      <c r="I24" s="12" t="n"/>
      <c r="J24" s="12" t="n"/>
      <c r="K24" s="13">
        <f>E24+F24+G24+H24+I24+J24</f>
        <v/>
      </c>
      <c r="L24" s="14">
        <f>D24-K24</f>
        <v/>
      </c>
      <c r="M24" s="15">
        <f>IF(D24&lt;&gt;0,L24/D24,0)</f>
        <v/>
      </c>
      <c r="N24" s="42">
        <f>IF(D24=0,"—",IF(M24&gt;=0.25,"◎ 優良",IF(M24&gt;=0.15,"○ 良好",IF(M24&gt;=0.05,"△ 要注意","× 赤字"))))</f>
        <v/>
      </c>
      <c r="O24" s="17" t="inlineStr">
        <is>
          <t>C002都営</t>
        </is>
      </c>
      <c r="P24" s="18">
        <f>IF(D23&lt;&gt;0,D24/D23-1,"")</f>
        <v/>
      </c>
      <c r="Q24" s="43">
        <f>IFERROR(D24/100,0)</f>
        <v/>
      </c>
    </row>
    <row r="25" ht="21" customHeight="1">
      <c r="A25" s="7" t="inlineStr">
        <is>
          <t>612-2</t>
        </is>
      </c>
      <c r="B25" s="8" t="inlineStr">
        <is>
          <t>入札（公共）</t>
        </is>
      </c>
      <c r="C25" s="40" t="inlineStr">
        <is>
          <t>2024-09</t>
        </is>
      </c>
      <c r="D25" s="41">
        <f>IFERROR(VLOOKUP(C25,▼売上原票!$A:$P,4,0),0)</f>
        <v/>
      </c>
      <c r="E25" s="32">
        <f>SUMPRODUCT((▼従業員マスター!$A$6:$A$300="埼玉")*(▼従業員マスター!$G$6:$G$300="直接")*▼従業員マスター!$F$6:$F$300)</f>
        <v/>
      </c>
      <c r="F25" s="12" t="n"/>
      <c r="G25" s="12" t="n"/>
      <c r="H25" s="12" t="n"/>
      <c r="I25" s="12" t="n"/>
      <c r="J25" s="12" t="n"/>
      <c r="K25" s="13">
        <f>E25+F25+G25+H25+I25+J25</f>
        <v/>
      </c>
      <c r="L25" s="14">
        <f>D25-K25</f>
        <v/>
      </c>
      <c r="M25" s="15">
        <f>IF(D25&lt;&gt;0,L25/D25,0)</f>
        <v/>
      </c>
      <c r="N25" s="42">
        <f>IF(D25=0,"—",IF(M25&gt;=0.25,"◎ 優良",IF(M25&gt;=0.15,"○ 良好",IF(M25&gt;=0.05,"△ 要注意","× 赤字"))))</f>
        <v/>
      </c>
      <c r="O25" s="17" t="inlineStr">
        <is>
          <t>C002都営</t>
        </is>
      </c>
      <c r="P25" s="18">
        <f>IF(D24&lt;&gt;0,D25/D24-1,"")</f>
        <v/>
      </c>
      <c r="Q25" s="43">
        <f>IFERROR(D25/100,0)</f>
        <v/>
      </c>
    </row>
    <row r="26" ht="21" customHeight="1">
      <c r="A26" s="7" t="inlineStr">
        <is>
          <t>612-2</t>
        </is>
      </c>
      <c r="B26" s="8" t="inlineStr">
        <is>
          <t>入札（公共）</t>
        </is>
      </c>
      <c r="C26" s="40" t="inlineStr">
        <is>
          <t>2024-10</t>
        </is>
      </c>
      <c r="D26" s="41">
        <f>IFERROR(VLOOKUP(C26,▼売上原票!$A:$P,4,0),0)</f>
        <v/>
      </c>
      <c r="E26" s="32">
        <f>SUMPRODUCT((▼従業員マスター!$A$6:$A$300="埼玉")*(▼従業員マスター!$G$6:$G$300="直接")*▼従業員マスター!$F$6:$F$300)</f>
        <v/>
      </c>
      <c r="F26" s="12" t="n"/>
      <c r="G26" s="12" t="n"/>
      <c r="H26" s="12" t="n"/>
      <c r="I26" s="12" t="n"/>
      <c r="J26" s="12" t="n"/>
      <c r="K26" s="13">
        <f>E26+F26+G26+H26+I26+J26</f>
        <v/>
      </c>
      <c r="L26" s="14">
        <f>D26-K26</f>
        <v/>
      </c>
      <c r="M26" s="15">
        <f>IF(D26&lt;&gt;0,L26/D26,0)</f>
        <v/>
      </c>
      <c r="N26" s="42">
        <f>IF(D26=0,"—",IF(M26&gt;=0.25,"◎ 優良",IF(M26&gt;=0.15,"○ 良好",IF(M26&gt;=0.05,"△ 要注意","× 赤字"))))</f>
        <v/>
      </c>
      <c r="O26" s="17" t="inlineStr">
        <is>
          <t>C002都営</t>
        </is>
      </c>
      <c r="P26" s="18">
        <f>IF(D25&lt;&gt;0,D26/D25-1,"")</f>
        <v/>
      </c>
      <c r="Q26" s="43">
        <f>IFERROR(D26/100,0)</f>
        <v/>
      </c>
    </row>
    <row r="27" ht="21" customHeight="1">
      <c r="A27" s="7" t="inlineStr">
        <is>
          <t>612-2</t>
        </is>
      </c>
      <c r="B27" s="8" t="inlineStr">
        <is>
          <t>入札（公共）</t>
        </is>
      </c>
      <c r="C27" s="40" t="inlineStr">
        <is>
          <t>2024-11</t>
        </is>
      </c>
      <c r="D27" s="41">
        <f>IFERROR(VLOOKUP(C27,▼売上原票!$A:$P,4,0),0)</f>
        <v/>
      </c>
      <c r="E27" s="32">
        <f>SUMPRODUCT((▼従業員マスター!$A$6:$A$300="埼玉")*(▼従業員マスター!$G$6:$G$300="直接")*▼従業員マスター!$F$6:$F$300)</f>
        <v/>
      </c>
      <c r="F27" s="12" t="n"/>
      <c r="G27" s="12" t="n"/>
      <c r="H27" s="12" t="n"/>
      <c r="I27" s="12" t="n"/>
      <c r="J27" s="12" t="n"/>
      <c r="K27" s="13">
        <f>E27+F27+G27+H27+I27+J27</f>
        <v/>
      </c>
      <c r="L27" s="14">
        <f>D27-K27</f>
        <v/>
      </c>
      <c r="M27" s="15">
        <f>IF(D27&lt;&gt;0,L27/D27,0)</f>
        <v/>
      </c>
      <c r="N27" s="42">
        <f>IF(D27=0,"—",IF(M27&gt;=0.25,"◎ 優良",IF(M27&gt;=0.15,"○ 良好",IF(M27&gt;=0.05,"△ 要注意","× 赤字"))))</f>
        <v/>
      </c>
      <c r="O27" s="17" t="inlineStr">
        <is>
          <t>C002都営</t>
        </is>
      </c>
      <c r="P27" s="18">
        <f>IF(D26&lt;&gt;0,D27/D26-1,"")</f>
        <v/>
      </c>
      <c r="Q27" s="43">
        <f>IFERROR(D27/100,0)</f>
        <v/>
      </c>
    </row>
    <row r="28" ht="21" customHeight="1">
      <c r="A28" s="7" t="inlineStr">
        <is>
          <t>612-2</t>
        </is>
      </c>
      <c r="B28" s="8" t="inlineStr">
        <is>
          <t>入札（公共）</t>
        </is>
      </c>
      <c r="C28" s="40" t="inlineStr">
        <is>
          <t>2024-12</t>
        </is>
      </c>
      <c r="D28" s="41">
        <f>IFERROR(VLOOKUP(C28,▼売上原票!$A:$P,4,0),0)</f>
        <v/>
      </c>
      <c r="E28" s="32">
        <f>SUMPRODUCT((▼従業員マスター!$A$6:$A$300="埼玉")*(▼従業員マスター!$G$6:$G$300="直接")*▼従業員マスター!$F$6:$F$300)</f>
        <v/>
      </c>
      <c r="F28" s="12" t="n"/>
      <c r="G28" s="12" t="n"/>
      <c r="H28" s="12" t="n"/>
      <c r="I28" s="12" t="n"/>
      <c r="J28" s="12" t="n"/>
      <c r="K28" s="13">
        <f>E28+F28+G28+H28+I28+J28</f>
        <v/>
      </c>
      <c r="L28" s="14">
        <f>D28-K28</f>
        <v/>
      </c>
      <c r="M28" s="15">
        <f>IF(D28&lt;&gt;0,L28/D28,0)</f>
        <v/>
      </c>
      <c r="N28" s="42">
        <f>IF(D28=0,"—",IF(M28&gt;=0.25,"◎ 優良",IF(M28&gt;=0.15,"○ 良好",IF(M28&gt;=0.05,"△ 要注意","× 赤字"))))</f>
        <v/>
      </c>
      <c r="O28" s="17" t="inlineStr">
        <is>
          <t>C002都営</t>
        </is>
      </c>
      <c r="P28" s="18">
        <f>IF(D27&lt;&gt;0,D28/D27-1,"")</f>
        <v/>
      </c>
      <c r="Q28" s="43">
        <f>IFERROR(D28/100,0)</f>
        <v/>
      </c>
    </row>
    <row r="29" ht="21" customHeight="1">
      <c r="A29" s="7" t="inlineStr">
        <is>
          <t>612-2</t>
        </is>
      </c>
      <c r="B29" s="8" t="inlineStr">
        <is>
          <t>入札（公共）</t>
        </is>
      </c>
      <c r="C29" s="40" t="inlineStr">
        <is>
          <t>2025-01</t>
        </is>
      </c>
      <c r="D29" s="41">
        <f>IFERROR(VLOOKUP(C29,▼売上原票!$A:$P,4,0),0)</f>
        <v/>
      </c>
      <c r="E29" s="32">
        <f>SUMPRODUCT((▼従業員マスター!$A$6:$A$300="埼玉")*(▼従業員マスター!$G$6:$G$300="直接")*▼従業員マスター!$F$6:$F$300)</f>
        <v/>
      </c>
      <c r="F29" s="12" t="n"/>
      <c r="G29" s="12" t="n"/>
      <c r="H29" s="12" t="n"/>
      <c r="I29" s="12" t="n"/>
      <c r="J29" s="12" t="n"/>
      <c r="K29" s="13">
        <f>E29+F29+G29+H29+I29+J29</f>
        <v/>
      </c>
      <c r="L29" s="14">
        <f>D29-K29</f>
        <v/>
      </c>
      <c r="M29" s="15">
        <f>IF(D29&lt;&gt;0,L29/D29,0)</f>
        <v/>
      </c>
      <c r="N29" s="42">
        <f>IF(D29=0,"—",IF(M29&gt;=0.25,"◎ 優良",IF(M29&gt;=0.15,"○ 良好",IF(M29&gt;=0.05,"△ 要注意","× 赤字"))))</f>
        <v/>
      </c>
      <c r="O29" s="17" t="inlineStr">
        <is>
          <t>C002都営</t>
        </is>
      </c>
      <c r="P29" s="18">
        <f>IF(D28&lt;&gt;0,D29/D28-1,"")</f>
        <v/>
      </c>
      <c r="Q29" s="43">
        <f>IFERROR(D29/100,0)</f>
        <v/>
      </c>
    </row>
    <row r="30" ht="21" customHeight="1">
      <c r="A30" s="7" t="inlineStr">
        <is>
          <t>612-2</t>
        </is>
      </c>
      <c r="B30" s="8" t="inlineStr">
        <is>
          <t>入札（公共）</t>
        </is>
      </c>
      <c r="C30" s="40" t="inlineStr">
        <is>
          <t>2025-02</t>
        </is>
      </c>
      <c r="D30" s="41">
        <f>IFERROR(VLOOKUP(C30,▼売上原票!$A:$P,4,0),0)</f>
        <v/>
      </c>
      <c r="E30" s="32">
        <f>SUMPRODUCT((▼従業員マスター!$A$6:$A$300="埼玉")*(▼従業員マスター!$G$6:$G$300="直接")*▼従業員マスター!$F$6:$F$300)</f>
        <v/>
      </c>
      <c r="F30" s="12" t="n"/>
      <c r="G30" s="12" t="n"/>
      <c r="H30" s="12" t="n"/>
      <c r="I30" s="12" t="n"/>
      <c r="J30" s="12" t="n"/>
      <c r="K30" s="13">
        <f>E30+F30+G30+H30+I30+J30</f>
        <v/>
      </c>
      <c r="L30" s="14">
        <f>D30-K30</f>
        <v/>
      </c>
      <c r="M30" s="15">
        <f>IF(D30&lt;&gt;0,L30/D30,0)</f>
        <v/>
      </c>
      <c r="N30" s="42">
        <f>IF(D30=0,"—",IF(M30&gt;=0.25,"◎ 優良",IF(M30&gt;=0.15,"○ 良好",IF(M30&gt;=0.05,"△ 要注意","× 赤字"))))</f>
        <v/>
      </c>
      <c r="O30" s="17" t="inlineStr">
        <is>
          <t>C002都営</t>
        </is>
      </c>
      <c r="P30" s="18">
        <f>IF(D29&lt;&gt;0,D30/D29-1,"")</f>
        <v/>
      </c>
      <c r="Q30" s="43">
        <f>IFERROR(D30/100,0)</f>
        <v/>
      </c>
    </row>
    <row r="31" ht="21" customHeight="1">
      <c r="A31" s="7" t="inlineStr">
        <is>
          <t>612-2</t>
        </is>
      </c>
      <c r="B31" s="8" t="inlineStr">
        <is>
          <t>入札（公共）</t>
        </is>
      </c>
      <c r="C31" s="40" t="inlineStr">
        <is>
          <t>2025-03</t>
        </is>
      </c>
      <c r="D31" s="41">
        <f>IFERROR(VLOOKUP(C31,▼売上原票!$A:$P,4,0),0)</f>
        <v/>
      </c>
      <c r="E31" s="32">
        <f>SUMPRODUCT((▼従業員マスター!$A$6:$A$300="埼玉")*(▼従業員マスター!$G$6:$G$300="直接")*▼従業員マスター!$F$6:$F$300)</f>
        <v/>
      </c>
      <c r="F31" s="12" t="n"/>
      <c r="G31" s="12" t="n"/>
      <c r="H31" s="12" t="n"/>
      <c r="I31" s="12" t="n"/>
      <c r="J31" s="12" t="n"/>
      <c r="K31" s="13">
        <f>E31+F31+G31+H31+I31+J31</f>
        <v/>
      </c>
      <c r="L31" s="14">
        <f>D31-K31</f>
        <v/>
      </c>
      <c r="M31" s="15">
        <f>IF(D31&lt;&gt;0,L31/D31,0)</f>
        <v/>
      </c>
      <c r="N31" s="42">
        <f>IF(D31=0,"—",IF(M31&gt;=0.25,"◎ 優良",IF(M31&gt;=0.15,"○ 良好",IF(M31&gt;=0.05,"△ 要注意","× 赤字"))))</f>
        <v/>
      </c>
      <c r="O31" s="17" t="inlineStr">
        <is>
          <t>C002都営</t>
        </is>
      </c>
      <c r="P31" s="18">
        <f>IF(D30&lt;&gt;0,D31/D30-1,"")</f>
        <v/>
      </c>
      <c r="Q31" s="43">
        <f>IFERROR(D31/100,0)</f>
        <v/>
      </c>
    </row>
    <row r="32" ht="21" customHeight="1">
      <c r="A32" s="7" t="inlineStr">
        <is>
          <t>612-2</t>
        </is>
      </c>
      <c r="B32" s="8" t="inlineStr">
        <is>
          <t>入札（公共）</t>
        </is>
      </c>
      <c r="C32" s="40" t="inlineStr">
        <is>
          <t>2025-04</t>
        </is>
      </c>
      <c r="D32" s="41">
        <f>IFERROR(VLOOKUP(C32,▼売上原票!$A:$P,4,0),0)</f>
        <v/>
      </c>
      <c r="E32" s="32">
        <f>SUMPRODUCT((▼従業員マスター!$A$6:$A$300="埼玉")*(▼従業員マスター!$G$6:$G$300="直接")*▼従業員マスター!$F$6:$F$300)</f>
        <v/>
      </c>
      <c r="F32" s="12" t="n"/>
      <c r="G32" s="12" t="n"/>
      <c r="H32" s="12" t="n"/>
      <c r="I32" s="12" t="n"/>
      <c r="J32" s="12" t="n"/>
      <c r="K32" s="13">
        <f>E32+F32+G32+H32+I32+J32</f>
        <v/>
      </c>
      <c r="L32" s="14">
        <f>D32-K32</f>
        <v/>
      </c>
      <c r="M32" s="15">
        <f>IF(D32&lt;&gt;0,L32/D32,0)</f>
        <v/>
      </c>
      <c r="N32" s="42">
        <f>IF(D32=0,"—",IF(M32&gt;=0.25,"◎ 優良",IF(M32&gt;=0.15,"○ 良好",IF(M32&gt;=0.05,"△ 要注意","× 赤字"))))</f>
        <v/>
      </c>
      <c r="O32" s="17" t="inlineStr">
        <is>
          <t>C002都営</t>
        </is>
      </c>
      <c r="P32" s="18">
        <f>IF(D31&lt;&gt;0,D32/D31-1,"")</f>
        <v/>
      </c>
      <c r="Q32" s="43">
        <f>IFERROR(D32/100,0)</f>
        <v/>
      </c>
    </row>
    <row r="33" ht="21" customHeight="1">
      <c r="A33" s="7" t="inlineStr">
        <is>
          <t>612-2</t>
        </is>
      </c>
      <c r="B33" s="8" t="inlineStr">
        <is>
          <t>入札（公共）</t>
        </is>
      </c>
      <c r="C33" s="40" t="inlineStr">
        <is>
          <t>2025-05</t>
        </is>
      </c>
      <c r="D33" s="41">
        <f>IFERROR(VLOOKUP(C33,▼売上原票!$A:$P,4,0),0)</f>
        <v/>
      </c>
      <c r="E33" s="32">
        <f>SUMPRODUCT((▼従業員マスター!$A$6:$A$300="埼玉")*(▼従業員マスター!$G$6:$G$300="直接")*▼従業員マスター!$F$6:$F$300)</f>
        <v/>
      </c>
      <c r="F33" s="12" t="n"/>
      <c r="G33" s="12" t="n"/>
      <c r="H33" s="12" t="n"/>
      <c r="I33" s="12" t="n"/>
      <c r="J33" s="12" t="n"/>
      <c r="K33" s="13">
        <f>E33+F33+G33+H33+I33+J33</f>
        <v/>
      </c>
      <c r="L33" s="14">
        <f>D33-K33</f>
        <v/>
      </c>
      <c r="M33" s="15">
        <f>IF(D33&lt;&gt;0,L33/D33,0)</f>
        <v/>
      </c>
      <c r="N33" s="42">
        <f>IF(D33=0,"—",IF(M33&gt;=0.25,"◎ 優良",IF(M33&gt;=0.15,"○ 良好",IF(M33&gt;=0.05,"△ 要注意","× 赤字"))))</f>
        <v/>
      </c>
      <c r="O33" s="17" t="inlineStr">
        <is>
          <t>C002都営</t>
        </is>
      </c>
      <c r="P33" s="18">
        <f>IF(D32&lt;&gt;0,D33/D32-1,"")</f>
        <v/>
      </c>
      <c r="Q33" s="43">
        <f>IFERROR(D33/100,0)</f>
        <v/>
      </c>
    </row>
    <row r="34" ht="21" customHeight="1">
      <c r="A34" s="7" t="inlineStr">
        <is>
          <t>612-2</t>
        </is>
      </c>
      <c r="B34" s="8" t="inlineStr">
        <is>
          <t>入札（公共）</t>
        </is>
      </c>
      <c r="C34" s="40" t="inlineStr">
        <is>
          <t>2025-06</t>
        </is>
      </c>
      <c r="D34" s="41">
        <f>IFERROR(VLOOKUP(C34,▼売上原票!$A:$P,4,0),0)</f>
        <v/>
      </c>
      <c r="E34" s="32">
        <f>SUMPRODUCT((▼従業員マスター!$A$6:$A$300="埼玉")*(▼従業員マスター!$G$6:$G$300="直接")*▼従業員マスター!$F$6:$F$300)</f>
        <v/>
      </c>
      <c r="F34" s="12" t="n"/>
      <c r="G34" s="12" t="n"/>
      <c r="H34" s="12" t="n"/>
      <c r="I34" s="12" t="n"/>
      <c r="J34" s="12" t="n"/>
      <c r="K34" s="13">
        <f>E34+F34+G34+H34+I34+J34</f>
        <v/>
      </c>
      <c r="L34" s="14">
        <f>D34-K34</f>
        <v/>
      </c>
      <c r="M34" s="15">
        <f>IF(D34&lt;&gt;0,L34/D34,0)</f>
        <v/>
      </c>
      <c r="N34" s="42">
        <f>IF(D34=0,"—",IF(M34&gt;=0.25,"◎ 優良",IF(M34&gt;=0.15,"○ 良好",IF(M34&gt;=0.05,"△ 要注意","× 赤字"))))</f>
        <v/>
      </c>
      <c r="O34" s="17" t="inlineStr">
        <is>
          <t>C002都営</t>
        </is>
      </c>
      <c r="P34" s="18">
        <f>IF(D33&lt;&gt;0,D34/D33-1,"")</f>
        <v/>
      </c>
      <c r="Q34" s="43">
        <f>IFERROR(D34/100,0)</f>
        <v/>
      </c>
    </row>
    <row r="35" ht="21" customHeight="1">
      <c r="A35" s="7" t="inlineStr">
        <is>
          <t>612-2</t>
        </is>
      </c>
      <c r="B35" s="8" t="inlineStr">
        <is>
          <t>入札（公共）</t>
        </is>
      </c>
      <c r="C35" s="40" t="inlineStr">
        <is>
          <t>2025-07</t>
        </is>
      </c>
      <c r="D35" s="41">
        <f>IFERROR(VLOOKUP(C35,▼売上原票!$A:$P,4,0),0)</f>
        <v/>
      </c>
      <c r="E35" s="32">
        <f>SUMPRODUCT((▼従業員マスター!$A$6:$A$300="埼玉")*(▼従業員マスター!$G$6:$G$300="直接")*▼従業員マスター!$F$6:$F$300)</f>
        <v/>
      </c>
      <c r="F35" s="12" t="n"/>
      <c r="G35" s="12" t="n"/>
      <c r="H35" s="12" t="n"/>
      <c r="I35" s="12" t="n"/>
      <c r="J35" s="12" t="n"/>
      <c r="K35" s="13">
        <f>E35+F35+G35+H35+I35+J35</f>
        <v/>
      </c>
      <c r="L35" s="14">
        <f>D35-K35</f>
        <v/>
      </c>
      <c r="M35" s="15">
        <f>IF(D35&lt;&gt;0,L35/D35,0)</f>
        <v/>
      </c>
      <c r="N35" s="42">
        <f>IF(D35=0,"—",IF(M35&gt;=0.25,"◎ 優良",IF(M35&gt;=0.15,"○ 良好",IF(M35&gt;=0.05,"△ 要注意","× 赤字"))))</f>
        <v/>
      </c>
      <c r="O35" s="17" t="inlineStr">
        <is>
          <t>C002都営</t>
        </is>
      </c>
      <c r="P35" s="18">
        <f>IF(D34&lt;&gt;0,D35/D34-1,"")</f>
        <v/>
      </c>
      <c r="Q35" s="43">
        <f>IFERROR(D35/100,0)</f>
        <v/>
      </c>
    </row>
    <row r="36" ht="21" customHeight="1">
      <c r="A36" s="7" t="inlineStr">
        <is>
          <t>612-2</t>
        </is>
      </c>
      <c r="B36" s="8" t="inlineStr">
        <is>
          <t>入札（公共）</t>
        </is>
      </c>
      <c r="C36" s="40" t="inlineStr">
        <is>
          <t>2025-08</t>
        </is>
      </c>
      <c r="D36" s="41">
        <f>IFERROR(VLOOKUP(C36,▼売上原票!$A:$P,4,0),0)</f>
        <v/>
      </c>
      <c r="E36" s="32">
        <f>SUMPRODUCT((▼従業員マスター!$A$6:$A$300="埼玉")*(▼従業員マスター!$G$6:$G$300="直接")*▼従業員マスター!$F$6:$F$300)</f>
        <v/>
      </c>
      <c r="F36" s="12" t="n"/>
      <c r="G36" s="12" t="n"/>
      <c r="H36" s="12" t="n"/>
      <c r="I36" s="12" t="n"/>
      <c r="J36" s="12" t="n"/>
      <c r="K36" s="13">
        <f>E36+F36+G36+H36+I36+J36</f>
        <v/>
      </c>
      <c r="L36" s="14">
        <f>D36-K36</f>
        <v/>
      </c>
      <c r="M36" s="15">
        <f>IF(D36&lt;&gt;0,L36/D36,0)</f>
        <v/>
      </c>
      <c r="N36" s="42">
        <f>IF(D36=0,"—",IF(M36&gt;=0.25,"◎ 優良",IF(M36&gt;=0.15,"○ 良好",IF(M36&gt;=0.05,"△ 要注意","× 赤字"))))</f>
        <v/>
      </c>
      <c r="O36" s="17" t="inlineStr">
        <is>
          <t>C002都営</t>
        </is>
      </c>
      <c r="P36" s="18">
        <f>IF(D35&lt;&gt;0,D36/D35-1,"")</f>
        <v/>
      </c>
      <c r="Q36" s="43">
        <f>IFERROR(D36/100,0)</f>
        <v/>
      </c>
    </row>
    <row r="37" ht="21" customHeight="1">
      <c r="A37" s="7" t="inlineStr">
        <is>
          <t>612-2</t>
        </is>
      </c>
      <c r="B37" s="8" t="inlineStr">
        <is>
          <t>入札（公共）</t>
        </is>
      </c>
      <c r="C37" s="40" t="inlineStr">
        <is>
          <t>2025-09</t>
        </is>
      </c>
      <c r="D37" s="41">
        <f>IFERROR(VLOOKUP(C37,▼売上原票!$A:$P,4,0),0)</f>
        <v/>
      </c>
      <c r="E37" s="32">
        <f>SUMPRODUCT((▼従業員マスター!$A$6:$A$300="埼玉")*(▼従業員マスター!$G$6:$G$300="直接")*▼従業員マスター!$F$6:$F$300)</f>
        <v/>
      </c>
      <c r="F37" s="12" t="n"/>
      <c r="G37" s="12" t="n"/>
      <c r="H37" s="12" t="n"/>
      <c r="I37" s="12" t="n"/>
      <c r="J37" s="12" t="n"/>
      <c r="K37" s="13">
        <f>E37+F37+G37+H37+I37+J37</f>
        <v/>
      </c>
      <c r="L37" s="14">
        <f>D37-K37</f>
        <v/>
      </c>
      <c r="M37" s="15">
        <f>IF(D37&lt;&gt;0,L37/D37,0)</f>
        <v/>
      </c>
      <c r="N37" s="42">
        <f>IF(D37=0,"—",IF(M37&gt;=0.25,"◎ 優良",IF(M37&gt;=0.15,"○ 良好",IF(M37&gt;=0.05,"△ 要注意","× 赤字"))))</f>
        <v/>
      </c>
      <c r="O37" s="17" t="inlineStr">
        <is>
          <t>C002都営</t>
        </is>
      </c>
      <c r="P37" s="18">
        <f>IF(D36&lt;&gt;0,D37/D36-1,"")</f>
        <v/>
      </c>
      <c r="Q37" s="43">
        <f>IFERROR(D37/100,0)</f>
        <v/>
      </c>
    </row>
    <row r="38" ht="21" customHeight="1">
      <c r="A38" s="7" t="inlineStr">
        <is>
          <t>612-2</t>
        </is>
      </c>
      <c r="B38" s="8" t="inlineStr">
        <is>
          <t>入札（公共）</t>
        </is>
      </c>
      <c r="C38" s="40" t="inlineStr">
        <is>
          <t>2025-10</t>
        </is>
      </c>
      <c r="D38" s="41">
        <f>IFERROR(VLOOKUP(C38,▼売上原票!$A:$P,4,0),0)</f>
        <v/>
      </c>
      <c r="E38" s="32">
        <f>SUMPRODUCT((▼従業員マスター!$A$6:$A$300="埼玉")*(▼従業員マスター!$G$6:$G$300="直接")*▼従業員マスター!$F$6:$F$300)</f>
        <v/>
      </c>
      <c r="F38" s="12" t="n"/>
      <c r="G38" s="12" t="n"/>
      <c r="H38" s="12" t="n"/>
      <c r="I38" s="12" t="n"/>
      <c r="J38" s="12" t="n"/>
      <c r="K38" s="13">
        <f>E38+F38+G38+H38+I38+J38</f>
        <v/>
      </c>
      <c r="L38" s="14">
        <f>D38-K38</f>
        <v/>
      </c>
      <c r="M38" s="15">
        <f>IF(D38&lt;&gt;0,L38/D38,0)</f>
        <v/>
      </c>
      <c r="N38" s="42">
        <f>IF(D38=0,"—",IF(M38&gt;=0.25,"◎ 優良",IF(M38&gt;=0.15,"○ 良好",IF(M38&gt;=0.05,"△ 要注意","× 赤字"))))</f>
        <v/>
      </c>
      <c r="O38" s="17" t="inlineStr">
        <is>
          <t>C002都営</t>
        </is>
      </c>
      <c r="P38" s="18">
        <f>IF(D37&lt;&gt;0,D38/D37-1,"")</f>
        <v/>
      </c>
      <c r="Q38" s="43">
        <f>IFERROR(D38/100,0)</f>
        <v/>
      </c>
    </row>
    <row r="39" ht="21" customHeight="1">
      <c r="A39" s="7" t="inlineStr">
        <is>
          <t>612-2</t>
        </is>
      </c>
      <c r="B39" s="8" t="inlineStr">
        <is>
          <t>入札（公共）</t>
        </is>
      </c>
      <c r="C39" s="40" t="inlineStr">
        <is>
          <t>2025-11</t>
        </is>
      </c>
      <c r="D39" s="41">
        <f>IFERROR(VLOOKUP(C39,▼売上原票!$A:$P,4,0),0)</f>
        <v/>
      </c>
      <c r="E39" s="32">
        <f>SUMPRODUCT((▼従業員マスター!$A$6:$A$300="埼玉")*(▼従業員マスター!$G$6:$G$300="直接")*▼従業員マスター!$F$6:$F$300)</f>
        <v/>
      </c>
      <c r="F39" s="12" t="n"/>
      <c r="G39" s="12" t="n"/>
      <c r="H39" s="12" t="n"/>
      <c r="I39" s="12" t="n"/>
      <c r="J39" s="12" t="n"/>
      <c r="K39" s="13">
        <f>E39+F39+G39+H39+I39+J39</f>
        <v/>
      </c>
      <c r="L39" s="14">
        <f>D39-K39</f>
        <v/>
      </c>
      <c r="M39" s="15">
        <f>IF(D39&lt;&gt;0,L39/D39,0)</f>
        <v/>
      </c>
      <c r="N39" s="42">
        <f>IF(D39=0,"—",IF(M39&gt;=0.25,"◎ 優良",IF(M39&gt;=0.15,"○ 良好",IF(M39&gt;=0.05,"△ 要注意","× 赤字"))))</f>
        <v/>
      </c>
      <c r="O39" s="17" t="inlineStr">
        <is>
          <t>C002都営</t>
        </is>
      </c>
      <c r="P39" s="18">
        <f>IF(D38&lt;&gt;0,D39/D38-1,"")</f>
        <v/>
      </c>
      <c r="Q39" s="43">
        <f>IFERROR(D39/100,0)</f>
        <v/>
      </c>
    </row>
    <row r="40" ht="5" customHeight="1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</row>
    <row r="41" ht="21" customHeight="1">
      <c r="A41" s="20" t="inlineStr">
        <is>
          <t>613-1</t>
        </is>
      </c>
      <c r="B41" s="21" t="inlineStr">
        <is>
          <t>車輌</t>
        </is>
      </c>
      <c r="C41" s="40" t="inlineStr">
        <is>
          <t>2024-07</t>
        </is>
      </c>
      <c r="D41" s="41">
        <f>IFERROR(VLOOKUP(C41,▼売上原票!$A:$P,5,0),0)</f>
        <v/>
      </c>
      <c r="E41" s="12" t="n"/>
      <c r="F41" s="12" t="n"/>
      <c r="G41" s="12" t="n"/>
      <c r="H41" s="12" t="n"/>
      <c r="I41" s="12" t="n"/>
      <c r="J41" s="12" t="n"/>
      <c r="K41" s="13">
        <f>E41+F41+G41+H41+I41+J41</f>
        <v/>
      </c>
      <c r="L41" s="14">
        <f>D41-K41</f>
        <v/>
      </c>
      <c r="M41" s="15">
        <f>IF(D41&lt;&gt;0,L41/D41,0)</f>
        <v/>
      </c>
      <c r="N41" s="42">
        <f>IF(D41=0,"—",IF(M41&gt;=0.25,"◎ 優良",IF(M41&gt;=0.15,"○ 良好",IF(M41&gt;=0.05,"△ 要注意","× 赤字"))))</f>
        <v/>
      </c>
      <c r="O41" s="23" t="inlineStr">
        <is>
          <t>C003一般</t>
        </is>
      </c>
      <c r="P41" s="23" t="inlineStr">
        <is>
          <t>—</t>
        </is>
      </c>
      <c r="Q41" s="45">
        <f>IFERROR(D41/100,0)</f>
        <v/>
      </c>
    </row>
    <row r="42" ht="21" customHeight="1">
      <c r="A42" s="20" t="inlineStr">
        <is>
          <t>613-1</t>
        </is>
      </c>
      <c r="B42" s="21" t="inlineStr">
        <is>
          <t>車輌</t>
        </is>
      </c>
      <c r="C42" s="40" t="inlineStr">
        <is>
          <t>2024-08</t>
        </is>
      </c>
      <c r="D42" s="41">
        <f>IFERROR(VLOOKUP(C42,▼売上原票!$A:$P,5,0),0)</f>
        <v/>
      </c>
      <c r="E42" s="12" t="n"/>
      <c r="F42" s="12" t="n"/>
      <c r="G42" s="12" t="n"/>
      <c r="H42" s="12" t="n"/>
      <c r="I42" s="12" t="n"/>
      <c r="J42" s="12" t="n"/>
      <c r="K42" s="13">
        <f>E42+F42+G42+H42+I42+J42</f>
        <v/>
      </c>
      <c r="L42" s="14">
        <f>D42-K42</f>
        <v/>
      </c>
      <c r="M42" s="15">
        <f>IF(D42&lt;&gt;0,L42/D42,0)</f>
        <v/>
      </c>
      <c r="N42" s="42">
        <f>IF(D42=0,"—",IF(M42&gt;=0.25,"◎ 優良",IF(M42&gt;=0.15,"○ 良好",IF(M42&gt;=0.05,"△ 要注意","× 赤字"))))</f>
        <v/>
      </c>
      <c r="O42" s="23" t="inlineStr">
        <is>
          <t>C003一般</t>
        </is>
      </c>
      <c r="P42" s="24">
        <f>IF(D41&lt;&gt;0,D42/D41-1,"")</f>
        <v/>
      </c>
      <c r="Q42" s="45">
        <f>IFERROR(D42/100,0)</f>
        <v/>
      </c>
    </row>
    <row r="43" ht="21" customHeight="1">
      <c r="A43" s="20" t="inlineStr">
        <is>
          <t>613-1</t>
        </is>
      </c>
      <c r="B43" s="21" t="inlineStr">
        <is>
          <t>車輌</t>
        </is>
      </c>
      <c r="C43" s="40" t="inlineStr">
        <is>
          <t>2024-09</t>
        </is>
      </c>
      <c r="D43" s="41">
        <f>IFERROR(VLOOKUP(C43,▼売上原票!$A:$P,5,0),0)</f>
        <v/>
      </c>
      <c r="E43" s="12" t="n"/>
      <c r="F43" s="12" t="n"/>
      <c r="G43" s="12" t="n"/>
      <c r="H43" s="12" t="n"/>
      <c r="I43" s="12" t="n"/>
      <c r="J43" s="12" t="n"/>
      <c r="K43" s="13">
        <f>E43+F43+G43+H43+I43+J43</f>
        <v/>
      </c>
      <c r="L43" s="14">
        <f>D43-K43</f>
        <v/>
      </c>
      <c r="M43" s="15">
        <f>IF(D43&lt;&gt;0,L43/D43,0)</f>
        <v/>
      </c>
      <c r="N43" s="42">
        <f>IF(D43=0,"—",IF(M43&gt;=0.25,"◎ 優良",IF(M43&gt;=0.15,"○ 良好",IF(M43&gt;=0.05,"△ 要注意","× 赤字"))))</f>
        <v/>
      </c>
      <c r="O43" s="23" t="inlineStr">
        <is>
          <t>C003一般</t>
        </is>
      </c>
      <c r="P43" s="24">
        <f>IF(D42&lt;&gt;0,D43/D42-1,"")</f>
        <v/>
      </c>
      <c r="Q43" s="45">
        <f>IFERROR(D43/100,0)</f>
        <v/>
      </c>
    </row>
    <row r="44" ht="21" customHeight="1">
      <c r="A44" s="20" t="inlineStr">
        <is>
          <t>613-1</t>
        </is>
      </c>
      <c r="B44" s="21" t="inlineStr">
        <is>
          <t>車輌</t>
        </is>
      </c>
      <c r="C44" s="40" t="inlineStr">
        <is>
          <t>2024-10</t>
        </is>
      </c>
      <c r="D44" s="41">
        <f>IFERROR(VLOOKUP(C44,▼売上原票!$A:$P,5,0),0)</f>
        <v/>
      </c>
      <c r="E44" s="12" t="n"/>
      <c r="F44" s="12" t="n"/>
      <c r="G44" s="12" t="n"/>
      <c r="H44" s="12" t="n"/>
      <c r="I44" s="12" t="n"/>
      <c r="J44" s="12" t="n"/>
      <c r="K44" s="13">
        <f>E44+F44+G44+H44+I44+J44</f>
        <v/>
      </c>
      <c r="L44" s="14">
        <f>D44-K44</f>
        <v/>
      </c>
      <c r="M44" s="15">
        <f>IF(D44&lt;&gt;0,L44/D44,0)</f>
        <v/>
      </c>
      <c r="N44" s="42">
        <f>IF(D44=0,"—",IF(M44&gt;=0.25,"◎ 優良",IF(M44&gt;=0.15,"○ 良好",IF(M44&gt;=0.05,"△ 要注意","× 赤字"))))</f>
        <v/>
      </c>
      <c r="O44" s="23" t="inlineStr">
        <is>
          <t>C003一般</t>
        </is>
      </c>
      <c r="P44" s="24">
        <f>IF(D43&lt;&gt;0,D44/D43-1,"")</f>
        <v/>
      </c>
      <c r="Q44" s="45">
        <f>IFERROR(D44/100,0)</f>
        <v/>
      </c>
    </row>
    <row r="45" ht="21" customHeight="1">
      <c r="A45" s="20" t="inlineStr">
        <is>
          <t>613-1</t>
        </is>
      </c>
      <c r="B45" s="21" t="inlineStr">
        <is>
          <t>車輌</t>
        </is>
      </c>
      <c r="C45" s="40" t="inlineStr">
        <is>
          <t>2024-11</t>
        </is>
      </c>
      <c r="D45" s="41">
        <f>IFERROR(VLOOKUP(C45,▼売上原票!$A:$P,5,0),0)</f>
        <v/>
      </c>
      <c r="E45" s="12" t="n"/>
      <c r="F45" s="12" t="n"/>
      <c r="G45" s="12" t="n"/>
      <c r="H45" s="12" t="n"/>
      <c r="I45" s="12" t="n"/>
      <c r="J45" s="12" t="n"/>
      <c r="K45" s="13">
        <f>E45+F45+G45+H45+I45+J45</f>
        <v/>
      </c>
      <c r="L45" s="14">
        <f>D45-K45</f>
        <v/>
      </c>
      <c r="M45" s="15">
        <f>IF(D45&lt;&gt;0,L45/D45,0)</f>
        <v/>
      </c>
      <c r="N45" s="42">
        <f>IF(D45=0,"—",IF(M45&gt;=0.25,"◎ 優良",IF(M45&gt;=0.15,"○ 良好",IF(M45&gt;=0.05,"△ 要注意","× 赤字"))))</f>
        <v/>
      </c>
      <c r="O45" s="23" t="inlineStr">
        <is>
          <t>C003一般</t>
        </is>
      </c>
      <c r="P45" s="24">
        <f>IF(D44&lt;&gt;0,D45/D44-1,"")</f>
        <v/>
      </c>
      <c r="Q45" s="45">
        <f>IFERROR(D45/100,0)</f>
        <v/>
      </c>
    </row>
    <row r="46" ht="21" customHeight="1">
      <c r="A46" s="20" t="inlineStr">
        <is>
          <t>613-1</t>
        </is>
      </c>
      <c r="B46" s="21" t="inlineStr">
        <is>
          <t>車輌</t>
        </is>
      </c>
      <c r="C46" s="40" t="inlineStr">
        <is>
          <t>2024-12</t>
        </is>
      </c>
      <c r="D46" s="41">
        <f>IFERROR(VLOOKUP(C46,▼売上原票!$A:$P,5,0),0)</f>
        <v/>
      </c>
      <c r="E46" s="12" t="n"/>
      <c r="F46" s="12" t="n"/>
      <c r="G46" s="12" t="n"/>
      <c r="H46" s="12" t="n"/>
      <c r="I46" s="12" t="n"/>
      <c r="J46" s="12" t="n"/>
      <c r="K46" s="13">
        <f>E46+F46+G46+H46+I46+J46</f>
        <v/>
      </c>
      <c r="L46" s="14">
        <f>D46-K46</f>
        <v/>
      </c>
      <c r="M46" s="15">
        <f>IF(D46&lt;&gt;0,L46/D46,0)</f>
        <v/>
      </c>
      <c r="N46" s="42">
        <f>IF(D46=0,"—",IF(M46&gt;=0.25,"◎ 優良",IF(M46&gt;=0.15,"○ 良好",IF(M46&gt;=0.05,"△ 要注意","× 赤字"))))</f>
        <v/>
      </c>
      <c r="O46" s="23" t="inlineStr">
        <is>
          <t>C003一般</t>
        </is>
      </c>
      <c r="P46" s="24">
        <f>IF(D45&lt;&gt;0,D46/D45-1,"")</f>
        <v/>
      </c>
      <c r="Q46" s="45">
        <f>IFERROR(D46/100,0)</f>
        <v/>
      </c>
    </row>
    <row r="47" ht="21" customHeight="1">
      <c r="A47" s="20" t="inlineStr">
        <is>
          <t>613-1</t>
        </is>
      </c>
      <c r="B47" s="21" t="inlineStr">
        <is>
          <t>車輌</t>
        </is>
      </c>
      <c r="C47" s="40" t="inlineStr">
        <is>
          <t>2025-01</t>
        </is>
      </c>
      <c r="D47" s="41">
        <f>IFERROR(VLOOKUP(C47,▼売上原票!$A:$P,5,0),0)</f>
        <v/>
      </c>
      <c r="E47" s="12" t="n"/>
      <c r="F47" s="12" t="n"/>
      <c r="G47" s="12" t="n"/>
      <c r="H47" s="12" t="n"/>
      <c r="I47" s="12" t="n"/>
      <c r="J47" s="12" t="n"/>
      <c r="K47" s="13">
        <f>E47+F47+G47+H47+I47+J47</f>
        <v/>
      </c>
      <c r="L47" s="14">
        <f>D47-K47</f>
        <v/>
      </c>
      <c r="M47" s="15">
        <f>IF(D47&lt;&gt;0,L47/D47,0)</f>
        <v/>
      </c>
      <c r="N47" s="42">
        <f>IF(D47=0,"—",IF(M47&gt;=0.25,"◎ 優良",IF(M47&gt;=0.15,"○ 良好",IF(M47&gt;=0.05,"△ 要注意","× 赤字"))))</f>
        <v/>
      </c>
      <c r="O47" s="23" t="inlineStr">
        <is>
          <t>C003一般</t>
        </is>
      </c>
      <c r="P47" s="24">
        <f>IF(D46&lt;&gt;0,D47/D46-1,"")</f>
        <v/>
      </c>
      <c r="Q47" s="45">
        <f>IFERROR(D47/100,0)</f>
        <v/>
      </c>
    </row>
    <row r="48" ht="21" customHeight="1">
      <c r="A48" s="20" t="inlineStr">
        <is>
          <t>613-1</t>
        </is>
      </c>
      <c r="B48" s="21" t="inlineStr">
        <is>
          <t>車輌</t>
        </is>
      </c>
      <c r="C48" s="40" t="inlineStr">
        <is>
          <t>2025-02</t>
        </is>
      </c>
      <c r="D48" s="41">
        <f>IFERROR(VLOOKUP(C48,▼売上原票!$A:$P,5,0),0)</f>
        <v/>
      </c>
      <c r="E48" s="12" t="n"/>
      <c r="F48" s="12" t="n"/>
      <c r="G48" s="12" t="n"/>
      <c r="H48" s="12" t="n"/>
      <c r="I48" s="12" t="n"/>
      <c r="J48" s="12" t="n"/>
      <c r="K48" s="13">
        <f>E48+F48+G48+H48+I48+J48</f>
        <v/>
      </c>
      <c r="L48" s="14">
        <f>D48-K48</f>
        <v/>
      </c>
      <c r="M48" s="15">
        <f>IF(D48&lt;&gt;0,L48/D48,0)</f>
        <v/>
      </c>
      <c r="N48" s="42">
        <f>IF(D48=0,"—",IF(M48&gt;=0.25,"◎ 優良",IF(M48&gt;=0.15,"○ 良好",IF(M48&gt;=0.05,"△ 要注意","× 赤字"))))</f>
        <v/>
      </c>
      <c r="O48" s="23" t="inlineStr">
        <is>
          <t>C003一般</t>
        </is>
      </c>
      <c r="P48" s="24">
        <f>IF(D47&lt;&gt;0,D48/D47-1,"")</f>
        <v/>
      </c>
      <c r="Q48" s="45">
        <f>IFERROR(D48/100,0)</f>
        <v/>
      </c>
    </row>
    <row r="49" ht="21" customHeight="1">
      <c r="A49" s="20" t="inlineStr">
        <is>
          <t>613-1</t>
        </is>
      </c>
      <c r="B49" s="21" t="inlineStr">
        <is>
          <t>車輌</t>
        </is>
      </c>
      <c r="C49" s="40" t="inlineStr">
        <is>
          <t>2025-03</t>
        </is>
      </c>
      <c r="D49" s="41">
        <f>IFERROR(VLOOKUP(C49,▼売上原票!$A:$P,5,0),0)</f>
        <v/>
      </c>
      <c r="E49" s="12" t="n"/>
      <c r="F49" s="12" t="n"/>
      <c r="G49" s="12" t="n"/>
      <c r="H49" s="12" t="n"/>
      <c r="I49" s="12" t="n"/>
      <c r="J49" s="12" t="n"/>
      <c r="K49" s="13">
        <f>E49+F49+G49+H49+I49+J49</f>
        <v/>
      </c>
      <c r="L49" s="14">
        <f>D49-K49</f>
        <v/>
      </c>
      <c r="M49" s="15">
        <f>IF(D49&lt;&gt;0,L49/D49,0)</f>
        <v/>
      </c>
      <c r="N49" s="42">
        <f>IF(D49=0,"—",IF(M49&gt;=0.25,"◎ 優良",IF(M49&gt;=0.15,"○ 良好",IF(M49&gt;=0.05,"△ 要注意","× 赤字"))))</f>
        <v/>
      </c>
      <c r="O49" s="23" t="inlineStr">
        <is>
          <t>C003一般</t>
        </is>
      </c>
      <c r="P49" s="24">
        <f>IF(D48&lt;&gt;0,D49/D48-1,"")</f>
        <v/>
      </c>
      <c r="Q49" s="45">
        <f>IFERROR(D49/100,0)</f>
        <v/>
      </c>
    </row>
    <row r="50" ht="21" customHeight="1">
      <c r="A50" s="20" t="inlineStr">
        <is>
          <t>613-1</t>
        </is>
      </c>
      <c r="B50" s="21" t="inlineStr">
        <is>
          <t>車輌</t>
        </is>
      </c>
      <c r="C50" s="40" t="inlineStr">
        <is>
          <t>2025-04</t>
        </is>
      </c>
      <c r="D50" s="41">
        <f>IFERROR(VLOOKUP(C50,▼売上原票!$A:$P,5,0),0)</f>
        <v/>
      </c>
      <c r="E50" s="12" t="n"/>
      <c r="F50" s="12" t="n"/>
      <c r="G50" s="12" t="n"/>
      <c r="H50" s="12" t="n"/>
      <c r="I50" s="12" t="n"/>
      <c r="J50" s="12" t="n"/>
      <c r="K50" s="13">
        <f>E50+F50+G50+H50+I50+J50</f>
        <v/>
      </c>
      <c r="L50" s="14">
        <f>D50-K50</f>
        <v/>
      </c>
      <c r="M50" s="15">
        <f>IF(D50&lt;&gt;0,L50/D50,0)</f>
        <v/>
      </c>
      <c r="N50" s="42">
        <f>IF(D50=0,"—",IF(M50&gt;=0.25,"◎ 優良",IF(M50&gt;=0.15,"○ 良好",IF(M50&gt;=0.05,"△ 要注意","× 赤字"))))</f>
        <v/>
      </c>
      <c r="O50" s="23" t="inlineStr">
        <is>
          <t>C003一般</t>
        </is>
      </c>
      <c r="P50" s="24">
        <f>IF(D49&lt;&gt;0,D50/D49-1,"")</f>
        <v/>
      </c>
      <c r="Q50" s="45">
        <f>IFERROR(D50/100,0)</f>
        <v/>
      </c>
    </row>
    <row r="51" ht="21" customHeight="1">
      <c r="A51" s="20" t="inlineStr">
        <is>
          <t>613-1</t>
        </is>
      </c>
      <c r="B51" s="21" t="inlineStr">
        <is>
          <t>車輌</t>
        </is>
      </c>
      <c r="C51" s="40" t="inlineStr">
        <is>
          <t>2025-05</t>
        </is>
      </c>
      <c r="D51" s="41">
        <f>IFERROR(VLOOKUP(C51,▼売上原票!$A:$P,5,0),0)</f>
        <v/>
      </c>
      <c r="E51" s="12" t="n"/>
      <c r="F51" s="12" t="n"/>
      <c r="G51" s="12" t="n"/>
      <c r="H51" s="12" t="n"/>
      <c r="I51" s="12" t="n"/>
      <c r="J51" s="12" t="n"/>
      <c r="K51" s="13">
        <f>E51+F51+G51+H51+I51+J51</f>
        <v/>
      </c>
      <c r="L51" s="14">
        <f>D51-K51</f>
        <v/>
      </c>
      <c r="M51" s="15">
        <f>IF(D51&lt;&gt;0,L51/D51,0)</f>
        <v/>
      </c>
      <c r="N51" s="42">
        <f>IF(D51=0,"—",IF(M51&gt;=0.25,"◎ 優良",IF(M51&gt;=0.15,"○ 良好",IF(M51&gt;=0.05,"△ 要注意","× 赤字"))))</f>
        <v/>
      </c>
      <c r="O51" s="23" t="inlineStr">
        <is>
          <t>C003一般</t>
        </is>
      </c>
      <c r="P51" s="24">
        <f>IF(D50&lt;&gt;0,D51/D50-1,"")</f>
        <v/>
      </c>
      <c r="Q51" s="45">
        <f>IFERROR(D51/100,0)</f>
        <v/>
      </c>
    </row>
    <row r="52" ht="21" customHeight="1">
      <c r="A52" s="20" t="inlineStr">
        <is>
          <t>613-1</t>
        </is>
      </c>
      <c r="B52" s="21" t="inlineStr">
        <is>
          <t>車輌</t>
        </is>
      </c>
      <c r="C52" s="40" t="inlineStr">
        <is>
          <t>2025-06</t>
        </is>
      </c>
      <c r="D52" s="41">
        <f>IFERROR(VLOOKUP(C52,▼売上原票!$A:$P,5,0),0)</f>
        <v/>
      </c>
      <c r="E52" s="12" t="n"/>
      <c r="F52" s="12" t="n"/>
      <c r="G52" s="12" t="n"/>
      <c r="H52" s="12" t="n"/>
      <c r="I52" s="12" t="n"/>
      <c r="J52" s="12" t="n"/>
      <c r="K52" s="13">
        <f>E52+F52+G52+H52+I52+J52</f>
        <v/>
      </c>
      <c r="L52" s="14">
        <f>D52-K52</f>
        <v/>
      </c>
      <c r="M52" s="15">
        <f>IF(D52&lt;&gt;0,L52/D52,0)</f>
        <v/>
      </c>
      <c r="N52" s="42">
        <f>IF(D52=0,"—",IF(M52&gt;=0.25,"◎ 優良",IF(M52&gt;=0.15,"○ 良好",IF(M52&gt;=0.05,"△ 要注意","× 赤字"))))</f>
        <v/>
      </c>
      <c r="O52" s="23" t="inlineStr">
        <is>
          <t>C003一般</t>
        </is>
      </c>
      <c r="P52" s="24">
        <f>IF(D51&lt;&gt;0,D52/D51-1,"")</f>
        <v/>
      </c>
      <c r="Q52" s="45">
        <f>IFERROR(D52/100,0)</f>
        <v/>
      </c>
    </row>
    <row r="53" ht="21" customHeight="1">
      <c r="A53" s="20" t="inlineStr">
        <is>
          <t>613-1</t>
        </is>
      </c>
      <c r="B53" s="21" t="inlineStr">
        <is>
          <t>車輌</t>
        </is>
      </c>
      <c r="C53" s="40" t="inlineStr">
        <is>
          <t>2025-07</t>
        </is>
      </c>
      <c r="D53" s="41">
        <f>IFERROR(VLOOKUP(C53,▼売上原票!$A:$P,5,0),0)</f>
        <v/>
      </c>
      <c r="E53" s="12" t="n"/>
      <c r="F53" s="12" t="n"/>
      <c r="G53" s="12" t="n"/>
      <c r="H53" s="12" t="n"/>
      <c r="I53" s="12" t="n"/>
      <c r="J53" s="12" t="n"/>
      <c r="K53" s="13">
        <f>E53+F53+G53+H53+I53+J53</f>
        <v/>
      </c>
      <c r="L53" s="14">
        <f>D53-K53</f>
        <v/>
      </c>
      <c r="M53" s="15">
        <f>IF(D53&lt;&gt;0,L53/D53,0)</f>
        <v/>
      </c>
      <c r="N53" s="42">
        <f>IF(D53=0,"—",IF(M53&gt;=0.25,"◎ 優良",IF(M53&gt;=0.15,"○ 良好",IF(M53&gt;=0.05,"△ 要注意","× 赤字"))))</f>
        <v/>
      </c>
      <c r="O53" s="23" t="inlineStr">
        <is>
          <t>C003一般</t>
        </is>
      </c>
      <c r="P53" s="24">
        <f>IF(D52&lt;&gt;0,D53/D52-1,"")</f>
        <v/>
      </c>
      <c r="Q53" s="45">
        <f>IFERROR(D53/100,0)</f>
        <v/>
      </c>
    </row>
    <row r="54" ht="21" customHeight="1">
      <c r="A54" s="20" t="inlineStr">
        <is>
          <t>613-1</t>
        </is>
      </c>
      <c r="B54" s="21" t="inlineStr">
        <is>
          <t>車輌</t>
        </is>
      </c>
      <c r="C54" s="40" t="inlineStr">
        <is>
          <t>2025-08</t>
        </is>
      </c>
      <c r="D54" s="41">
        <f>IFERROR(VLOOKUP(C54,▼売上原票!$A:$P,5,0),0)</f>
        <v/>
      </c>
      <c r="E54" s="12" t="n"/>
      <c r="F54" s="12" t="n"/>
      <c r="G54" s="12" t="n"/>
      <c r="H54" s="12" t="n"/>
      <c r="I54" s="12" t="n"/>
      <c r="J54" s="12" t="n"/>
      <c r="K54" s="13">
        <f>E54+F54+G54+H54+I54+J54</f>
        <v/>
      </c>
      <c r="L54" s="14">
        <f>D54-K54</f>
        <v/>
      </c>
      <c r="M54" s="15">
        <f>IF(D54&lt;&gt;0,L54/D54,0)</f>
        <v/>
      </c>
      <c r="N54" s="42">
        <f>IF(D54=0,"—",IF(M54&gt;=0.25,"◎ 優良",IF(M54&gt;=0.15,"○ 良好",IF(M54&gt;=0.05,"△ 要注意","× 赤字"))))</f>
        <v/>
      </c>
      <c r="O54" s="23" t="inlineStr">
        <is>
          <t>C003一般</t>
        </is>
      </c>
      <c r="P54" s="24">
        <f>IF(D53&lt;&gt;0,D54/D53-1,"")</f>
        <v/>
      </c>
      <c r="Q54" s="45">
        <f>IFERROR(D54/100,0)</f>
        <v/>
      </c>
    </row>
    <row r="55" ht="21" customHeight="1">
      <c r="A55" s="20" t="inlineStr">
        <is>
          <t>613-1</t>
        </is>
      </c>
      <c r="B55" s="21" t="inlineStr">
        <is>
          <t>車輌</t>
        </is>
      </c>
      <c r="C55" s="40" t="inlineStr">
        <is>
          <t>2025-09</t>
        </is>
      </c>
      <c r="D55" s="41">
        <f>IFERROR(VLOOKUP(C55,▼売上原票!$A:$P,5,0),0)</f>
        <v/>
      </c>
      <c r="E55" s="12" t="n"/>
      <c r="F55" s="12" t="n"/>
      <c r="G55" s="12" t="n"/>
      <c r="H55" s="12" t="n"/>
      <c r="I55" s="12" t="n"/>
      <c r="J55" s="12" t="n"/>
      <c r="K55" s="13">
        <f>E55+F55+G55+H55+I55+J55</f>
        <v/>
      </c>
      <c r="L55" s="14">
        <f>D55-K55</f>
        <v/>
      </c>
      <c r="M55" s="15">
        <f>IF(D55&lt;&gt;0,L55/D55,0)</f>
        <v/>
      </c>
      <c r="N55" s="42">
        <f>IF(D55=0,"—",IF(M55&gt;=0.25,"◎ 優良",IF(M55&gt;=0.15,"○ 良好",IF(M55&gt;=0.05,"△ 要注意","× 赤字"))))</f>
        <v/>
      </c>
      <c r="O55" s="23" t="inlineStr">
        <is>
          <t>C003一般</t>
        </is>
      </c>
      <c r="P55" s="24">
        <f>IF(D54&lt;&gt;0,D55/D54-1,"")</f>
        <v/>
      </c>
      <c r="Q55" s="45">
        <f>IFERROR(D55/100,0)</f>
        <v/>
      </c>
    </row>
    <row r="56" ht="21" customHeight="1">
      <c r="A56" s="20" t="inlineStr">
        <is>
          <t>613-1</t>
        </is>
      </c>
      <c r="B56" s="21" t="inlineStr">
        <is>
          <t>車輌</t>
        </is>
      </c>
      <c r="C56" s="40" t="inlineStr">
        <is>
          <t>2025-10</t>
        </is>
      </c>
      <c r="D56" s="41">
        <f>IFERROR(VLOOKUP(C56,▼売上原票!$A:$P,5,0),0)</f>
        <v/>
      </c>
      <c r="E56" s="12" t="n"/>
      <c r="F56" s="12" t="n"/>
      <c r="G56" s="12" t="n"/>
      <c r="H56" s="12" t="n"/>
      <c r="I56" s="12" t="n"/>
      <c r="J56" s="12" t="n"/>
      <c r="K56" s="13">
        <f>E56+F56+G56+H56+I56+J56</f>
        <v/>
      </c>
      <c r="L56" s="14">
        <f>D56-K56</f>
        <v/>
      </c>
      <c r="M56" s="15">
        <f>IF(D56&lt;&gt;0,L56/D56,0)</f>
        <v/>
      </c>
      <c r="N56" s="42">
        <f>IF(D56=0,"—",IF(M56&gt;=0.25,"◎ 優良",IF(M56&gt;=0.15,"○ 良好",IF(M56&gt;=0.05,"△ 要注意","× 赤字"))))</f>
        <v/>
      </c>
      <c r="O56" s="23" t="inlineStr">
        <is>
          <t>C003一般</t>
        </is>
      </c>
      <c r="P56" s="24">
        <f>IF(D55&lt;&gt;0,D56/D55-1,"")</f>
        <v/>
      </c>
      <c r="Q56" s="45">
        <f>IFERROR(D56/100,0)</f>
        <v/>
      </c>
    </row>
    <row r="57" ht="21" customHeight="1">
      <c r="A57" s="20" t="inlineStr">
        <is>
          <t>613-1</t>
        </is>
      </c>
      <c r="B57" s="21" t="inlineStr">
        <is>
          <t>車輌</t>
        </is>
      </c>
      <c r="C57" s="40" t="inlineStr">
        <is>
          <t>2025-11</t>
        </is>
      </c>
      <c r="D57" s="41">
        <f>IFERROR(VLOOKUP(C57,▼売上原票!$A:$P,5,0),0)</f>
        <v/>
      </c>
      <c r="E57" s="12" t="n"/>
      <c r="F57" s="12" t="n"/>
      <c r="G57" s="12" t="n"/>
      <c r="H57" s="12" t="n"/>
      <c r="I57" s="12" t="n"/>
      <c r="J57" s="12" t="n"/>
      <c r="K57" s="13">
        <f>E57+F57+G57+H57+I57+J57</f>
        <v/>
      </c>
      <c r="L57" s="14">
        <f>D57-K57</f>
        <v/>
      </c>
      <c r="M57" s="15">
        <f>IF(D57&lt;&gt;0,L57/D57,0)</f>
        <v/>
      </c>
      <c r="N57" s="42">
        <f>IF(D57=0,"—",IF(M57&gt;=0.25,"◎ 優良",IF(M57&gt;=0.15,"○ 良好",IF(M57&gt;=0.05,"△ 要注意","× 赤字"))))</f>
        <v/>
      </c>
      <c r="O57" s="23" t="inlineStr">
        <is>
          <t>C003一般</t>
        </is>
      </c>
      <c r="P57" s="24">
        <f>IF(D56&lt;&gt;0,D57/D56-1,"")</f>
        <v/>
      </c>
      <c r="Q57" s="45">
        <f>IFERROR(D57/100,0)</f>
        <v/>
      </c>
    </row>
    <row r="58" ht="5" customHeight="1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</row>
    <row r="59" ht="21" customHeight="1">
      <c r="A59" s="20" t="inlineStr">
        <is>
          <t>613-2</t>
        </is>
      </c>
      <c r="B59" s="21" t="inlineStr">
        <is>
          <t>KC</t>
        </is>
      </c>
      <c r="C59" s="40" t="inlineStr">
        <is>
          <t>2024-07</t>
        </is>
      </c>
      <c r="D59" s="41">
        <f>IFERROR(VLOOKUP(C59,▼売上原票!$A:$P,6,0),0)</f>
        <v/>
      </c>
      <c r="E59" s="12" t="n"/>
      <c r="F59" s="12" t="n"/>
      <c r="G59" s="12" t="n"/>
      <c r="H59" s="12" t="n"/>
      <c r="I59" s="12" t="n"/>
      <c r="J59" s="12" t="n"/>
      <c r="K59" s="13">
        <f>E59+F59+G59+H59+I59+J59</f>
        <v/>
      </c>
      <c r="L59" s="14">
        <f>D59-K59</f>
        <v/>
      </c>
      <c r="M59" s="15">
        <f>IF(D59&lt;&gt;0,L59/D59,0)</f>
        <v/>
      </c>
      <c r="N59" s="42">
        <f>IF(D59=0,"—",IF(M59&gt;=0.25,"◎ 優良",IF(M59&gt;=0.15,"○ 良好",IF(M59&gt;=0.05,"△ 要注意","× 赤字"))))</f>
        <v/>
      </c>
      <c r="O59" s="23" t="inlineStr">
        <is>
          <t>別管理</t>
        </is>
      </c>
      <c r="P59" s="23" t="inlineStr">
        <is>
          <t>—</t>
        </is>
      </c>
      <c r="Q59" s="45">
        <f>IFERROR(D59/100,0)</f>
        <v/>
      </c>
    </row>
    <row r="60" ht="21" customHeight="1">
      <c r="A60" s="20" t="inlineStr">
        <is>
          <t>613-2</t>
        </is>
      </c>
      <c r="B60" s="21" t="inlineStr">
        <is>
          <t>KC</t>
        </is>
      </c>
      <c r="C60" s="40" t="inlineStr">
        <is>
          <t>2024-08</t>
        </is>
      </c>
      <c r="D60" s="41">
        <f>IFERROR(VLOOKUP(C60,▼売上原票!$A:$P,6,0),0)</f>
        <v/>
      </c>
      <c r="E60" s="12" t="n"/>
      <c r="F60" s="12" t="n"/>
      <c r="G60" s="12" t="n"/>
      <c r="H60" s="12" t="n"/>
      <c r="I60" s="12" t="n"/>
      <c r="J60" s="12" t="n"/>
      <c r="K60" s="13">
        <f>E60+F60+G60+H60+I60+J60</f>
        <v/>
      </c>
      <c r="L60" s="14">
        <f>D60-K60</f>
        <v/>
      </c>
      <c r="M60" s="15">
        <f>IF(D60&lt;&gt;0,L60/D60,0)</f>
        <v/>
      </c>
      <c r="N60" s="42">
        <f>IF(D60=0,"—",IF(M60&gt;=0.25,"◎ 優良",IF(M60&gt;=0.15,"○ 良好",IF(M60&gt;=0.05,"△ 要注意","× 赤字"))))</f>
        <v/>
      </c>
      <c r="O60" s="23" t="inlineStr">
        <is>
          <t>別管理</t>
        </is>
      </c>
      <c r="P60" s="24">
        <f>IF(D59&lt;&gt;0,D60/D59-1,"")</f>
        <v/>
      </c>
      <c r="Q60" s="45">
        <f>IFERROR(D60/100,0)</f>
        <v/>
      </c>
    </row>
    <row r="61" ht="21" customHeight="1">
      <c r="A61" s="20" t="inlineStr">
        <is>
          <t>613-2</t>
        </is>
      </c>
      <c r="B61" s="21" t="inlineStr">
        <is>
          <t>KC</t>
        </is>
      </c>
      <c r="C61" s="40" t="inlineStr">
        <is>
          <t>2024-09</t>
        </is>
      </c>
      <c r="D61" s="41">
        <f>IFERROR(VLOOKUP(C61,▼売上原票!$A:$P,6,0),0)</f>
        <v/>
      </c>
      <c r="E61" s="12" t="n"/>
      <c r="F61" s="12" t="n"/>
      <c r="G61" s="12" t="n"/>
      <c r="H61" s="12" t="n"/>
      <c r="I61" s="12" t="n"/>
      <c r="J61" s="12" t="n"/>
      <c r="K61" s="13">
        <f>E61+F61+G61+H61+I61+J61</f>
        <v/>
      </c>
      <c r="L61" s="14">
        <f>D61-K61</f>
        <v/>
      </c>
      <c r="M61" s="15">
        <f>IF(D61&lt;&gt;0,L61/D61,0)</f>
        <v/>
      </c>
      <c r="N61" s="42">
        <f>IF(D61=0,"—",IF(M61&gt;=0.25,"◎ 優良",IF(M61&gt;=0.15,"○ 良好",IF(M61&gt;=0.05,"△ 要注意","× 赤字"))))</f>
        <v/>
      </c>
      <c r="O61" s="23" t="inlineStr">
        <is>
          <t>別管理</t>
        </is>
      </c>
      <c r="P61" s="24">
        <f>IF(D60&lt;&gt;0,D61/D60-1,"")</f>
        <v/>
      </c>
      <c r="Q61" s="45">
        <f>IFERROR(D61/100,0)</f>
        <v/>
      </c>
    </row>
    <row r="62" ht="21" customHeight="1">
      <c r="A62" s="20" t="inlineStr">
        <is>
          <t>613-2</t>
        </is>
      </c>
      <c r="B62" s="21" t="inlineStr">
        <is>
          <t>KC</t>
        </is>
      </c>
      <c r="C62" s="40" t="inlineStr">
        <is>
          <t>2024-10</t>
        </is>
      </c>
      <c r="D62" s="41">
        <f>IFERROR(VLOOKUP(C62,▼売上原票!$A:$P,6,0),0)</f>
        <v/>
      </c>
      <c r="E62" s="12" t="n"/>
      <c r="F62" s="12" t="n"/>
      <c r="G62" s="12" t="n"/>
      <c r="H62" s="12" t="n"/>
      <c r="I62" s="12" t="n"/>
      <c r="J62" s="12" t="n"/>
      <c r="K62" s="13">
        <f>E62+F62+G62+H62+I62+J62</f>
        <v/>
      </c>
      <c r="L62" s="14">
        <f>D62-K62</f>
        <v/>
      </c>
      <c r="M62" s="15">
        <f>IF(D62&lt;&gt;0,L62/D62,0)</f>
        <v/>
      </c>
      <c r="N62" s="42">
        <f>IF(D62=0,"—",IF(M62&gt;=0.25,"◎ 優良",IF(M62&gt;=0.15,"○ 良好",IF(M62&gt;=0.05,"△ 要注意","× 赤字"))))</f>
        <v/>
      </c>
      <c r="O62" s="23" t="inlineStr">
        <is>
          <t>別管理</t>
        </is>
      </c>
      <c r="P62" s="24">
        <f>IF(D61&lt;&gt;0,D62/D61-1,"")</f>
        <v/>
      </c>
      <c r="Q62" s="45">
        <f>IFERROR(D62/100,0)</f>
        <v/>
      </c>
    </row>
    <row r="63" ht="21" customHeight="1">
      <c r="A63" s="20" t="inlineStr">
        <is>
          <t>613-2</t>
        </is>
      </c>
      <c r="B63" s="21" t="inlineStr">
        <is>
          <t>KC</t>
        </is>
      </c>
      <c r="C63" s="40" t="inlineStr">
        <is>
          <t>2024-11</t>
        </is>
      </c>
      <c r="D63" s="41">
        <f>IFERROR(VLOOKUP(C63,▼売上原票!$A:$P,6,0),0)</f>
        <v/>
      </c>
      <c r="E63" s="12" t="n"/>
      <c r="F63" s="12" t="n"/>
      <c r="G63" s="12" t="n"/>
      <c r="H63" s="12" t="n"/>
      <c r="I63" s="12" t="n"/>
      <c r="J63" s="12" t="n"/>
      <c r="K63" s="13">
        <f>E63+F63+G63+H63+I63+J63</f>
        <v/>
      </c>
      <c r="L63" s="14">
        <f>D63-K63</f>
        <v/>
      </c>
      <c r="M63" s="15">
        <f>IF(D63&lt;&gt;0,L63/D63,0)</f>
        <v/>
      </c>
      <c r="N63" s="42">
        <f>IF(D63=0,"—",IF(M63&gt;=0.25,"◎ 優良",IF(M63&gt;=0.15,"○ 良好",IF(M63&gt;=0.05,"△ 要注意","× 赤字"))))</f>
        <v/>
      </c>
      <c r="O63" s="23" t="inlineStr">
        <is>
          <t>別管理</t>
        </is>
      </c>
      <c r="P63" s="24">
        <f>IF(D62&lt;&gt;0,D63/D62-1,"")</f>
        <v/>
      </c>
      <c r="Q63" s="45">
        <f>IFERROR(D63/100,0)</f>
        <v/>
      </c>
    </row>
    <row r="64" ht="21" customHeight="1">
      <c r="A64" s="20" t="inlineStr">
        <is>
          <t>613-2</t>
        </is>
      </c>
      <c r="B64" s="21" t="inlineStr">
        <is>
          <t>KC</t>
        </is>
      </c>
      <c r="C64" s="40" t="inlineStr">
        <is>
          <t>2024-12</t>
        </is>
      </c>
      <c r="D64" s="41">
        <f>IFERROR(VLOOKUP(C64,▼売上原票!$A:$P,6,0),0)</f>
        <v/>
      </c>
      <c r="E64" s="12" t="n"/>
      <c r="F64" s="12" t="n"/>
      <c r="G64" s="12" t="n"/>
      <c r="H64" s="12" t="n"/>
      <c r="I64" s="12" t="n"/>
      <c r="J64" s="12" t="n"/>
      <c r="K64" s="13">
        <f>E64+F64+G64+H64+I64+J64</f>
        <v/>
      </c>
      <c r="L64" s="14">
        <f>D64-K64</f>
        <v/>
      </c>
      <c r="M64" s="15">
        <f>IF(D64&lt;&gt;0,L64/D64,0)</f>
        <v/>
      </c>
      <c r="N64" s="42">
        <f>IF(D64=0,"—",IF(M64&gt;=0.25,"◎ 優良",IF(M64&gt;=0.15,"○ 良好",IF(M64&gt;=0.05,"△ 要注意","× 赤字"))))</f>
        <v/>
      </c>
      <c r="O64" s="23" t="inlineStr">
        <is>
          <t>別管理</t>
        </is>
      </c>
      <c r="P64" s="24">
        <f>IF(D63&lt;&gt;0,D64/D63-1,"")</f>
        <v/>
      </c>
      <c r="Q64" s="45">
        <f>IFERROR(D64/100,0)</f>
        <v/>
      </c>
    </row>
    <row r="65" ht="21" customHeight="1">
      <c r="A65" s="20" t="inlineStr">
        <is>
          <t>613-2</t>
        </is>
      </c>
      <c r="B65" s="21" t="inlineStr">
        <is>
          <t>KC</t>
        </is>
      </c>
      <c r="C65" s="40" t="inlineStr">
        <is>
          <t>2025-01</t>
        </is>
      </c>
      <c r="D65" s="41">
        <f>IFERROR(VLOOKUP(C65,▼売上原票!$A:$P,6,0),0)</f>
        <v/>
      </c>
      <c r="E65" s="12" t="n"/>
      <c r="F65" s="12" t="n"/>
      <c r="G65" s="12" t="n"/>
      <c r="H65" s="12" t="n"/>
      <c r="I65" s="12" t="n"/>
      <c r="J65" s="12" t="n"/>
      <c r="K65" s="13">
        <f>E65+F65+G65+H65+I65+J65</f>
        <v/>
      </c>
      <c r="L65" s="14">
        <f>D65-K65</f>
        <v/>
      </c>
      <c r="M65" s="15">
        <f>IF(D65&lt;&gt;0,L65/D65,0)</f>
        <v/>
      </c>
      <c r="N65" s="42">
        <f>IF(D65=0,"—",IF(M65&gt;=0.25,"◎ 優良",IF(M65&gt;=0.15,"○ 良好",IF(M65&gt;=0.05,"△ 要注意","× 赤字"))))</f>
        <v/>
      </c>
      <c r="O65" s="23" t="inlineStr">
        <is>
          <t>別管理</t>
        </is>
      </c>
      <c r="P65" s="24">
        <f>IF(D64&lt;&gt;0,D65/D64-1,"")</f>
        <v/>
      </c>
      <c r="Q65" s="45">
        <f>IFERROR(D65/100,0)</f>
        <v/>
      </c>
    </row>
    <row r="66" ht="21" customHeight="1">
      <c r="A66" s="20" t="inlineStr">
        <is>
          <t>613-2</t>
        </is>
      </c>
      <c r="B66" s="21" t="inlineStr">
        <is>
          <t>KC</t>
        </is>
      </c>
      <c r="C66" s="40" t="inlineStr">
        <is>
          <t>2025-02</t>
        </is>
      </c>
      <c r="D66" s="41">
        <f>IFERROR(VLOOKUP(C66,▼売上原票!$A:$P,6,0),0)</f>
        <v/>
      </c>
      <c r="E66" s="12" t="n"/>
      <c r="F66" s="12" t="n"/>
      <c r="G66" s="12" t="n"/>
      <c r="H66" s="12" t="n"/>
      <c r="I66" s="12" t="n"/>
      <c r="J66" s="12" t="n"/>
      <c r="K66" s="13">
        <f>E66+F66+G66+H66+I66+J66</f>
        <v/>
      </c>
      <c r="L66" s="14">
        <f>D66-K66</f>
        <v/>
      </c>
      <c r="M66" s="15">
        <f>IF(D66&lt;&gt;0,L66/D66,0)</f>
        <v/>
      </c>
      <c r="N66" s="42">
        <f>IF(D66=0,"—",IF(M66&gt;=0.25,"◎ 優良",IF(M66&gt;=0.15,"○ 良好",IF(M66&gt;=0.05,"△ 要注意","× 赤字"))))</f>
        <v/>
      </c>
      <c r="O66" s="23" t="inlineStr">
        <is>
          <t>別管理</t>
        </is>
      </c>
      <c r="P66" s="24">
        <f>IF(D65&lt;&gt;0,D66/D65-1,"")</f>
        <v/>
      </c>
      <c r="Q66" s="45">
        <f>IFERROR(D66/100,0)</f>
        <v/>
      </c>
    </row>
    <row r="67" ht="21" customHeight="1">
      <c r="A67" s="20" t="inlineStr">
        <is>
          <t>613-2</t>
        </is>
      </c>
      <c r="B67" s="21" t="inlineStr">
        <is>
          <t>KC</t>
        </is>
      </c>
      <c r="C67" s="40" t="inlineStr">
        <is>
          <t>2025-03</t>
        </is>
      </c>
      <c r="D67" s="41">
        <f>IFERROR(VLOOKUP(C67,▼売上原票!$A:$P,6,0),0)</f>
        <v/>
      </c>
      <c r="E67" s="12" t="n"/>
      <c r="F67" s="12" t="n"/>
      <c r="G67" s="12" t="n"/>
      <c r="H67" s="12" t="n"/>
      <c r="I67" s="12" t="n"/>
      <c r="J67" s="12" t="n"/>
      <c r="K67" s="13">
        <f>E67+F67+G67+H67+I67+J67</f>
        <v/>
      </c>
      <c r="L67" s="14">
        <f>D67-K67</f>
        <v/>
      </c>
      <c r="M67" s="15">
        <f>IF(D67&lt;&gt;0,L67/D67,0)</f>
        <v/>
      </c>
      <c r="N67" s="42">
        <f>IF(D67=0,"—",IF(M67&gt;=0.25,"◎ 優良",IF(M67&gt;=0.15,"○ 良好",IF(M67&gt;=0.05,"△ 要注意","× 赤字"))))</f>
        <v/>
      </c>
      <c r="O67" s="23" t="inlineStr">
        <is>
          <t>別管理</t>
        </is>
      </c>
      <c r="P67" s="24">
        <f>IF(D66&lt;&gt;0,D67/D66-1,"")</f>
        <v/>
      </c>
      <c r="Q67" s="45">
        <f>IFERROR(D67/100,0)</f>
        <v/>
      </c>
    </row>
    <row r="68" ht="21" customHeight="1">
      <c r="A68" s="20" t="inlineStr">
        <is>
          <t>613-2</t>
        </is>
      </c>
      <c r="B68" s="21" t="inlineStr">
        <is>
          <t>KC</t>
        </is>
      </c>
      <c r="C68" s="40" t="inlineStr">
        <is>
          <t>2025-04</t>
        </is>
      </c>
      <c r="D68" s="41">
        <f>IFERROR(VLOOKUP(C68,▼売上原票!$A:$P,6,0),0)</f>
        <v/>
      </c>
      <c r="E68" s="12" t="n"/>
      <c r="F68" s="12" t="n"/>
      <c r="G68" s="12" t="n"/>
      <c r="H68" s="12" t="n"/>
      <c r="I68" s="12" t="n"/>
      <c r="J68" s="12" t="n"/>
      <c r="K68" s="13">
        <f>E68+F68+G68+H68+I68+J68</f>
        <v/>
      </c>
      <c r="L68" s="14">
        <f>D68-K68</f>
        <v/>
      </c>
      <c r="M68" s="15">
        <f>IF(D68&lt;&gt;0,L68/D68,0)</f>
        <v/>
      </c>
      <c r="N68" s="42">
        <f>IF(D68=0,"—",IF(M68&gt;=0.25,"◎ 優良",IF(M68&gt;=0.15,"○ 良好",IF(M68&gt;=0.05,"△ 要注意","× 赤字"))))</f>
        <v/>
      </c>
      <c r="O68" s="23" t="inlineStr">
        <is>
          <t>別管理</t>
        </is>
      </c>
      <c r="P68" s="24">
        <f>IF(D67&lt;&gt;0,D68/D67-1,"")</f>
        <v/>
      </c>
      <c r="Q68" s="45">
        <f>IFERROR(D68/100,0)</f>
        <v/>
      </c>
    </row>
    <row r="69" ht="21" customHeight="1">
      <c r="A69" s="20" t="inlineStr">
        <is>
          <t>613-2</t>
        </is>
      </c>
      <c r="B69" s="21" t="inlineStr">
        <is>
          <t>KC</t>
        </is>
      </c>
      <c r="C69" s="40" t="inlineStr">
        <is>
          <t>2025-05</t>
        </is>
      </c>
      <c r="D69" s="41">
        <f>IFERROR(VLOOKUP(C69,▼売上原票!$A:$P,6,0),0)</f>
        <v/>
      </c>
      <c r="E69" s="12" t="n"/>
      <c r="F69" s="12" t="n"/>
      <c r="G69" s="12" t="n"/>
      <c r="H69" s="12" t="n"/>
      <c r="I69" s="12" t="n"/>
      <c r="J69" s="12" t="n"/>
      <c r="K69" s="13">
        <f>E69+F69+G69+H69+I69+J69</f>
        <v/>
      </c>
      <c r="L69" s="14">
        <f>D69-K69</f>
        <v/>
      </c>
      <c r="M69" s="15">
        <f>IF(D69&lt;&gt;0,L69/D69,0)</f>
        <v/>
      </c>
      <c r="N69" s="42">
        <f>IF(D69=0,"—",IF(M69&gt;=0.25,"◎ 優良",IF(M69&gt;=0.15,"○ 良好",IF(M69&gt;=0.05,"△ 要注意","× 赤字"))))</f>
        <v/>
      </c>
      <c r="O69" s="23" t="inlineStr">
        <is>
          <t>別管理</t>
        </is>
      </c>
      <c r="P69" s="24">
        <f>IF(D68&lt;&gt;0,D69/D68-1,"")</f>
        <v/>
      </c>
      <c r="Q69" s="45">
        <f>IFERROR(D69/100,0)</f>
        <v/>
      </c>
    </row>
    <row r="70" ht="21" customHeight="1">
      <c r="A70" s="20" t="inlineStr">
        <is>
          <t>613-2</t>
        </is>
      </c>
      <c r="B70" s="21" t="inlineStr">
        <is>
          <t>KC</t>
        </is>
      </c>
      <c r="C70" s="40" t="inlineStr">
        <is>
          <t>2025-06</t>
        </is>
      </c>
      <c r="D70" s="41">
        <f>IFERROR(VLOOKUP(C70,▼売上原票!$A:$P,6,0),0)</f>
        <v/>
      </c>
      <c r="E70" s="12" t="n"/>
      <c r="F70" s="12" t="n"/>
      <c r="G70" s="12" t="n"/>
      <c r="H70" s="12" t="n"/>
      <c r="I70" s="12" t="n"/>
      <c r="J70" s="12" t="n"/>
      <c r="K70" s="13">
        <f>E70+F70+G70+H70+I70+J70</f>
        <v/>
      </c>
      <c r="L70" s="14">
        <f>D70-K70</f>
        <v/>
      </c>
      <c r="M70" s="15">
        <f>IF(D70&lt;&gt;0,L70/D70,0)</f>
        <v/>
      </c>
      <c r="N70" s="42">
        <f>IF(D70=0,"—",IF(M70&gt;=0.25,"◎ 優良",IF(M70&gt;=0.15,"○ 良好",IF(M70&gt;=0.05,"△ 要注意","× 赤字"))))</f>
        <v/>
      </c>
      <c r="O70" s="23" t="inlineStr">
        <is>
          <t>別管理</t>
        </is>
      </c>
      <c r="P70" s="24">
        <f>IF(D69&lt;&gt;0,D70/D69-1,"")</f>
        <v/>
      </c>
      <c r="Q70" s="45">
        <f>IFERROR(D70/100,0)</f>
        <v/>
      </c>
    </row>
    <row r="71" ht="21" customHeight="1">
      <c r="A71" s="20" t="inlineStr">
        <is>
          <t>613-2</t>
        </is>
      </c>
      <c r="B71" s="21" t="inlineStr">
        <is>
          <t>KC</t>
        </is>
      </c>
      <c r="C71" s="40" t="inlineStr">
        <is>
          <t>2025-07</t>
        </is>
      </c>
      <c r="D71" s="41">
        <f>IFERROR(VLOOKUP(C71,▼売上原票!$A:$P,6,0),0)</f>
        <v/>
      </c>
      <c r="E71" s="12" t="n"/>
      <c r="F71" s="12" t="n"/>
      <c r="G71" s="12" t="n"/>
      <c r="H71" s="12" t="n"/>
      <c r="I71" s="12" t="n"/>
      <c r="J71" s="12" t="n"/>
      <c r="K71" s="13">
        <f>E71+F71+G71+H71+I71+J71</f>
        <v/>
      </c>
      <c r="L71" s="14">
        <f>D71-K71</f>
        <v/>
      </c>
      <c r="M71" s="15">
        <f>IF(D71&lt;&gt;0,L71/D71,0)</f>
        <v/>
      </c>
      <c r="N71" s="42">
        <f>IF(D71=0,"—",IF(M71&gt;=0.25,"◎ 優良",IF(M71&gt;=0.15,"○ 良好",IF(M71&gt;=0.05,"△ 要注意","× 赤字"))))</f>
        <v/>
      </c>
      <c r="O71" s="23" t="inlineStr">
        <is>
          <t>別管理</t>
        </is>
      </c>
      <c r="P71" s="24">
        <f>IF(D70&lt;&gt;0,D71/D70-1,"")</f>
        <v/>
      </c>
      <c r="Q71" s="45">
        <f>IFERROR(D71/100,0)</f>
        <v/>
      </c>
    </row>
    <row r="72" ht="21" customHeight="1">
      <c r="A72" s="20" t="inlineStr">
        <is>
          <t>613-2</t>
        </is>
      </c>
      <c r="B72" s="21" t="inlineStr">
        <is>
          <t>KC</t>
        </is>
      </c>
      <c r="C72" s="40" t="inlineStr">
        <is>
          <t>2025-08</t>
        </is>
      </c>
      <c r="D72" s="41">
        <f>IFERROR(VLOOKUP(C72,▼売上原票!$A:$P,6,0),0)</f>
        <v/>
      </c>
      <c r="E72" s="12" t="n"/>
      <c r="F72" s="12" t="n"/>
      <c r="G72" s="12" t="n"/>
      <c r="H72" s="12" t="n"/>
      <c r="I72" s="12" t="n"/>
      <c r="J72" s="12" t="n"/>
      <c r="K72" s="13">
        <f>E72+F72+G72+H72+I72+J72</f>
        <v/>
      </c>
      <c r="L72" s="14">
        <f>D72-K72</f>
        <v/>
      </c>
      <c r="M72" s="15">
        <f>IF(D72&lt;&gt;0,L72/D72,0)</f>
        <v/>
      </c>
      <c r="N72" s="42">
        <f>IF(D72=0,"—",IF(M72&gt;=0.25,"◎ 優良",IF(M72&gt;=0.15,"○ 良好",IF(M72&gt;=0.05,"△ 要注意","× 赤字"))))</f>
        <v/>
      </c>
      <c r="O72" s="23" t="inlineStr">
        <is>
          <t>別管理</t>
        </is>
      </c>
      <c r="P72" s="24">
        <f>IF(D71&lt;&gt;0,D72/D71-1,"")</f>
        <v/>
      </c>
      <c r="Q72" s="45">
        <f>IFERROR(D72/100,0)</f>
        <v/>
      </c>
    </row>
    <row r="73" ht="21" customHeight="1">
      <c r="A73" s="20" t="inlineStr">
        <is>
          <t>613-2</t>
        </is>
      </c>
      <c r="B73" s="21" t="inlineStr">
        <is>
          <t>KC</t>
        </is>
      </c>
      <c r="C73" s="40" t="inlineStr">
        <is>
          <t>2025-09</t>
        </is>
      </c>
      <c r="D73" s="41">
        <f>IFERROR(VLOOKUP(C73,▼売上原票!$A:$P,6,0),0)</f>
        <v/>
      </c>
      <c r="E73" s="12" t="n"/>
      <c r="F73" s="12" t="n"/>
      <c r="G73" s="12" t="n"/>
      <c r="H73" s="12" t="n"/>
      <c r="I73" s="12" t="n"/>
      <c r="J73" s="12" t="n"/>
      <c r="K73" s="13">
        <f>E73+F73+G73+H73+I73+J73</f>
        <v/>
      </c>
      <c r="L73" s="14">
        <f>D73-K73</f>
        <v/>
      </c>
      <c r="M73" s="15">
        <f>IF(D73&lt;&gt;0,L73/D73,0)</f>
        <v/>
      </c>
      <c r="N73" s="42">
        <f>IF(D73=0,"—",IF(M73&gt;=0.25,"◎ 優良",IF(M73&gt;=0.15,"○ 良好",IF(M73&gt;=0.05,"△ 要注意","× 赤字"))))</f>
        <v/>
      </c>
      <c r="O73" s="23" t="inlineStr">
        <is>
          <t>別管理</t>
        </is>
      </c>
      <c r="P73" s="24">
        <f>IF(D72&lt;&gt;0,D73/D72-1,"")</f>
        <v/>
      </c>
      <c r="Q73" s="45">
        <f>IFERROR(D73/100,0)</f>
        <v/>
      </c>
    </row>
    <row r="74" ht="21" customHeight="1">
      <c r="A74" s="20" t="inlineStr">
        <is>
          <t>613-2</t>
        </is>
      </c>
      <c r="B74" s="21" t="inlineStr">
        <is>
          <t>KC</t>
        </is>
      </c>
      <c r="C74" s="40" t="inlineStr">
        <is>
          <t>2025-10</t>
        </is>
      </c>
      <c r="D74" s="41">
        <f>IFERROR(VLOOKUP(C74,▼売上原票!$A:$P,6,0),0)</f>
        <v/>
      </c>
      <c r="E74" s="12" t="n"/>
      <c r="F74" s="12" t="n"/>
      <c r="G74" s="12" t="n"/>
      <c r="H74" s="12" t="n"/>
      <c r="I74" s="12" t="n"/>
      <c r="J74" s="12" t="n"/>
      <c r="K74" s="13">
        <f>E74+F74+G74+H74+I74+J74</f>
        <v/>
      </c>
      <c r="L74" s="14">
        <f>D74-K74</f>
        <v/>
      </c>
      <c r="M74" s="15">
        <f>IF(D74&lt;&gt;0,L74/D74,0)</f>
        <v/>
      </c>
      <c r="N74" s="42">
        <f>IF(D74=0,"—",IF(M74&gt;=0.25,"◎ 優良",IF(M74&gt;=0.15,"○ 良好",IF(M74&gt;=0.05,"△ 要注意","× 赤字"))))</f>
        <v/>
      </c>
      <c r="O74" s="23" t="inlineStr">
        <is>
          <t>別管理</t>
        </is>
      </c>
      <c r="P74" s="24">
        <f>IF(D73&lt;&gt;0,D74/D73-1,"")</f>
        <v/>
      </c>
      <c r="Q74" s="45">
        <f>IFERROR(D74/100,0)</f>
        <v/>
      </c>
    </row>
    <row r="75" ht="21" customHeight="1">
      <c r="A75" s="20" t="inlineStr">
        <is>
          <t>613-2</t>
        </is>
      </c>
      <c r="B75" s="21" t="inlineStr">
        <is>
          <t>KC</t>
        </is>
      </c>
      <c r="C75" s="40" t="inlineStr">
        <is>
          <t>2025-11</t>
        </is>
      </c>
      <c r="D75" s="41">
        <f>IFERROR(VLOOKUP(C75,▼売上原票!$A:$P,6,0),0)</f>
        <v/>
      </c>
      <c r="E75" s="12" t="n"/>
      <c r="F75" s="12" t="n"/>
      <c r="G75" s="12" t="n"/>
      <c r="H75" s="12" t="n"/>
      <c r="I75" s="12" t="n"/>
      <c r="J75" s="12" t="n"/>
      <c r="K75" s="13">
        <f>E75+F75+G75+H75+I75+J75</f>
        <v/>
      </c>
      <c r="L75" s="14">
        <f>D75-K75</f>
        <v/>
      </c>
      <c r="M75" s="15">
        <f>IF(D75&lt;&gt;0,L75/D75,0)</f>
        <v/>
      </c>
      <c r="N75" s="42">
        <f>IF(D75=0,"—",IF(M75&gt;=0.25,"◎ 優良",IF(M75&gt;=0.15,"○ 良好",IF(M75&gt;=0.05,"△ 要注意","× 赤字"))))</f>
        <v/>
      </c>
      <c r="O75" s="23" t="inlineStr">
        <is>
          <t>別管理</t>
        </is>
      </c>
      <c r="P75" s="24">
        <f>IF(D74&lt;&gt;0,D75/D74-1,"")</f>
        <v/>
      </c>
      <c r="Q75" s="45">
        <f>IFERROR(D75/100,0)</f>
        <v/>
      </c>
    </row>
    <row r="76" ht="5" customHeight="1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</row>
    <row r="77" ht="21" customHeight="1">
      <c r="A77" s="16" t="inlineStr">
        <is>
          <t>614-1</t>
        </is>
      </c>
      <c r="B77" s="25" t="inlineStr">
        <is>
          <t>コンテナ</t>
        </is>
      </c>
      <c r="C77" s="40" t="inlineStr">
        <is>
          <t>2024-07</t>
        </is>
      </c>
      <c r="D77" s="41">
        <f>IFERROR(VLOOKUP(C77,▼売上原票!$A:$P,7,0),0)</f>
        <v/>
      </c>
      <c r="E77" s="12" t="n"/>
      <c r="F77" s="12" t="n"/>
      <c r="G77" s="12" t="n"/>
      <c r="H77" s="12" t="n"/>
      <c r="I77" s="12" t="n"/>
      <c r="J77" s="12" t="n"/>
      <c r="K77" s="13">
        <f>E77+F77+G77+H77+I77+J77</f>
        <v/>
      </c>
      <c r="L77" s="14">
        <f>D77-K77</f>
        <v/>
      </c>
      <c r="M77" s="15">
        <f>IF(D77&lt;&gt;0,L77/D77,0)</f>
        <v/>
      </c>
      <c r="N77" s="42">
        <f>IF(D77=0,"—",IF(M77&gt;=0.25,"◎ 優良",IF(M77&gt;=0.15,"○ 良好",IF(M77&gt;=0.05,"△ 要注意","× 赤字"))))</f>
        <v/>
      </c>
      <c r="O77" s="27" t="inlineStr">
        <is>
          <t>C003一般</t>
        </is>
      </c>
      <c r="P77" s="27" t="inlineStr">
        <is>
          <t>—</t>
        </is>
      </c>
      <c r="Q77" s="46">
        <f>IFERROR(D77/100,0)</f>
        <v/>
      </c>
    </row>
    <row r="78" ht="21" customHeight="1">
      <c r="A78" s="16" t="inlineStr">
        <is>
          <t>614-1</t>
        </is>
      </c>
      <c r="B78" s="25" t="inlineStr">
        <is>
          <t>コンテナ</t>
        </is>
      </c>
      <c r="C78" s="40" t="inlineStr">
        <is>
          <t>2024-08</t>
        </is>
      </c>
      <c r="D78" s="41">
        <f>IFERROR(VLOOKUP(C78,▼売上原票!$A:$P,7,0),0)</f>
        <v/>
      </c>
      <c r="E78" s="12" t="n"/>
      <c r="F78" s="12" t="n"/>
      <c r="G78" s="12" t="n"/>
      <c r="H78" s="12" t="n"/>
      <c r="I78" s="12" t="n"/>
      <c r="J78" s="12" t="n"/>
      <c r="K78" s="13">
        <f>E78+F78+G78+H78+I78+J78</f>
        <v/>
      </c>
      <c r="L78" s="14">
        <f>D78-K78</f>
        <v/>
      </c>
      <c r="M78" s="15">
        <f>IF(D78&lt;&gt;0,L78/D78,0)</f>
        <v/>
      </c>
      <c r="N78" s="42">
        <f>IF(D78=0,"—",IF(M78&gt;=0.25,"◎ 優良",IF(M78&gt;=0.15,"○ 良好",IF(M78&gt;=0.05,"△ 要注意","× 赤字"))))</f>
        <v/>
      </c>
      <c r="O78" s="27" t="inlineStr">
        <is>
          <t>C003一般</t>
        </is>
      </c>
      <c r="P78" s="28">
        <f>IF(D77&lt;&gt;0,D78/D77-1,"")</f>
        <v/>
      </c>
      <c r="Q78" s="46">
        <f>IFERROR(D78/100,0)</f>
        <v/>
      </c>
    </row>
    <row r="79" ht="21" customHeight="1">
      <c r="A79" s="16" t="inlineStr">
        <is>
          <t>614-1</t>
        </is>
      </c>
      <c r="B79" s="25" t="inlineStr">
        <is>
          <t>コンテナ</t>
        </is>
      </c>
      <c r="C79" s="40" t="inlineStr">
        <is>
          <t>2024-09</t>
        </is>
      </c>
      <c r="D79" s="41">
        <f>IFERROR(VLOOKUP(C79,▼売上原票!$A:$P,7,0),0)</f>
        <v/>
      </c>
      <c r="E79" s="12" t="n"/>
      <c r="F79" s="12" t="n"/>
      <c r="G79" s="12" t="n"/>
      <c r="H79" s="12" t="n"/>
      <c r="I79" s="12" t="n"/>
      <c r="J79" s="12" t="n"/>
      <c r="K79" s="13">
        <f>E79+F79+G79+H79+I79+J79</f>
        <v/>
      </c>
      <c r="L79" s="14">
        <f>D79-K79</f>
        <v/>
      </c>
      <c r="M79" s="15">
        <f>IF(D79&lt;&gt;0,L79/D79,0)</f>
        <v/>
      </c>
      <c r="N79" s="42">
        <f>IF(D79=0,"—",IF(M79&gt;=0.25,"◎ 優良",IF(M79&gt;=0.15,"○ 良好",IF(M79&gt;=0.05,"△ 要注意","× 赤字"))))</f>
        <v/>
      </c>
      <c r="O79" s="27" t="inlineStr">
        <is>
          <t>C003一般</t>
        </is>
      </c>
      <c r="P79" s="28">
        <f>IF(D78&lt;&gt;0,D79/D78-1,"")</f>
        <v/>
      </c>
      <c r="Q79" s="46">
        <f>IFERROR(D79/100,0)</f>
        <v/>
      </c>
    </row>
    <row r="80" ht="21" customHeight="1">
      <c r="A80" s="16" t="inlineStr">
        <is>
          <t>614-1</t>
        </is>
      </c>
      <c r="B80" s="25" t="inlineStr">
        <is>
          <t>コンテナ</t>
        </is>
      </c>
      <c r="C80" s="40" t="inlineStr">
        <is>
          <t>2024-10</t>
        </is>
      </c>
      <c r="D80" s="41">
        <f>IFERROR(VLOOKUP(C80,▼売上原票!$A:$P,7,0),0)</f>
        <v/>
      </c>
      <c r="E80" s="12" t="n"/>
      <c r="F80" s="12" t="n"/>
      <c r="G80" s="12" t="n"/>
      <c r="H80" s="12" t="n"/>
      <c r="I80" s="12" t="n"/>
      <c r="J80" s="12" t="n"/>
      <c r="K80" s="13">
        <f>E80+F80+G80+H80+I80+J80</f>
        <v/>
      </c>
      <c r="L80" s="14">
        <f>D80-K80</f>
        <v/>
      </c>
      <c r="M80" s="15">
        <f>IF(D80&lt;&gt;0,L80/D80,0)</f>
        <v/>
      </c>
      <c r="N80" s="42">
        <f>IF(D80=0,"—",IF(M80&gt;=0.25,"◎ 優良",IF(M80&gt;=0.15,"○ 良好",IF(M80&gt;=0.05,"△ 要注意","× 赤字"))))</f>
        <v/>
      </c>
      <c r="O80" s="27" t="inlineStr">
        <is>
          <t>C003一般</t>
        </is>
      </c>
      <c r="P80" s="28">
        <f>IF(D79&lt;&gt;0,D80/D79-1,"")</f>
        <v/>
      </c>
      <c r="Q80" s="46">
        <f>IFERROR(D80/100,0)</f>
        <v/>
      </c>
    </row>
    <row r="81" ht="21" customHeight="1">
      <c r="A81" s="16" t="inlineStr">
        <is>
          <t>614-1</t>
        </is>
      </c>
      <c r="B81" s="25" t="inlineStr">
        <is>
          <t>コンテナ</t>
        </is>
      </c>
      <c r="C81" s="40" t="inlineStr">
        <is>
          <t>2024-11</t>
        </is>
      </c>
      <c r="D81" s="41">
        <f>IFERROR(VLOOKUP(C81,▼売上原票!$A:$P,7,0),0)</f>
        <v/>
      </c>
      <c r="E81" s="12" t="n"/>
      <c r="F81" s="12" t="n"/>
      <c r="G81" s="12" t="n"/>
      <c r="H81" s="12" t="n"/>
      <c r="I81" s="12" t="n"/>
      <c r="J81" s="12" t="n"/>
      <c r="K81" s="13">
        <f>E81+F81+G81+H81+I81+J81</f>
        <v/>
      </c>
      <c r="L81" s="14">
        <f>D81-K81</f>
        <v/>
      </c>
      <c r="M81" s="15">
        <f>IF(D81&lt;&gt;0,L81/D81,0)</f>
        <v/>
      </c>
      <c r="N81" s="42">
        <f>IF(D81=0,"—",IF(M81&gt;=0.25,"◎ 優良",IF(M81&gt;=0.15,"○ 良好",IF(M81&gt;=0.05,"△ 要注意","× 赤字"))))</f>
        <v/>
      </c>
      <c r="O81" s="27" t="inlineStr">
        <is>
          <t>C003一般</t>
        </is>
      </c>
      <c r="P81" s="28">
        <f>IF(D80&lt;&gt;0,D81/D80-1,"")</f>
        <v/>
      </c>
      <c r="Q81" s="46">
        <f>IFERROR(D81/100,0)</f>
        <v/>
      </c>
    </row>
    <row r="82" ht="21" customHeight="1">
      <c r="A82" s="16" t="inlineStr">
        <is>
          <t>614-1</t>
        </is>
      </c>
      <c r="B82" s="25" t="inlineStr">
        <is>
          <t>コンテナ</t>
        </is>
      </c>
      <c r="C82" s="40" t="inlineStr">
        <is>
          <t>2024-12</t>
        </is>
      </c>
      <c r="D82" s="41">
        <f>IFERROR(VLOOKUP(C82,▼売上原票!$A:$P,7,0),0)</f>
        <v/>
      </c>
      <c r="E82" s="12" t="n"/>
      <c r="F82" s="12" t="n"/>
      <c r="G82" s="12" t="n"/>
      <c r="H82" s="12" t="n"/>
      <c r="I82" s="12" t="n"/>
      <c r="J82" s="12" t="n"/>
      <c r="K82" s="13">
        <f>E82+F82+G82+H82+I82+J82</f>
        <v/>
      </c>
      <c r="L82" s="14">
        <f>D82-K82</f>
        <v/>
      </c>
      <c r="M82" s="15">
        <f>IF(D82&lt;&gt;0,L82/D82,0)</f>
        <v/>
      </c>
      <c r="N82" s="42">
        <f>IF(D82=0,"—",IF(M82&gt;=0.25,"◎ 優良",IF(M82&gt;=0.15,"○ 良好",IF(M82&gt;=0.05,"△ 要注意","× 赤字"))))</f>
        <v/>
      </c>
      <c r="O82" s="27" t="inlineStr">
        <is>
          <t>C003一般</t>
        </is>
      </c>
      <c r="P82" s="28">
        <f>IF(D81&lt;&gt;0,D82/D81-1,"")</f>
        <v/>
      </c>
      <c r="Q82" s="46">
        <f>IFERROR(D82/100,0)</f>
        <v/>
      </c>
    </row>
    <row r="83" ht="21" customHeight="1">
      <c r="A83" s="16" t="inlineStr">
        <is>
          <t>614-1</t>
        </is>
      </c>
      <c r="B83" s="25" t="inlineStr">
        <is>
          <t>コンテナ</t>
        </is>
      </c>
      <c r="C83" s="40" t="inlineStr">
        <is>
          <t>2025-01</t>
        </is>
      </c>
      <c r="D83" s="41">
        <f>IFERROR(VLOOKUP(C83,▼売上原票!$A:$P,7,0),0)</f>
        <v/>
      </c>
      <c r="E83" s="12" t="n"/>
      <c r="F83" s="12" t="n"/>
      <c r="G83" s="12" t="n"/>
      <c r="H83" s="12" t="n"/>
      <c r="I83" s="12" t="n"/>
      <c r="J83" s="12" t="n"/>
      <c r="K83" s="13">
        <f>E83+F83+G83+H83+I83+J83</f>
        <v/>
      </c>
      <c r="L83" s="14">
        <f>D83-K83</f>
        <v/>
      </c>
      <c r="M83" s="15">
        <f>IF(D83&lt;&gt;0,L83/D83,0)</f>
        <v/>
      </c>
      <c r="N83" s="42">
        <f>IF(D83=0,"—",IF(M83&gt;=0.25,"◎ 優良",IF(M83&gt;=0.15,"○ 良好",IF(M83&gt;=0.05,"△ 要注意","× 赤字"))))</f>
        <v/>
      </c>
      <c r="O83" s="27" t="inlineStr">
        <is>
          <t>C003一般</t>
        </is>
      </c>
      <c r="P83" s="28">
        <f>IF(D82&lt;&gt;0,D83/D82-1,"")</f>
        <v/>
      </c>
      <c r="Q83" s="46">
        <f>IFERROR(D83/100,0)</f>
        <v/>
      </c>
    </row>
    <row r="84" ht="21" customHeight="1">
      <c r="A84" s="16" t="inlineStr">
        <is>
          <t>614-1</t>
        </is>
      </c>
      <c r="B84" s="25" t="inlineStr">
        <is>
          <t>コンテナ</t>
        </is>
      </c>
      <c r="C84" s="40" t="inlineStr">
        <is>
          <t>2025-02</t>
        </is>
      </c>
      <c r="D84" s="41">
        <f>IFERROR(VLOOKUP(C84,▼売上原票!$A:$P,7,0),0)</f>
        <v/>
      </c>
      <c r="E84" s="12" t="n"/>
      <c r="F84" s="12" t="n"/>
      <c r="G84" s="12" t="n"/>
      <c r="H84" s="12" t="n"/>
      <c r="I84" s="12" t="n"/>
      <c r="J84" s="12" t="n"/>
      <c r="K84" s="13">
        <f>E84+F84+G84+H84+I84+J84</f>
        <v/>
      </c>
      <c r="L84" s="14">
        <f>D84-K84</f>
        <v/>
      </c>
      <c r="M84" s="15">
        <f>IF(D84&lt;&gt;0,L84/D84,0)</f>
        <v/>
      </c>
      <c r="N84" s="42">
        <f>IF(D84=0,"—",IF(M84&gt;=0.25,"◎ 優良",IF(M84&gt;=0.15,"○ 良好",IF(M84&gt;=0.05,"△ 要注意","× 赤字"))))</f>
        <v/>
      </c>
      <c r="O84" s="27" t="inlineStr">
        <is>
          <t>C003一般</t>
        </is>
      </c>
      <c r="P84" s="28">
        <f>IF(D83&lt;&gt;0,D84/D83-1,"")</f>
        <v/>
      </c>
      <c r="Q84" s="46">
        <f>IFERROR(D84/100,0)</f>
        <v/>
      </c>
    </row>
    <row r="85" ht="21" customHeight="1">
      <c r="A85" s="16" t="inlineStr">
        <is>
          <t>614-1</t>
        </is>
      </c>
      <c r="B85" s="25" t="inlineStr">
        <is>
          <t>コンテナ</t>
        </is>
      </c>
      <c r="C85" s="40" t="inlineStr">
        <is>
          <t>2025-03</t>
        </is>
      </c>
      <c r="D85" s="41">
        <f>IFERROR(VLOOKUP(C85,▼売上原票!$A:$P,7,0),0)</f>
        <v/>
      </c>
      <c r="E85" s="12" t="n"/>
      <c r="F85" s="12" t="n"/>
      <c r="G85" s="12" t="n"/>
      <c r="H85" s="12" t="n"/>
      <c r="I85" s="12" t="n"/>
      <c r="J85" s="12" t="n"/>
      <c r="K85" s="13">
        <f>E85+F85+G85+H85+I85+J85</f>
        <v/>
      </c>
      <c r="L85" s="14">
        <f>D85-K85</f>
        <v/>
      </c>
      <c r="M85" s="15">
        <f>IF(D85&lt;&gt;0,L85/D85,0)</f>
        <v/>
      </c>
      <c r="N85" s="42">
        <f>IF(D85=0,"—",IF(M85&gt;=0.25,"◎ 優良",IF(M85&gt;=0.15,"○ 良好",IF(M85&gt;=0.05,"△ 要注意","× 赤字"))))</f>
        <v/>
      </c>
      <c r="O85" s="27" t="inlineStr">
        <is>
          <t>C003一般</t>
        </is>
      </c>
      <c r="P85" s="28">
        <f>IF(D84&lt;&gt;0,D85/D84-1,"")</f>
        <v/>
      </c>
      <c r="Q85" s="46">
        <f>IFERROR(D85/100,0)</f>
        <v/>
      </c>
    </row>
    <row r="86" ht="21" customHeight="1">
      <c r="A86" s="16" t="inlineStr">
        <is>
          <t>614-1</t>
        </is>
      </c>
      <c r="B86" s="25" t="inlineStr">
        <is>
          <t>コンテナ</t>
        </is>
      </c>
      <c r="C86" s="40" t="inlineStr">
        <is>
          <t>2025-04</t>
        </is>
      </c>
      <c r="D86" s="41">
        <f>IFERROR(VLOOKUP(C86,▼売上原票!$A:$P,7,0),0)</f>
        <v/>
      </c>
      <c r="E86" s="12" t="n"/>
      <c r="F86" s="12" t="n"/>
      <c r="G86" s="12" t="n"/>
      <c r="H86" s="12" t="n"/>
      <c r="I86" s="12" t="n"/>
      <c r="J86" s="12" t="n"/>
      <c r="K86" s="13">
        <f>E86+F86+G86+H86+I86+J86</f>
        <v/>
      </c>
      <c r="L86" s="14">
        <f>D86-K86</f>
        <v/>
      </c>
      <c r="M86" s="15">
        <f>IF(D86&lt;&gt;0,L86/D86,0)</f>
        <v/>
      </c>
      <c r="N86" s="42">
        <f>IF(D86=0,"—",IF(M86&gt;=0.25,"◎ 優良",IF(M86&gt;=0.15,"○ 良好",IF(M86&gt;=0.05,"△ 要注意","× 赤字"))))</f>
        <v/>
      </c>
      <c r="O86" s="27" t="inlineStr">
        <is>
          <t>C003一般</t>
        </is>
      </c>
      <c r="P86" s="28">
        <f>IF(D85&lt;&gt;0,D86/D85-1,"")</f>
        <v/>
      </c>
      <c r="Q86" s="46">
        <f>IFERROR(D86/100,0)</f>
        <v/>
      </c>
    </row>
    <row r="87" ht="21" customHeight="1">
      <c r="A87" s="16" t="inlineStr">
        <is>
          <t>614-1</t>
        </is>
      </c>
      <c r="B87" s="25" t="inlineStr">
        <is>
          <t>コンテナ</t>
        </is>
      </c>
      <c r="C87" s="40" t="inlineStr">
        <is>
          <t>2025-05</t>
        </is>
      </c>
      <c r="D87" s="41">
        <f>IFERROR(VLOOKUP(C87,▼売上原票!$A:$P,7,0),0)</f>
        <v/>
      </c>
      <c r="E87" s="12" t="n"/>
      <c r="F87" s="12" t="n"/>
      <c r="G87" s="12" t="n"/>
      <c r="H87" s="12" t="n"/>
      <c r="I87" s="12" t="n"/>
      <c r="J87" s="12" t="n"/>
      <c r="K87" s="13">
        <f>E87+F87+G87+H87+I87+J87</f>
        <v/>
      </c>
      <c r="L87" s="14">
        <f>D87-K87</f>
        <v/>
      </c>
      <c r="M87" s="15">
        <f>IF(D87&lt;&gt;0,L87/D87,0)</f>
        <v/>
      </c>
      <c r="N87" s="42">
        <f>IF(D87=0,"—",IF(M87&gt;=0.25,"◎ 優良",IF(M87&gt;=0.15,"○ 良好",IF(M87&gt;=0.05,"△ 要注意","× 赤字"))))</f>
        <v/>
      </c>
      <c r="O87" s="27" t="inlineStr">
        <is>
          <t>C003一般</t>
        </is>
      </c>
      <c r="P87" s="28">
        <f>IF(D86&lt;&gt;0,D87/D86-1,"")</f>
        <v/>
      </c>
      <c r="Q87" s="46">
        <f>IFERROR(D87/100,0)</f>
        <v/>
      </c>
    </row>
    <row r="88" ht="21" customHeight="1">
      <c r="A88" s="16" t="inlineStr">
        <is>
          <t>614-1</t>
        </is>
      </c>
      <c r="B88" s="25" t="inlineStr">
        <is>
          <t>コンテナ</t>
        </is>
      </c>
      <c r="C88" s="40" t="inlineStr">
        <is>
          <t>2025-06</t>
        </is>
      </c>
      <c r="D88" s="41">
        <f>IFERROR(VLOOKUP(C88,▼売上原票!$A:$P,7,0),0)</f>
        <v/>
      </c>
      <c r="E88" s="12" t="n"/>
      <c r="F88" s="12" t="n"/>
      <c r="G88" s="12" t="n"/>
      <c r="H88" s="12" t="n"/>
      <c r="I88" s="12" t="n"/>
      <c r="J88" s="12" t="n"/>
      <c r="K88" s="13">
        <f>E88+F88+G88+H88+I88+J88</f>
        <v/>
      </c>
      <c r="L88" s="14">
        <f>D88-K88</f>
        <v/>
      </c>
      <c r="M88" s="15">
        <f>IF(D88&lt;&gt;0,L88/D88,0)</f>
        <v/>
      </c>
      <c r="N88" s="42">
        <f>IF(D88=0,"—",IF(M88&gt;=0.25,"◎ 優良",IF(M88&gt;=0.15,"○ 良好",IF(M88&gt;=0.05,"△ 要注意","× 赤字"))))</f>
        <v/>
      </c>
      <c r="O88" s="27" t="inlineStr">
        <is>
          <t>C003一般</t>
        </is>
      </c>
      <c r="P88" s="28">
        <f>IF(D87&lt;&gt;0,D88/D87-1,"")</f>
        <v/>
      </c>
      <c r="Q88" s="46">
        <f>IFERROR(D88/100,0)</f>
        <v/>
      </c>
    </row>
    <row r="89" ht="21" customHeight="1">
      <c r="A89" s="16" t="inlineStr">
        <is>
          <t>614-1</t>
        </is>
      </c>
      <c r="B89" s="25" t="inlineStr">
        <is>
          <t>コンテナ</t>
        </is>
      </c>
      <c r="C89" s="40" t="inlineStr">
        <is>
          <t>2025-07</t>
        </is>
      </c>
      <c r="D89" s="41">
        <f>IFERROR(VLOOKUP(C89,▼売上原票!$A:$P,7,0),0)</f>
        <v/>
      </c>
      <c r="E89" s="12" t="n"/>
      <c r="F89" s="12" t="n"/>
      <c r="G89" s="12" t="n"/>
      <c r="H89" s="12" t="n"/>
      <c r="I89" s="12" t="n"/>
      <c r="J89" s="12" t="n"/>
      <c r="K89" s="13">
        <f>E89+F89+G89+H89+I89+J89</f>
        <v/>
      </c>
      <c r="L89" s="14">
        <f>D89-K89</f>
        <v/>
      </c>
      <c r="M89" s="15">
        <f>IF(D89&lt;&gt;0,L89/D89,0)</f>
        <v/>
      </c>
      <c r="N89" s="42">
        <f>IF(D89=0,"—",IF(M89&gt;=0.25,"◎ 優良",IF(M89&gt;=0.15,"○ 良好",IF(M89&gt;=0.05,"△ 要注意","× 赤字"))))</f>
        <v/>
      </c>
      <c r="O89" s="27" t="inlineStr">
        <is>
          <t>C003一般</t>
        </is>
      </c>
      <c r="P89" s="28">
        <f>IF(D88&lt;&gt;0,D89/D88-1,"")</f>
        <v/>
      </c>
      <c r="Q89" s="46">
        <f>IFERROR(D89/100,0)</f>
        <v/>
      </c>
    </row>
    <row r="90" ht="21" customHeight="1">
      <c r="A90" s="16" t="inlineStr">
        <is>
          <t>614-1</t>
        </is>
      </c>
      <c r="B90" s="25" t="inlineStr">
        <is>
          <t>コンテナ</t>
        </is>
      </c>
      <c r="C90" s="40" t="inlineStr">
        <is>
          <t>2025-08</t>
        </is>
      </c>
      <c r="D90" s="41">
        <f>IFERROR(VLOOKUP(C90,▼売上原票!$A:$P,7,0),0)</f>
        <v/>
      </c>
      <c r="E90" s="12" t="n"/>
      <c r="F90" s="12" t="n"/>
      <c r="G90" s="12" t="n"/>
      <c r="H90" s="12" t="n"/>
      <c r="I90" s="12" t="n"/>
      <c r="J90" s="12" t="n"/>
      <c r="K90" s="13">
        <f>E90+F90+G90+H90+I90+J90</f>
        <v/>
      </c>
      <c r="L90" s="14">
        <f>D90-K90</f>
        <v/>
      </c>
      <c r="M90" s="15">
        <f>IF(D90&lt;&gt;0,L90/D90,0)</f>
        <v/>
      </c>
      <c r="N90" s="42">
        <f>IF(D90=0,"—",IF(M90&gt;=0.25,"◎ 優良",IF(M90&gt;=0.15,"○ 良好",IF(M90&gt;=0.05,"△ 要注意","× 赤字"))))</f>
        <v/>
      </c>
      <c r="O90" s="27" t="inlineStr">
        <is>
          <t>C003一般</t>
        </is>
      </c>
      <c r="P90" s="28">
        <f>IF(D89&lt;&gt;0,D90/D89-1,"")</f>
        <v/>
      </c>
      <c r="Q90" s="46">
        <f>IFERROR(D90/100,0)</f>
        <v/>
      </c>
    </row>
    <row r="91" ht="21" customHeight="1">
      <c r="A91" s="16" t="inlineStr">
        <is>
          <t>614-1</t>
        </is>
      </c>
      <c r="B91" s="25" t="inlineStr">
        <is>
          <t>コンテナ</t>
        </is>
      </c>
      <c r="C91" s="40" t="inlineStr">
        <is>
          <t>2025-09</t>
        </is>
      </c>
      <c r="D91" s="41">
        <f>IFERROR(VLOOKUP(C91,▼売上原票!$A:$P,7,0),0)</f>
        <v/>
      </c>
      <c r="E91" s="12" t="n"/>
      <c r="F91" s="12" t="n"/>
      <c r="G91" s="12" t="n"/>
      <c r="H91" s="12" t="n"/>
      <c r="I91" s="12" t="n"/>
      <c r="J91" s="12" t="n"/>
      <c r="K91" s="13">
        <f>E91+F91+G91+H91+I91+J91</f>
        <v/>
      </c>
      <c r="L91" s="14">
        <f>D91-K91</f>
        <v/>
      </c>
      <c r="M91" s="15">
        <f>IF(D91&lt;&gt;0,L91/D91,0)</f>
        <v/>
      </c>
      <c r="N91" s="42">
        <f>IF(D91=0,"—",IF(M91&gt;=0.25,"◎ 優良",IF(M91&gt;=0.15,"○ 良好",IF(M91&gt;=0.05,"△ 要注意","× 赤字"))))</f>
        <v/>
      </c>
      <c r="O91" s="27" t="inlineStr">
        <is>
          <t>C003一般</t>
        </is>
      </c>
      <c r="P91" s="28">
        <f>IF(D90&lt;&gt;0,D91/D90-1,"")</f>
        <v/>
      </c>
      <c r="Q91" s="46">
        <f>IFERROR(D91/100,0)</f>
        <v/>
      </c>
    </row>
    <row r="92" ht="21" customHeight="1">
      <c r="A92" s="16" t="inlineStr">
        <is>
          <t>614-1</t>
        </is>
      </c>
      <c r="B92" s="25" t="inlineStr">
        <is>
          <t>コンテナ</t>
        </is>
      </c>
      <c r="C92" s="40" t="inlineStr">
        <is>
          <t>2025-10</t>
        </is>
      </c>
      <c r="D92" s="41">
        <f>IFERROR(VLOOKUP(C92,▼売上原票!$A:$P,7,0),0)</f>
        <v/>
      </c>
      <c r="E92" s="12" t="n"/>
      <c r="F92" s="12" t="n"/>
      <c r="G92" s="12" t="n"/>
      <c r="H92" s="12" t="n"/>
      <c r="I92" s="12" t="n"/>
      <c r="J92" s="12" t="n"/>
      <c r="K92" s="13">
        <f>E92+F92+G92+H92+I92+J92</f>
        <v/>
      </c>
      <c r="L92" s="14">
        <f>D92-K92</f>
        <v/>
      </c>
      <c r="M92" s="15">
        <f>IF(D92&lt;&gt;0,L92/D92,0)</f>
        <v/>
      </c>
      <c r="N92" s="42">
        <f>IF(D92=0,"—",IF(M92&gt;=0.25,"◎ 優良",IF(M92&gt;=0.15,"○ 良好",IF(M92&gt;=0.05,"△ 要注意","× 赤字"))))</f>
        <v/>
      </c>
      <c r="O92" s="27" t="inlineStr">
        <is>
          <t>C003一般</t>
        </is>
      </c>
      <c r="P92" s="28">
        <f>IF(D91&lt;&gt;0,D92/D91-1,"")</f>
        <v/>
      </c>
      <c r="Q92" s="46">
        <f>IFERROR(D92/100,0)</f>
        <v/>
      </c>
    </row>
    <row r="93" ht="21" customHeight="1">
      <c r="A93" s="16" t="inlineStr">
        <is>
          <t>614-1</t>
        </is>
      </c>
      <c r="B93" s="25" t="inlineStr">
        <is>
          <t>コンテナ</t>
        </is>
      </c>
      <c r="C93" s="40" t="inlineStr">
        <is>
          <t>2025-11</t>
        </is>
      </c>
      <c r="D93" s="41">
        <f>IFERROR(VLOOKUP(C93,▼売上原票!$A:$P,7,0),0)</f>
        <v/>
      </c>
      <c r="E93" s="12" t="n"/>
      <c r="F93" s="12" t="n"/>
      <c r="G93" s="12" t="n"/>
      <c r="H93" s="12" t="n"/>
      <c r="I93" s="12" t="n"/>
      <c r="J93" s="12" t="n"/>
      <c r="K93" s="13">
        <f>E93+F93+G93+H93+I93+J93</f>
        <v/>
      </c>
      <c r="L93" s="14">
        <f>D93-K93</f>
        <v/>
      </c>
      <c r="M93" s="15">
        <f>IF(D93&lt;&gt;0,L93/D93,0)</f>
        <v/>
      </c>
      <c r="N93" s="42">
        <f>IF(D93=0,"—",IF(M93&gt;=0.25,"◎ 優良",IF(M93&gt;=0.15,"○ 良好",IF(M93&gt;=0.05,"△ 要注意","× 赤字"))))</f>
        <v/>
      </c>
      <c r="O93" s="27" t="inlineStr">
        <is>
          <t>C003一般</t>
        </is>
      </c>
      <c r="P93" s="28">
        <f>IF(D92&lt;&gt;0,D93/D92-1,"")</f>
        <v/>
      </c>
      <c r="Q93" s="46">
        <f>IFERROR(D93/100,0)</f>
        <v/>
      </c>
    </row>
    <row r="94" ht="5" customHeight="1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</row>
    <row r="95" ht="21" customHeight="1">
      <c r="A95" s="16" t="inlineStr">
        <is>
          <t>614-2</t>
        </is>
      </c>
      <c r="B95" s="25" t="inlineStr">
        <is>
          <t>ENDO</t>
        </is>
      </c>
      <c r="C95" s="40" t="inlineStr">
        <is>
          <t>2024-07</t>
        </is>
      </c>
      <c r="D95" s="41">
        <f>IFERROR(VLOOKUP(C95,▼売上原票!$A:$P,8,0),0)</f>
        <v/>
      </c>
      <c r="E95" s="12" t="n"/>
      <c r="F95" s="12" t="n"/>
      <c r="G95" s="12" t="n"/>
      <c r="H95" s="12" t="n"/>
      <c r="I95" s="12" t="n"/>
      <c r="J95" s="12" t="n"/>
      <c r="K95" s="13">
        <f>E95+F95+G95+H95+I95+J95</f>
        <v/>
      </c>
      <c r="L95" s="14">
        <f>D95-K95</f>
        <v/>
      </c>
      <c r="M95" s="15">
        <f>IF(D95&lt;&gt;0,L95/D95,0)</f>
        <v/>
      </c>
      <c r="N95" s="42">
        <f>IF(D95=0,"—",IF(M95&gt;=0.25,"◎ 優良",IF(M95&gt;=0.15,"○ 良好",IF(M95&gt;=0.05,"△ 要注意","× 赤字"))))</f>
        <v/>
      </c>
      <c r="O95" s="27" t="inlineStr">
        <is>
          <t>C003一般</t>
        </is>
      </c>
      <c r="P95" s="27" t="inlineStr">
        <is>
          <t>—</t>
        </is>
      </c>
      <c r="Q95" s="46">
        <f>IFERROR(D95/100,0)</f>
        <v/>
      </c>
    </row>
    <row r="96" ht="21" customHeight="1">
      <c r="A96" s="16" t="inlineStr">
        <is>
          <t>614-2</t>
        </is>
      </c>
      <c r="B96" s="25" t="inlineStr">
        <is>
          <t>ENDO</t>
        </is>
      </c>
      <c r="C96" s="40" t="inlineStr">
        <is>
          <t>2024-08</t>
        </is>
      </c>
      <c r="D96" s="41">
        <f>IFERROR(VLOOKUP(C96,▼売上原票!$A:$P,8,0),0)</f>
        <v/>
      </c>
      <c r="E96" s="12" t="n"/>
      <c r="F96" s="12" t="n"/>
      <c r="G96" s="12" t="n"/>
      <c r="H96" s="12" t="n"/>
      <c r="I96" s="12" t="n"/>
      <c r="J96" s="12" t="n"/>
      <c r="K96" s="13">
        <f>E96+F96+G96+H96+I96+J96</f>
        <v/>
      </c>
      <c r="L96" s="14">
        <f>D96-K96</f>
        <v/>
      </c>
      <c r="M96" s="15">
        <f>IF(D96&lt;&gt;0,L96/D96,0)</f>
        <v/>
      </c>
      <c r="N96" s="42">
        <f>IF(D96=0,"—",IF(M96&gt;=0.25,"◎ 優良",IF(M96&gt;=0.15,"○ 良好",IF(M96&gt;=0.05,"△ 要注意","× 赤字"))))</f>
        <v/>
      </c>
      <c r="O96" s="27" t="inlineStr">
        <is>
          <t>C003一般</t>
        </is>
      </c>
      <c r="P96" s="28">
        <f>IF(D95&lt;&gt;0,D96/D95-1,"")</f>
        <v/>
      </c>
      <c r="Q96" s="46">
        <f>IFERROR(D96/100,0)</f>
        <v/>
      </c>
    </row>
    <row r="97" ht="21" customHeight="1">
      <c r="A97" s="16" t="inlineStr">
        <is>
          <t>614-2</t>
        </is>
      </c>
      <c r="B97" s="25" t="inlineStr">
        <is>
          <t>ENDO</t>
        </is>
      </c>
      <c r="C97" s="40" t="inlineStr">
        <is>
          <t>2024-09</t>
        </is>
      </c>
      <c r="D97" s="41">
        <f>IFERROR(VLOOKUP(C97,▼売上原票!$A:$P,8,0),0)</f>
        <v/>
      </c>
      <c r="E97" s="12" t="n"/>
      <c r="F97" s="12" t="n"/>
      <c r="G97" s="12" t="n"/>
      <c r="H97" s="12" t="n"/>
      <c r="I97" s="12" t="n"/>
      <c r="J97" s="12" t="n"/>
      <c r="K97" s="13">
        <f>E97+F97+G97+H97+I97+J97</f>
        <v/>
      </c>
      <c r="L97" s="14">
        <f>D97-K97</f>
        <v/>
      </c>
      <c r="M97" s="15">
        <f>IF(D97&lt;&gt;0,L97/D97,0)</f>
        <v/>
      </c>
      <c r="N97" s="42">
        <f>IF(D97=0,"—",IF(M97&gt;=0.25,"◎ 優良",IF(M97&gt;=0.15,"○ 良好",IF(M97&gt;=0.05,"△ 要注意","× 赤字"))))</f>
        <v/>
      </c>
      <c r="O97" s="27" t="inlineStr">
        <is>
          <t>C003一般</t>
        </is>
      </c>
      <c r="P97" s="28">
        <f>IF(D96&lt;&gt;0,D97/D96-1,"")</f>
        <v/>
      </c>
      <c r="Q97" s="46">
        <f>IFERROR(D97/100,0)</f>
        <v/>
      </c>
    </row>
    <row r="98" ht="21" customHeight="1">
      <c r="A98" s="16" t="inlineStr">
        <is>
          <t>614-2</t>
        </is>
      </c>
      <c r="B98" s="25" t="inlineStr">
        <is>
          <t>ENDO</t>
        </is>
      </c>
      <c r="C98" s="40" t="inlineStr">
        <is>
          <t>2024-10</t>
        </is>
      </c>
      <c r="D98" s="41">
        <f>IFERROR(VLOOKUP(C98,▼売上原票!$A:$P,8,0),0)</f>
        <v/>
      </c>
      <c r="E98" s="12" t="n"/>
      <c r="F98" s="12" t="n"/>
      <c r="G98" s="12" t="n"/>
      <c r="H98" s="12" t="n"/>
      <c r="I98" s="12" t="n"/>
      <c r="J98" s="12" t="n"/>
      <c r="K98" s="13">
        <f>E98+F98+G98+H98+I98+J98</f>
        <v/>
      </c>
      <c r="L98" s="14">
        <f>D98-K98</f>
        <v/>
      </c>
      <c r="M98" s="15">
        <f>IF(D98&lt;&gt;0,L98/D98,0)</f>
        <v/>
      </c>
      <c r="N98" s="42">
        <f>IF(D98=0,"—",IF(M98&gt;=0.25,"◎ 優良",IF(M98&gt;=0.15,"○ 良好",IF(M98&gt;=0.05,"△ 要注意","× 赤字"))))</f>
        <v/>
      </c>
      <c r="O98" s="27" t="inlineStr">
        <is>
          <t>C003一般</t>
        </is>
      </c>
      <c r="P98" s="28">
        <f>IF(D97&lt;&gt;0,D98/D97-1,"")</f>
        <v/>
      </c>
      <c r="Q98" s="46">
        <f>IFERROR(D98/100,0)</f>
        <v/>
      </c>
    </row>
    <row r="99" ht="21" customHeight="1">
      <c r="A99" s="16" t="inlineStr">
        <is>
          <t>614-2</t>
        </is>
      </c>
      <c r="B99" s="25" t="inlineStr">
        <is>
          <t>ENDO</t>
        </is>
      </c>
      <c r="C99" s="40" t="inlineStr">
        <is>
          <t>2024-11</t>
        </is>
      </c>
      <c r="D99" s="41">
        <f>IFERROR(VLOOKUP(C99,▼売上原票!$A:$P,8,0),0)</f>
        <v/>
      </c>
      <c r="E99" s="12" t="n"/>
      <c r="F99" s="12" t="n"/>
      <c r="G99" s="12" t="n"/>
      <c r="H99" s="12" t="n"/>
      <c r="I99" s="12" t="n"/>
      <c r="J99" s="12" t="n"/>
      <c r="K99" s="13">
        <f>E99+F99+G99+H99+I99+J99</f>
        <v/>
      </c>
      <c r="L99" s="14">
        <f>D99-K99</f>
        <v/>
      </c>
      <c r="M99" s="15">
        <f>IF(D99&lt;&gt;0,L99/D99,0)</f>
        <v/>
      </c>
      <c r="N99" s="42">
        <f>IF(D99=0,"—",IF(M99&gt;=0.25,"◎ 優良",IF(M99&gt;=0.15,"○ 良好",IF(M99&gt;=0.05,"△ 要注意","× 赤字"))))</f>
        <v/>
      </c>
      <c r="O99" s="27" t="inlineStr">
        <is>
          <t>C003一般</t>
        </is>
      </c>
      <c r="P99" s="28">
        <f>IF(D98&lt;&gt;0,D99/D98-1,"")</f>
        <v/>
      </c>
      <c r="Q99" s="46">
        <f>IFERROR(D99/100,0)</f>
        <v/>
      </c>
    </row>
    <row r="100" ht="21" customHeight="1">
      <c r="A100" s="16" t="inlineStr">
        <is>
          <t>614-2</t>
        </is>
      </c>
      <c r="B100" s="25" t="inlineStr">
        <is>
          <t>ENDO</t>
        </is>
      </c>
      <c r="C100" s="40" t="inlineStr">
        <is>
          <t>2024-12</t>
        </is>
      </c>
      <c r="D100" s="41">
        <f>IFERROR(VLOOKUP(C100,▼売上原票!$A:$P,8,0),0)</f>
        <v/>
      </c>
      <c r="E100" s="12" t="n"/>
      <c r="F100" s="12" t="n"/>
      <c r="G100" s="12" t="n"/>
      <c r="H100" s="12" t="n"/>
      <c r="I100" s="12" t="n"/>
      <c r="J100" s="12" t="n"/>
      <c r="K100" s="13">
        <f>E100+F100+G100+H100+I100+J100</f>
        <v/>
      </c>
      <c r="L100" s="14">
        <f>D100-K100</f>
        <v/>
      </c>
      <c r="M100" s="15">
        <f>IF(D100&lt;&gt;0,L100/D100,0)</f>
        <v/>
      </c>
      <c r="N100" s="42">
        <f>IF(D100=0,"—",IF(M100&gt;=0.25,"◎ 優良",IF(M100&gt;=0.15,"○ 良好",IF(M100&gt;=0.05,"△ 要注意","× 赤字"))))</f>
        <v/>
      </c>
      <c r="O100" s="27" t="inlineStr">
        <is>
          <t>C003一般</t>
        </is>
      </c>
      <c r="P100" s="28">
        <f>IF(D99&lt;&gt;0,D100/D99-1,"")</f>
        <v/>
      </c>
      <c r="Q100" s="46">
        <f>IFERROR(D100/100,0)</f>
        <v/>
      </c>
    </row>
    <row r="101" ht="21" customHeight="1">
      <c r="A101" s="16" t="inlineStr">
        <is>
          <t>614-2</t>
        </is>
      </c>
      <c r="B101" s="25" t="inlineStr">
        <is>
          <t>ENDO</t>
        </is>
      </c>
      <c r="C101" s="40" t="inlineStr">
        <is>
          <t>2025-01</t>
        </is>
      </c>
      <c r="D101" s="41">
        <f>IFERROR(VLOOKUP(C101,▼売上原票!$A:$P,8,0),0)</f>
        <v/>
      </c>
      <c r="E101" s="12" t="n"/>
      <c r="F101" s="12" t="n"/>
      <c r="G101" s="12" t="n"/>
      <c r="H101" s="12" t="n"/>
      <c r="I101" s="12" t="n"/>
      <c r="J101" s="12" t="n"/>
      <c r="K101" s="13">
        <f>E101+F101+G101+H101+I101+J101</f>
        <v/>
      </c>
      <c r="L101" s="14">
        <f>D101-K101</f>
        <v/>
      </c>
      <c r="M101" s="15">
        <f>IF(D101&lt;&gt;0,L101/D101,0)</f>
        <v/>
      </c>
      <c r="N101" s="42">
        <f>IF(D101=0,"—",IF(M101&gt;=0.25,"◎ 優良",IF(M101&gt;=0.15,"○ 良好",IF(M101&gt;=0.05,"△ 要注意","× 赤字"))))</f>
        <v/>
      </c>
      <c r="O101" s="27" t="inlineStr">
        <is>
          <t>C003一般</t>
        </is>
      </c>
      <c r="P101" s="28">
        <f>IF(D100&lt;&gt;0,D101/D100-1,"")</f>
        <v/>
      </c>
      <c r="Q101" s="46">
        <f>IFERROR(D101/100,0)</f>
        <v/>
      </c>
    </row>
    <row r="102" ht="21" customHeight="1">
      <c r="A102" s="16" t="inlineStr">
        <is>
          <t>614-2</t>
        </is>
      </c>
      <c r="B102" s="25" t="inlineStr">
        <is>
          <t>ENDO</t>
        </is>
      </c>
      <c r="C102" s="40" t="inlineStr">
        <is>
          <t>2025-02</t>
        </is>
      </c>
      <c r="D102" s="41">
        <f>IFERROR(VLOOKUP(C102,▼売上原票!$A:$P,8,0),0)</f>
        <v/>
      </c>
      <c r="E102" s="12" t="n"/>
      <c r="F102" s="12" t="n"/>
      <c r="G102" s="12" t="n"/>
      <c r="H102" s="12" t="n"/>
      <c r="I102" s="12" t="n"/>
      <c r="J102" s="12" t="n"/>
      <c r="K102" s="13">
        <f>E102+F102+G102+H102+I102+J102</f>
        <v/>
      </c>
      <c r="L102" s="14">
        <f>D102-K102</f>
        <v/>
      </c>
      <c r="M102" s="15">
        <f>IF(D102&lt;&gt;0,L102/D102,0)</f>
        <v/>
      </c>
      <c r="N102" s="42">
        <f>IF(D102=0,"—",IF(M102&gt;=0.25,"◎ 優良",IF(M102&gt;=0.15,"○ 良好",IF(M102&gt;=0.05,"△ 要注意","× 赤字"))))</f>
        <v/>
      </c>
      <c r="O102" s="27" t="inlineStr">
        <is>
          <t>C003一般</t>
        </is>
      </c>
      <c r="P102" s="28">
        <f>IF(D101&lt;&gt;0,D102/D101-1,"")</f>
        <v/>
      </c>
      <c r="Q102" s="46">
        <f>IFERROR(D102/100,0)</f>
        <v/>
      </c>
    </row>
    <row r="103" ht="21" customHeight="1">
      <c r="A103" s="16" t="inlineStr">
        <is>
          <t>614-2</t>
        </is>
      </c>
      <c r="B103" s="25" t="inlineStr">
        <is>
          <t>ENDO</t>
        </is>
      </c>
      <c r="C103" s="40" t="inlineStr">
        <is>
          <t>2025-03</t>
        </is>
      </c>
      <c r="D103" s="41">
        <f>IFERROR(VLOOKUP(C103,▼売上原票!$A:$P,8,0),0)</f>
        <v/>
      </c>
      <c r="E103" s="12" t="n"/>
      <c r="F103" s="12" t="n"/>
      <c r="G103" s="12" t="n"/>
      <c r="H103" s="12" t="n"/>
      <c r="I103" s="12" t="n"/>
      <c r="J103" s="12" t="n"/>
      <c r="K103" s="13">
        <f>E103+F103+G103+H103+I103+J103</f>
        <v/>
      </c>
      <c r="L103" s="14">
        <f>D103-K103</f>
        <v/>
      </c>
      <c r="M103" s="15">
        <f>IF(D103&lt;&gt;0,L103/D103,0)</f>
        <v/>
      </c>
      <c r="N103" s="42">
        <f>IF(D103=0,"—",IF(M103&gt;=0.25,"◎ 優良",IF(M103&gt;=0.15,"○ 良好",IF(M103&gt;=0.05,"△ 要注意","× 赤字"))))</f>
        <v/>
      </c>
      <c r="O103" s="27" t="inlineStr">
        <is>
          <t>C003一般</t>
        </is>
      </c>
      <c r="P103" s="28">
        <f>IF(D102&lt;&gt;0,D103/D102-1,"")</f>
        <v/>
      </c>
      <c r="Q103" s="46">
        <f>IFERROR(D103/100,0)</f>
        <v/>
      </c>
    </row>
    <row r="104" ht="21" customHeight="1">
      <c r="A104" s="16" t="inlineStr">
        <is>
          <t>614-2</t>
        </is>
      </c>
      <c r="B104" s="25" t="inlineStr">
        <is>
          <t>ENDO</t>
        </is>
      </c>
      <c r="C104" s="40" t="inlineStr">
        <is>
          <t>2025-04</t>
        </is>
      </c>
      <c r="D104" s="41">
        <f>IFERROR(VLOOKUP(C104,▼売上原票!$A:$P,8,0),0)</f>
        <v/>
      </c>
      <c r="E104" s="12" t="n"/>
      <c r="F104" s="12" t="n"/>
      <c r="G104" s="12" t="n"/>
      <c r="H104" s="12" t="n"/>
      <c r="I104" s="12" t="n"/>
      <c r="J104" s="12" t="n"/>
      <c r="K104" s="13">
        <f>E104+F104+G104+H104+I104+J104</f>
        <v/>
      </c>
      <c r="L104" s="14">
        <f>D104-K104</f>
        <v/>
      </c>
      <c r="M104" s="15">
        <f>IF(D104&lt;&gt;0,L104/D104,0)</f>
        <v/>
      </c>
      <c r="N104" s="42">
        <f>IF(D104=0,"—",IF(M104&gt;=0.25,"◎ 優良",IF(M104&gt;=0.15,"○ 良好",IF(M104&gt;=0.05,"△ 要注意","× 赤字"))))</f>
        <v/>
      </c>
      <c r="O104" s="27" t="inlineStr">
        <is>
          <t>C003一般</t>
        </is>
      </c>
      <c r="P104" s="28">
        <f>IF(D103&lt;&gt;0,D104/D103-1,"")</f>
        <v/>
      </c>
      <c r="Q104" s="46">
        <f>IFERROR(D104/100,0)</f>
        <v/>
      </c>
    </row>
    <row r="105" ht="21" customHeight="1">
      <c r="A105" s="16" t="inlineStr">
        <is>
          <t>614-2</t>
        </is>
      </c>
      <c r="B105" s="25" t="inlineStr">
        <is>
          <t>ENDO</t>
        </is>
      </c>
      <c r="C105" s="40" t="inlineStr">
        <is>
          <t>2025-05</t>
        </is>
      </c>
      <c r="D105" s="41">
        <f>IFERROR(VLOOKUP(C105,▼売上原票!$A:$P,8,0),0)</f>
        <v/>
      </c>
      <c r="E105" s="12" t="n"/>
      <c r="F105" s="12" t="n"/>
      <c r="G105" s="12" t="n"/>
      <c r="H105" s="12" t="n"/>
      <c r="I105" s="12" t="n"/>
      <c r="J105" s="12" t="n"/>
      <c r="K105" s="13">
        <f>E105+F105+G105+H105+I105+J105</f>
        <v/>
      </c>
      <c r="L105" s="14">
        <f>D105-K105</f>
        <v/>
      </c>
      <c r="M105" s="15">
        <f>IF(D105&lt;&gt;0,L105/D105,0)</f>
        <v/>
      </c>
      <c r="N105" s="42">
        <f>IF(D105=0,"—",IF(M105&gt;=0.25,"◎ 優良",IF(M105&gt;=0.15,"○ 良好",IF(M105&gt;=0.05,"△ 要注意","× 赤字"))))</f>
        <v/>
      </c>
      <c r="O105" s="27" t="inlineStr">
        <is>
          <t>C003一般</t>
        </is>
      </c>
      <c r="P105" s="28">
        <f>IF(D104&lt;&gt;0,D105/D104-1,"")</f>
        <v/>
      </c>
      <c r="Q105" s="46">
        <f>IFERROR(D105/100,0)</f>
        <v/>
      </c>
    </row>
    <row r="106" ht="21" customHeight="1">
      <c r="A106" s="16" t="inlineStr">
        <is>
          <t>614-2</t>
        </is>
      </c>
      <c r="B106" s="25" t="inlineStr">
        <is>
          <t>ENDO</t>
        </is>
      </c>
      <c r="C106" s="40" t="inlineStr">
        <is>
          <t>2025-06</t>
        </is>
      </c>
      <c r="D106" s="41">
        <f>IFERROR(VLOOKUP(C106,▼売上原票!$A:$P,8,0),0)</f>
        <v/>
      </c>
      <c r="E106" s="12" t="n"/>
      <c r="F106" s="12" t="n"/>
      <c r="G106" s="12" t="n"/>
      <c r="H106" s="12" t="n"/>
      <c r="I106" s="12" t="n"/>
      <c r="J106" s="12" t="n"/>
      <c r="K106" s="13">
        <f>E106+F106+G106+H106+I106+J106</f>
        <v/>
      </c>
      <c r="L106" s="14">
        <f>D106-K106</f>
        <v/>
      </c>
      <c r="M106" s="15">
        <f>IF(D106&lt;&gt;0,L106/D106,0)</f>
        <v/>
      </c>
      <c r="N106" s="42">
        <f>IF(D106=0,"—",IF(M106&gt;=0.25,"◎ 優良",IF(M106&gt;=0.15,"○ 良好",IF(M106&gt;=0.05,"△ 要注意","× 赤字"))))</f>
        <v/>
      </c>
      <c r="O106" s="27" t="inlineStr">
        <is>
          <t>C003一般</t>
        </is>
      </c>
      <c r="P106" s="28">
        <f>IF(D105&lt;&gt;0,D106/D105-1,"")</f>
        <v/>
      </c>
      <c r="Q106" s="46">
        <f>IFERROR(D106/100,0)</f>
        <v/>
      </c>
    </row>
    <row r="107" ht="21" customHeight="1">
      <c r="A107" s="16" t="inlineStr">
        <is>
          <t>614-2</t>
        </is>
      </c>
      <c r="B107" s="25" t="inlineStr">
        <is>
          <t>ENDO</t>
        </is>
      </c>
      <c r="C107" s="40" t="inlineStr">
        <is>
          <t>2025-07</t>
        </is>
      </c>
      <c r="D107" s="41">
        <f>IFERROR(VLOOKUP(C107,▼売上原票!$A:$P,8,0),0)</f>
        <v/>
      </c>
      <c r="E107" s="12" t="n"/>
      <c r="F107" s="12" t="n"/>
      <c r="G107" s="12" t="n"/>
      <c r="H107" s="12" t="n"/>
      <c r="I107" s="12" t="n"/>
      <c r="J107" s="12" t="n"/>
      <c r="K107" s="13">
        <f>E107+F107+G107+H107+I107+J107</f>
        <v/>
      </c>
      <c r="L107" s="14">
        <f>D107-K107</f>
        <v/>
      </c>
      <c r="M107" s="15">
        <f>IF(D107&lt;&gt;0,L107/D107,0)</f>
        <v/>
      </c>
      <c r="N107" s="42">
        <f>IF(D107=0,"—",IF(M107&gt;=0.25,"◎ 優良",IF(M107&gt;=0.15,"○ 良好",IF(M107&gt;=0.05,"△ 要注意","× 赤字"))))</f>
        <v/>
      </c>
      <c r="O107" s="27" t="inlineStr">
        <is>
          <t>C003一般</t>
        </is>
      </c>
      <c r="P107" s="28">
        <f>IF(D106&lt;&gt;0,D107/D106-1,"")</f>
        <v/>
      </c>
      <c r="Q107" s="46">
        <f>IFERROR(D107/100,0)</f>
        <v/>
      </c>
    </row>
    <row r="108" ht="21" customHeight="1">
      <c r="A108" s="16" t="inlineStr">
        <is>
          <t>614-2</t>
        </is>
      </c>
      <c r="B108" s="25" t="inlineStr">
        <is>
          <t>ENDO</t>
        </is>
      </c>
      <c r="C108" s="40" t="inlineStr">
        <is>
          <t>2025-08</t>
        </is>
      </c>
      <c r="D108" s="41">
        <f>IFERROR(VLOOKUP(C108,▼売上原票!$A:$P,8,0),0)</f>
        <v/>
      </c>
      <c r="E108" s="12" t="n"/>
      <c r="F108" s="12" t="n"/>
      <c r="G108" s="12" t="n"/>
      <c r="H108" s="12" t="n"/>
      <c r="I108" s="12" t="n"/>
      <c r="J108" s="12" t="n"/>
      <c r="K108" s="13">
        <f>E108+F108+G108+H108+I108+J108</f>
        <v/>
      </c>
      <c r="L108" s="14">
        <f>D108-K108</f>
        <v/>
      </c>
      <c r="M108" s="15">
        <f>IF(D108&lt;&gt;0,L108/D108,0)</f>
        <v/>
      </c>
      <c r="N108" s="42">
        <f>IF(D108=0,"—",IF(M108&gt;=0.25,"◎ 優良",IF(M108&gt;=0.15,"○ 良好",IF(M108&gt;=0.05,"△ 要注意","× 赤字"))))</f>
        <v/>
      </c>
      <c r="O108" s="27" t="inlineStr">
        <is>
          <t>C003一般</t>
        </is>
      </c>
      <c r="P108" s="28">
        <f>IF(D107&lt;&gt;0,D108/D107-1,"")</f>
        <v/>
      </c>
      <c r="Q108" s="46">
        <f>IFERROR(D108/100,0)</f>
        <v/>
      </c>
    </row>
    <row r="109" ht="21" customHeight="1">
      <c r="A109" s="16" t="inlineStr">
        <is>
          <t>614-2</t>
        </is>
      </c>
      <c r="B109" s="25" t="inlineStr">
        <is>
          <t>ENDO</t>
        </is>
      </c>
      <c r="C109" s="40" t="inlineStr">
        <is>
          <t>2025-09</t>
        </is>
      </c>
      <c r="D109" s="41">
        <f>IFERROR(VLOOKUP(C109,▼売上原票!$A:$P,8,0),0)</f>
        <v/>
      </c>
      <c r="E109" s="12" t="n"/>
      <c r="F109" s="12" t="n"/>
      <c r="G109" s="12" t="n"/>
      <c r="H109" s="12" t="n"/>
      <c r="I109" s="12" t="n"/>
      <c r="J109" s="12" t="n"/>
      <c r="K109" s="13">
        <f>E109+F109+G109+H109+I109+J109</f>
        <v/>
      </c>
      <c r="L109" s="14">
        <f>D109-K109</f>
        <v/>
      </c>
      <c r="M109" s="15">
        <f>IF(D109&lt;&gt;0,L109/D109,0)</f>
        <v/>
      </c>
      <c r="N109" s="42">
        <f>IF(D109=0,"—",IF(M109&gt;=0.25,"◎ 優良",IF(M109&gt;=0.15,"○ 良好",IF(M109&gt;=0.05,"△ 要注意","× 赤字"))))</f>
        <v/>
      </c>
      <c r="O109" s="27" t="inlineStr">
        <is>
          <t>C003一般</t>
        </is>
      </c>
      <c r="P109" s="28">
        <f>IF(D108&lt;&gt;0,D109/D108-1,"")</f>
        <v/>
      </c>
      <c r="Q109" s="46">
        <f>IFERROR(D109/100,0)</f>
        <v/>
      </c>
    </row>
    <row r="110" ht="21" customHeight="1">
      <c r="A110" s="16" t="inlineStr">
        <is>
          <t>614-2</t>
        </is>
      </c>
      <c r="B110" s="25" t="inlineStr">
        <is>
          <t>ENDO</t>
        </is>
      </c>
      <c r="C110" s="40" t="inlineStr">
        <is>
          <t>2025-10</t>
        </is>
      </c>
      <c r="D110" s="41">
        <f>IFERROR(VLOOKUP(C110,▼売上原票!$A:$P,8,0),0)</f>
        <v/>
      </c>
      <c r="E110" s="12" t="n"/>
      <c r="F110" s="12" t="n"/>
      <c r="G110" s="12" t="n"/>
      <c r="H110" s="12" t="n"/>
      <c r="I110" s="12" t="n"/>
      <c r="J110" s="12" t="n"/>
      <c r="K110" s="13">
        <f>E110+F110+G110+H110+I110+J110</f>
        <v/>
      </c>
      <c r="L110" s="14">
        <f>D110-K110</f>
        <v/>
      </c>
      <c r="M110" s="15">
        <f>IF(D110&lt;&gt;0,L110/D110,0)</f>
        <v/>
      </c>
      <c r="N110" s="42">
        <f>IF(D110=0,"—",IF(M110&gt;=0.25,"◎ 優良",IF(M110&gt;=0.15,"○ 良好",IF(M110&gt;=0.05,"△ 要注意","× 赤字"))))</f>
        <v/>
      </c>
      <c r="O110" s="27" t="inlineStr">
        <is>
          <t>C003一般</t>
        </is>
      </c>
      <c r="P110" s="28">
        <f>IF(D109&lt;&gt;0,D110/D109-1,"")</f>
        <v/>
      </c>
      <c r="Q110" s="46">
        <f>IFERROR(D110/100,0)</f>
        <v/>
      </c>
    </row>
    <row r="111" ht="21" customHeight="1">
      <c r="A111" s="16" t="inlineStr">
        <is>
          <t>614-2</t>
        </is>
      </c>
      <c r="B111" s="25" t="inlineStr">
        <is>
          <t>ENDO</t>
        </is>
      </c>
      <c r="C111" s="40" t="inlineStr">
        <is>
          <t>2025-11</t>
        </is>
      </c>
      <c r="D111" s="41">
        <f>IFERROR(VLOOKUP(C111,▼売上原票!$A:$P,8,0),0)</f>
        <v/>
      </c>
      <c r="E111" s="12" t="n"/>
      <c r="F111" s="12" t="n"/>
      <c r="G111" s="12" t="n"/>
      <c r="H111" s="12" t="n"/>
      <c r="I111" s="12" t="n"/>
      <c r="J111" s="12" t="n"/>
      <c r="K111" s="13">
        <f>E111+F111+G111+H111+I111+J111</f>
        <v/>
      </c>
      <c r="L111" s="14">
        <f>D111-K111</f>
        <v/>
      </c>
      <c r="M111" s="15">
        <f>IF(D111&lt;&gt;0,L111/D111,0)</f>
        <v/>
      </c>
      <c r="N111" s="42">
        <f>IF(D111=0,"—",IF(M111&gt;=0.25,"◎ 優良",IF(M111&gt;=0.15,"○ 良好",IF(M111&gt;=0.05,"△ 要注意","× 赤字"))))</f>
        <v/>
      </c>
      <c r="O111" s="27" t="inlineStr">
        <is>
          <t>C003一般</t>
        </is>
      </c>
      <c r="P111" s="28">
        <f>IF(D110&lt;&gt;0,D111/D110-1,"")</f>
        <v/>
      </c>
      <c r="Q111" s="46">
        <f>IFERROR(D111/100,0)</f>
        <v/>
      </c>
    </row>
    <row r="112" ht="5" customHeight="1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</row>
    <row r="113" ht="21" customHeight="1">
      <c r="A113" s="16" t="inlineStr">
        <is>
          <t>614-3</t>
        </is>
      </c>
      <c r="B113" s="25" t="inlineStr">
        <is>
          <t>現金</t>
        </is>
      </c>
      <c r="C113" s="40" t="inlineStr">
        <is>
          <t>2024-07</t>
        </is>
      </c>
      <c r="D113" s="41">
        <f>IFERROR(VLOOKUP(C113,▼売上原票!$A:$P,9,0),0)</f>
        <v/>
      </c>
      <c r="E113" s="12" t="n"/>
      <c r="F113" s="12" t="n"/>
      <c r="G113" s="12" t="n"/>
      <c r="H113" s="12" t="n"/>
      <c r="I113" s="12" t="n"/>
      <c r="J113" s="12" t="n"/>
      <c r="K113" s="13">
        <f>E113+F113+G113+H113+I113+J113</f>
        <v/>
      </c>
      <c r="L113" s="14">
        <f>D113-K113</f>
        <v/>
      </c>
      <c r="M113" s="15">
        <f>IF(D113&lt;&gt;0,L113/D113,0)</f>
        <v/>
      </c>
      <c r="N113" s="42">
        <f>IF(D113=0,"—",IF(M113&gt;=0.25,"◎ 優良",IF(M113&gt;=0.15,"○ 良好",IF(M113&gt;=0.05,"△ 要注意","× 赤字"))))</f>
        <v/>
      </c>
      <c r="O113" s="27" t="inlineStr">
        <is>
          <t>C003一般</t>
        </is>
      </c>
      <c r="P113" s="27" t="inlineStr">
        <is>
          <t>—</t>
        </is>
      </c>
      <c r="Q113" s="46">
        <f>IFERROR(D113/100,0)</f>
        <v/>
      </c>
    </row>
    <row r="114" ht="21" customHeight="1">
      <c r="A114" s="16" t="inlineStr">
        <is>
          <t>614-3</t>
        </is>
      </c>
      <c r="B114" s="25" t="inlineStr">
        <is>
          <t>現金</t>
        </is>
      </c>
      <c r="C114" s="40" t="inlineStr">
        <is>
          <t>2024-08</t>
        </is>
      </c>
      <c r="D114" s="41">
        <f>IFERROR(VLOOKUP(C114,▼売上原票!$A:$P,9,0),0)</f>
        <v/>
      </c>
      <c r="E114" s="12" t="n"/>
      <c r="F114" s="12" t="n"/>
      <c r="G114" s="12" t="n"/>
      <c r="H114" s="12" t="n"/>
      <c r="I114" s="12" t="n"/>
      <c r="J114" s="12" t="n"/>
      <c r="K114" s="13">
        <f>E114+F114+G114+H114+I114+J114</f>
        <v/>
      </c>
      <c r="L114" s="14">
        <f>D114-K114</f>
        <v/>
      </c>
      <c r="M114" s="15">
        <f>IF(D114&lt;&gt;0,L114/D114,0)</f>
        <v/>
      </c>
      <c r="N114" s="42">
        <f>IF(D114=0,"—",IF(M114&gt;=0.25,"◎ 優良",IF(M114&gt;=0.15,"○ 良好",IF(M114&gt;=0.05,"△ 要注意","× 赤字"))))</f>
        <v/>
      </c>
      <c r="O114" s="27" t="inlineStr">
        <is>
          <t>C003一般</t>
        </is>
      </c>
      <c r="P114" s="28">
        <f>IF(D113&lt;&gt;0,D114/D113-1,"")</f>
        <v/>
      </c>
      <c r="Q114" s="46">
        <f>IFERROR(D114/100,0)</f>
        <v/>
      </c>
    </row>
    <row r="115" ht="21" customHeight="1">
      <c r="A115" s="16" t="inlineStr">
        <is>
          <t>614-3</t>
        </is>
      </c>
      <c r="B115" s="25" t="inlineStr">
        <is>
          <t>現金</t>
        </is>
      </c>
      <c r="C115" s="40" t="inlineStr">
        <is>
          <t>2024-09</t>
        </is>
      </c>
      <c r="D115" s="41">
        <f>IFERROR(VLOOKUP(C115,▼売上原票!$A:$P,9,0),0)</f>
        <v/>
      </c>
      <c r="E115" s="12" t="n"/>
      <c r="F115" s="12" t="n"/>
      <c r="G115" s="12" t="n"/>
      <c r="H115" s="12" t="n"/>
      <c r="I115" s="12" t="n"/>
      <c r="J115" s="12" t="n"/>
      <c r="K115" s="13">
        <f>E115+F115+G115+H115+I115+J115</f>
        <v/>
      </c>
      <c r="L115" s="14">
        <f>D115-K115</f>
        <v/>
      </c>
      <c r="M115" s="15">
        <f>IF(D115&lt;&gt;0,L115/D115,0)</f>
        <v/>
      </c>
      <c r="N115" s="42">
        <f>IF(D115=0,"—",IF(M115&gt;=0.25,"◎ 優良",IF(M115&gt;=0.15,"○ 良好",IF(M115&gt;=0.05,"△ 要注意","× 赤字"))))</f>
        <v/>
      </c>
      <c r="O115" s="27" t="inlineStr">
        <is>
          <t>C003一般</t>
        </is>
      </c>
      <c r="P115" s="28">
        <f>IF(D114&lt;&gt;0,D115/D114-1,"")</f>
        <v/>
      </c>
      <c r="Q115" s="46">
        <f>IFERROR(D115/100,0)</f>
        <v/>
      </c>
    </row>
    <row r="116" ht="21" customHeight="1">
      <c r="A116" s="16" t="inlineStr">
        <is>
          <t>614-3</t>
        </is>
      </c>
      <c r="B116" s="25" t="inlineStr">
        <is>
          <t>現金</t>
        </is>
      </c>
      <c r="C116" s="40" t="inlineStr">
        <is>
          <t>2024-10</t>
        </is>
      </c>
      <c r="D116" s="41">
        <f>IFERROR(VLOOKUP(C116,▼売上原票!$A:$P,9,0),0)</f>
        <v/>
      </c>
      <c r="E116" s="12" t="n"/>
      <c r="F116" s="12" t="n"/>
      <c r="G116" s="12" t="n"/>
      <c r="H116" s="12" t="n"/>
      <c r="I116" s="12" t="n"/>
      <c r="J116" s="12" t="n"/>
      <c r="K116" s="13">
        <f>E116+F116+G116+H116+I116+J116</f>
        <v/>
      </c>
      <c r="L116" s="14">
        <f>D116-K116</f>
        <v/>
      </c>
      <c r="M116" s="15">
        <f>IF(D116&lt;&gt;0,L116/D116,0)</f>
        <v/>
      </c>
      <c r="N116" s="42">
        <f>IF(D116=0,"—",IF(M116&gt;=0.25,"◎ 優良",IF(M116&gt;=0.15,"○ 良好",IF(M116&gt;=0.05,"△ 要注意","× 赤字"))))</f>
        <v/>
      </c>
      <c r="O116" s="27" t="inlineStr">
        <is>
          <t>C003一般</t>
        </is>
      </c>
      <c r="P116" s="28">
        <f>IF(D115&lt;&gt;0,D116/D115-1,"")</f>
        <v/>
      </c>
      <c r="Q116" s="46">
        <f>IFERROR(D116/100,0)</f>
        <v/>
      </c>
    </row>
    <row r="117" ht="21" customHeight="1">
      <c r="A117" s="16" t="inlineStr">
        <is>
          <t>614-3</t>
        </is>
      </c>
      <c r="B117" s="25" t="inlineStr">
        <is>
          <t>現金</t>
        </is>
      </c>
      <c r="C117" s="40" t="inlineStr">
        <is>
          <t>2024-11</t>
        </is>
      </c>
      <c r="D117" s="41">
        <f>IFERROR(VLOOKUP(C117,▼売上原票!$A:$P,9,0),0)</f>
        <v/>
      </c>
      <c r="E117" s="12" t="n"/>
      <c r="F117" s="12" t="n"/>
      <c r="G117" s="12" t="n"/>
      <c r="H117" s="12" t="n"/>
      <c r="I117" s="12" t="n"/>
      <c r="J117" s="12" t="n"/>
      <c r="K117" s="13">
        <f>E117+F117+G117+H117+I117+J117</f>
        <v/>
      </c>
      <c r="L117" s="14">
        <f>D117-K117</f>
        <v/>
      </c>
      <c r="M117" s="15">
        <f>IF(D117&lt;&gt;0,L117/D117,0)</f>
        <v/>
      </c>
      <c r="N117" s="42">
        <f>IF(D117=0,"—",IF(M117&gt;=0.25,"◎ 優良",IF(M117&gt;=0.15,"○ 良好",IF(M117&gt;=0.05,"△ 要注意","× 赤字"))))</f>
        <v/>
      </c>
      <c r="O117" s="27" t="inlineStr">
        <is>
          <t>C003一般</t>
        </is>
      </c>
      <c r="P117" s="28">
        <f>IF(D116&lt;&gt;0,D117/D116-1,"")</f>
        <v/>
      </c>
      <c r="Q117" s="46">
        <f>IFERROR(D117/100,0)</f>
        <v/>
      </c>
    </row>
    <row r="118" ht="21" customHeight="1">
      <c r="A118" s="16" t="inlineStr">
        <is>
          <t>614-3</t>
        </is>
      </c>
      <c r="B118" s="25" t="inlineStr">
        <is>
          <t>現金</t>
        </is>
      </c>
      <c r="C118" s="40" t="inlineStr">
        <is>
          <t>2024-12</t>
        </is>
      </c>
      <c r="D118" s="41">
        <f>IFERROR(VLOOKUP(C118,▼売上原票!$A:$P,9,0),0)</f>
        <v/>
      </c>
      <c r="E118" s="12" t="n"/>
      <c r="F118" s="12" t="n"/>
      <c r="G118" s="12" t="n"/>
      <c r="H118" s="12" t="n"/>
      <c r="I118" s="12" t="n"/>
      <c r="J118" s="12" t="n"/>
      <c r="K118" s="13">
        <f>E118+F118+G118+H118+I118+J118</f>
        <v/>
      </c>
      <c r="L118" s="14">
        <f>D118-K118</f>
        <v/>
      </c>
      <c r="M118" s="15">
        <f>IF(D118&lt;&gt;0,L118/D118,0)</f>
        <v/>
      </c>
      <c r="N118" s="42">
        <f>IF(D118=0,"—",IF(M118&gt;=0.25,"◎ 優良",IF(M118&gt;=0.15,"○ 良好",IF(M118&gt;=0.05,"△ 要注意","× 赤字"))))</f>
        <v/>
      </c>
      <c r="O118" s="27" t="inlineStr">
        <is>
          <t>C003一般</t>
        </is>
      </c>
      <c r="P118" s="28">
        <f>IF(D117&lt;&gt;0,D118/D117-1,"")</f>
        <v/>
      </c>
      <c r="Q118" s="46">
        <f>IFERROR(D118/100,0)</f>
        <v/>
      </c>
    </row>
    <row r="119" ht="21" customHeight="1">
      <c r="A119" s="16" t="inlineStr">
        <is>
          <t>614-3</t>
        </is>
      </c>
      <c r="B119" s="25" t="inlineStr">
        <is>
          <t>現金</t>
        </is>
      </c>
      <c r="C119" s="40" t="inlineStr">
        <is>
          <t>2025-01</t>
        </is>
      </c>
      <c r="D119" s="41">
        <f>IFERROR(VLOOKUP(C119,▼売上原票!$A:$P,9,0),0)</f>
        <v/>
      </c>
      <c r="E119" s="12" t="n"/>
      <c r="F119" s="12" t="n"/>
      <c r="G119" s="12" t="n"/>
      <c r="H119" s="12" t="n"/>
      <c r="I119" s="12" t="n"/>
      <c r="J119" s="12" t="n"/>
      <c r="K119" s="13">
        <f>E119+F119+G119+H119+I119+J119</f>
        <v/>
      </c>
      <c r="L119" s="14">
        <f>D119-K119</f>
        <v/>
      </c>
      <c r="M119" s="15">
        <f>IF(D119&lt;&gt;0,L119/D119,0)</f>
        <v/>
      </c>
      <c r="N119" s="42">
        <f>IF(D119=0,"—",IF(M119&gt;=0.25,"◎ 優良",IF(M119&gt;=0.15,"○ 良好",IF(M119&gt;=0.05,"△ 要注意","× 赤字"))))</f>
        <v/>
      </c>
      <c r="O119" s="27" t="inlineStr">
        <is>
          <t>C003一般</t>
        </is>
      </c>
      <c r="P119" s="28">
        <f>IF(D118&lt;&gt;0,D119/D118-1,"")</f>
        <v/>
      </c>
      <c r="Q119" s="46">
        <f>IFERROR(D119/100,0)</f>
        <v/>
      </c>
    </row>
    <row r="120" ht="21" customHeight="1">
      <c r="A120" s="16" t="inlineStr">
        <is>
          <t>614-3</t>
        </is>
      </c>
      <c r="B120" s="25" t="inlineStr">
        <is>
          <t>現金</t>
        </is>
      </c>
      <c r="C120" s="40" t="inlineStr">
        <is>
          <t>2025-02</t>
        </is>
      </c>
      <c r="D120" s="41">
        <f>IFERROR(VLOOKUP(C120,▼売上原票!$A:$P,9,0),0)</f>
        <v/>
      </c>
      <c r="E120" s="12" t="n"/>
      <c r="F120" s="12" t="n"/>
      <c r="G120" s="12" t="n"/>
      <c r="H120" s="12" t="n"/>
      <c r="I120" s="12" t="n"/>
      <c r="J120" s="12" t="n"/>
      <c r="K120" s="13">
        <f>E120+F120+G120+H120+I120+J120</f>
        <v/>
      </c>
      <c r="L120" s="14">
        <f>D120-K120</f>
        <v/>
      </c>
      <c r="M120" s="15">
        <f>IF(D120&lt;&gt;0,L120/D120,0)</f>
        <v/>
      </c>
      <c r="N120" s="42">
        <f>IF(D120=0,"—",IF(M120&gt;=0.25,"◎ 優良",IF(M120&gt;=0.15,"○ 良好",IF(M120&gt;=0.05,"△ 要注意","× 赤字"))))</f>
        <v/>
      </c>
      <c r="O120" s="27" t="inlineStr">
        <is>
          <t>C003一般</t>
        </is>
      </c>
      <c r="P120" s="28">
        <f>IF(D119&lt;&gt;0,D120/D119-1,"")</f>
        <v/>
      </c>
      <c r="Q120" s="46">
        <f>IFERROR(D120/100,0)</f>
        <v/>
      </c>
    </row>
    <row r="121" ht="21" customHeight="1">
      <c r="A121" s="16" t="inlineStr">
        <is>
          <t>614-3</t>
        </is>
      </c>
      <c r="B121" s="25" t="inlineStr">
        <is>
          <t>現金</t>
        </is>
      </c>
      <c r="C121" s="40" t="inlineStr">
        <is>
          <t>2025-03</t>
        </is>
      </c>
      <c r="D121" s="41">
        <f>IFERROR(VLOOKUP(C121,▼売上原票!$A:$P,9,0),0)</f>
        <v/>
      </c>
      <c r="E121" s="12" t="n"/>
      <c r="F121" s="12" t="n"/>
      <c r="G121" s="12" t="n"/>
      <c r="H121" s="12" t="n"/>
      <c r="I121" s="12" t="n"/>
      <c r="J121" s="12" t="n"/>
      <c r="K121" s="13">
        <f>E121+F121+G121+H121+I121+J121</f>
        <v/>
      </c>
      <c r="L121" s="14">
        <f>D121-K121</f>
        <v/>
      </c>
      <c r="M121" s="15">
        <f>IF(D121&lt;&gt;0,L121/D121,0)</f>
        <v/>
      </c>
      <c r="N121" s="42">
        <f>IF(D121=0,"—",IF(M121&gt;=0.25,"◎ 優良",IF(M121&gt;=0.15,"○ 良好",IF(M121&gt;=0.05,"△ 要注意","× 赤字"))))</f>
        <v/>
      </c>
      <c r="O121" s="27" t="inlineStr">
        <is>
          <t>C003一般</t>
        </is>
      </c>
      <c r="P121" s="28">
        <f>IF(D120&lt;&gt;0,D121/D120-1,"")</f>
        <v/>
      </c>
      <c r="Q121" s="46">
        <f>IFERROR(D121/100,0)</f>
        <v/>
      </c>
    </row>
    <row r="122" ht="21" customHeight="1">
      <c r="A122" s="16" t="inlineStr">
        <is>
          <t>614-3</t>
        </is>
      </c>
      <c r="B122" s="25" t="inlineStr">
        <is>
          <t>現金</t>
        </is>
      </c>
      <c r="C122" s="40" t="inlineStr">
        <is>
          <t>2025-04</t>
        </is>
      </c>
      <c r="D122" s="41">
        <f>IFERROR(VLOOKUP(C122,▼売上原票!$A:$P,9,0),0)</f>
        <v/>
      </c>
      <c r="E122" s="12" t="n"/>
      <c r="F122" s="12" t="n"/>
      <c r="G122" s="12" t="n"/>
      <c r="H122" s="12" t="n"/>
      <c r="I122" s="12" t="n"/>
      <c r="J122" s="12" t="n"/>
      <c r="K122" s="13">
        <f>E122+F122+G122+H122+I122+J122</f>
        <v/>
      </c>
      <c r="L122" s="14">
        <f>D122-K122</f>
        <v/>
      </c>
      <c r="M122" s="15">
        <f>IF(D122&lt;&gt;0,L122/D122,0)</f>
        <v/>
      </c>
      <c r="N122" s="42">
        <f>IF(D122=0,"—",IF(M122&gt;=0.25,"◎ 優良",IF(M122&gt;=0.15,"○ 良好",IF(M122&gt;=0.05,"△ 要注意","× 赤字"))))</f>
        <v/>
      </c>
      <c r="O122" s="27" t="inlineStr">
        <is>
          <t>C003一般</t>
        </is>
      </c>
      <c r="P122" s="28">
        <f>IF(D121&lt;&gt;0,D122/D121-1,"")</f>
        <v/>
      </c>
      <c r="Q122" s="46">
        <f>IFERROR(D122/100,0)</f>
        <v/>
      </c>
    </row>
    <row r="123" ht="21" customHeight="1">
      <c r="A123" s="16" t="inlineStr">
        <is>
          <t>614-3</t>
        </is>
      </c>
      <c r="B123" s="25" t="inlineStr">
        <is>
          <t>現金</t>
        </is>
      </c>
      <c r="C123" s="40" t="inlineStr">
        <is>
          <t>2025-05</t>
        </is>
      </c>
      <c r="D123" s="41">
        <f>IFERROR(VLOOKUP(C123,▼売上原票!$A:$P,9,0),0)</f>
        <v/>
      </c>
      <c r="E123" s="12" t="n"/>
      <c r="F123" s="12" t="n"/>
      <c r="G123" s="12" t="n"/>
      <c r="H123" s="12" t="n"/>
      <c r="I123" s="12" t="n"/>
      <c r="J123" s="12" t="n"/>
      <c r="K123" s="13">
        <f>E123+F123+G123+H123+I123+J123</f>
        <v/>
      </c>
      <c r="L123" s="14">
        <f>D123-K123</f>
        <v/>
      </c>
      <c r="M123" s="15">
        <f>IF(D123&lt;&gt;0,L123/D123,0)</f>
        <v/>
      </c>
      <c r="N123" s="42">
        <f>IF(D123=0,"—",IF(M123&gt;=0.25,"◎ 優良",IF(M123&gt;=0.15,"○ 良好",IF(M123&gt;=0.05,"△ 要注意","× 赤字"))))</f>
        <v/>
      </c>
      <c r="O123" s="27" t="inlineStr">
        <is>
          <t>C003一般</t>
        </is>
      </c>
      <c r="P123" s="28">
        <f>IF(D122&lt;&gt;0,D123/D122-1,"")</f>
        <v/>
      </c>
      <c r="Q123" s="46">
        <f>IFERROR(D123/100,0)</f>
        <v/>
      </c>
    </row>
    <row r="124" ht="21" customHeight="1">
      <c r="A124" s="16" t="inlineStr">
        <is>
          <t>614-3</t>
        </is>
      </c>
      <c r="B124" s="25" t="inlineStr">
        <is>
          <t>現金</t>
        </is>
      </c>
      <c r="C124" s="40" t="inlineStr">
        <is>
          <t>2025-06</t>
        </is>
      </c>
      <c r="D124" s="41">
        <f>IFERROR(VLOOKUP(C124,▼売上原票!$A:$P,9,0),0)</f>
        <v/>
      </c>
      <c r="E124" s="12" t="n"/>
      <c r="F124" s="12" t="n"/>
      <c r="G124" s="12" t="n"/>
      <c r="H124" s="12" t="n"/>
      <c r="I124" s="12" t="n"/>
      <c r="J124" s="12" t="n"/>
      <c r="K124" s="13">
        <f>E124+F124+G124+H124+I124+J124</f>
        <v/>
      </c>
      <c r="L124" s="14">
        <f>D124-K124</f>
        <v/>
      </c>
      <c r="M124" s="15">
        <f>IF(D124&lt;&gt;0,L124/D124,0)</f>
        <v/>
      </c>
      <c r="N124" s="42">
        <f>IF(D124=0,"—",IF(M124&gt;=0.25,"◎ 優良",IF(M124&gt;=0.15,"○ 良好",IF(M124&gt;=0.05,"△ 要注意","× 赤字"))))</f>
        <v/>
      </c>
      <c r="O124" s="27" t="inlineStr">
        <is>
          <t>C003一般</t>
        </is>
      </c>
      <c r="P124" s="28">
        <f>IF(D123&lt;&gt;0,D124/D123-1,"")</f>
        <v/>
      </c>
      <c r="Q124" s="46">
        <f>IFERROR(D124/100,0)</f>
        <v/>
      </c>
    </row>
    <row r="125" ht="21" customHeight="1">
      <c r="A125" s="16" t="inlineStr">
        <is>
          <t>614-3</t>
        </is>
      </c>
      <c r="B125" s="25" t="inlineStr">
        <is>
          <t>現金</t>
        </is>
      </c>
      <c r="C125" s="40" t="inlineStr">
        <is>
          <t>2025-07</t>
        </is>
      </c>
      <c r="D125" s="41">
        <f>IFERROR(VLOOKUP(C125,▼売上原票!$A:$P,9,0),0)</f>
        <v/>
      </c>
      <c r="E125" s="12" t="n"/>
      <c r="F125" s="12" t="n"/>
      <c r="G125" s="12" t="n"/>
      <c r="H125" s="12" t="n"/>
      <c r="I125" s="12" t="n"/>
      <c r="J125" s="12" t="n"/>
      <c r="K125" s="13">
        <f>E125+F125+G125+H125+I125+J125</f>
        <v/>
      </c>
      <c r="L125" s="14">
        <f>D125-K125</f>
        <v/>
      </c>
      <c r="M125" s="15">
        <f>IF(D125&lt;&gt;0,L125/D125,0)</f>
        <v/>
      </c>
      <c r="N125" s="42">
        <f>IF(D125=0,"—",IF(M125&gt;=0.25,"◎ 優良",IF(M125&gt;=0.15,"○ 良好",IF(M125&gt;=0.05,"△ 要注意","× 赤字"))))</f>
        <v/>
      </c>
      <c r="O125" s="27" t="inlineStr">
        <is>
          <t>C003一般</t>
        </is>
      </c>
      <c r="P125" s="28">
        <f>IF(D124&lt;&gt;0,D125/D124-1,"")</f>
        <v/>
      </c>
      <c r="Q125" s="46">
        <f>IFERROR(D125/100,0)</f>
        <v/>
      </c>
    </row>
    <row r="126" ht="21" customHeight="1">
      <c r="A126" s="16" t="inlineStr">
        <is>
          <t>614-3</t>
        </is>
      </c>
      <c r="B126" s="25" t="inlineStr">
        <is>
          <t>現金</t>
        </is>
      </c>
      <c r="C126" s="40" t="inlineStr">
        <is>
          <t>2025-08</t>
        </is>
      </c>
      <c r="D126" s="41">
        <f>IFERROR(VLOOKUP(C126,▼売上原票!$A:$P,9,0),0)</f>
        <v/>
      </c>
      <c r="E126" s="12" t="n"/>
      <c r="F126" s="12" t="n"/>
      <c r="G126" s="12" t="n"/>
      <c r="H126" s="12" t="n"/>
      <c r="I126" s="12" t="n"/>
      <c r="J126" s="12" t="n"/>
      <c r="K126" s="13">
        <f>E126+F126+G126+H126+I126+J126</f>
        <v/>
      </c>
      <c r="L126" s="14">
        <f>D126-K126</f>
        <v/>
      </c>
      <c r="M126" s="15">
        <f>IF(D126&lt;&gt;0,L126/D126,0)</f>
        <v/>
      </c>
      <c r="N126" s="42">
        <f>IF(D126=0,"—",IF(M126&gt;=0.25,"◎ 優良",IF(M126&gt;=0.15,"○ 良好",IF(M126&gt;=0.05,"△ 要注意","× 赤字"))))</f>
        <v/>
      </c>
      <c r="O126" s="27" t="inlineStr">
        <is>
          <t>C003一般</t>
        </is>
      </c>
      <c r="P126" s="28">
        <f>IF(D125&lt;&gt;0,D126/D125-1,"")</f>
        <v/>
      </c>
      <c r="Q126" s="46">
        <f>IFERROR(D126/100,0)</f>
        <v/>
      </c>
    </row>
    <row r="127" ht="21" customHeight="1">
      <c r="A127" s="16" t="inlineStr">
        <is>
          <t>614-3</t>
        </is>
      </c>
      <c r="B127" s="25" t="inlineStr">
        <is>
          <t>現金</t>
        </is>
      </c>
      <c r="C127" s="40" t="inlineStr">
        <is>
          <t>2025-09</t>
        </is>
      </c>
      <c r="D127" s="41">
        <f>IFERROR(VLOOKUP(C127,▼売上原票!$A:$P,9,0),0)</f>
        <v/>
      </c>
      <c r="E127" s="12" t="n"/>
      <c r="F127" s="12" t="n"/>
      <c r="G127" s="12" t="n"/>
      <c r="H127" s="12" t="n"/>
      <c r="I127" s="12" t="n"/>
      <c r="J127" s="12" t="n"/>
      <c r="K127" s="13">
        <f>E127+F127+G127+H127+I127+J127</f>
        <v/>
      </c>
      <c r="L127" s="14">
        <f>D127-K127</f>
        <v/>
      </c>
      <c r="M127" s="15">
        <f>IF(D127&lt;&gt;0,L127/D127,0)</f>
        <v/>
      </c>
      <c r="N127" s="42">
        <f>IF(D127=0,"—",IF(M127&gt;=0.25,"◎ 優良",IF(M127&gt;=0.15,"○ 良好",IF(M127&gt;=0.05,"△ 要注意","× 赤字"))))</f>
        <v/>
      </c>
      <c r="O127" s="27" t="inlineStr">
        <is>
          <t>C003一般</t>
        </is>
      </c>
      <c r="P127" s="28">
        <f>IF(D126&lt;&gt;0,D127/D126-1,"")</f>
        <v/>
      </c>
      <c r="Q127" s="46">
        <f>IFERROR(D127/100,0)</f>
        <v/>
      </c>
    </row>
    <row r="128" ht="21" customHeight="1">
      <c r="A128" s="16" t="inlineStr">
        <is>
          <t>614-3</t>
        </is>
      </c>
      <c r="B128" s="25" t="inlineStr">
        <is>
          <t>現金</t>
        </is>
      </c>
      <c r="C128" s="40" t="inlineStr">
        <is>
          <t>2025-10</t>
        </is>
      </c>
      <c r="D128" s="41">
        <f>IFERROR(VLOOKUP(C128,▼売上原票!$A:$P,9,0),0)</f>
        <v/>
      </c>
      <c r="E128" s="12" t="n"/>
      <c r="F128" s="12" t="n"/>
      <c r="G128" s="12" t="n"/>
      <c r="H128" s="12" t="n"/>
      <c r="I128" s="12" t="n"/>
      <c r="J128" s="12" t="n"/>
      <c r="K128" s="13">
        <f>E128+F128+G128+H128+I128+J128</f>
        <v/>
      </c>
      <c r="L128" s="14">
        <f>D128-K128</f>
        <v/>
      </c>
      <c r="M128" s="15">
        <f>IF(D128&lt;&gt;0,L128/D128,0)</f>
        <v/>
      </c>
      <c r="N128" s="42">
        <f>IF(D128=0,"—",IF(M128&gt;=0.25,"◎ 優良",IF(M128&gt;=0.15,"○ 良好",IF(M128&gt;=0.05,"△ 要注意","× 赤字"))))</f>
        <v/>
      </c>
      <c r="O128" s="27" t="inlineStr">
        <is>
          <t>C003一般</t>
        </is>
      </c>
      <c r="P128" s="28">
        <f>IF(D127&lt;&gt;0,D128/D127-1,"")</f>
        <v/>
      </c>
      <c r="Q128" s="46">
        <f>IFERROR(D128/100,0)</f>
        <v/>
      </c>
    </row>
    <row r="129" ht="21" customHeight="1">
      <c r="A129" s="16" t="inlineStr">
        <is>
          <t>614-3</t>
        </is>
      </c>
      <c r="B129" s="25" t="inlineStr">
        <is>
          <t>現金</t>
        </is>
      </c>
      <c r="C129" s="40" t="inlineStr">
        <is>
          <t>2025-11</t>
        </is>
      </c>
      <c r="D129" s="41">
        <f>IFERROR(VLOOKUP(C129,▼売上原票!$A:$P,9,0),0)</f>
        <v/>
      </c>
      <c r="E129" s="12" t="n"/>
      <c r="F129" s="12" t="n"/>
      <c r="G129" s="12" t="n"/>
      <c r="H129" s="12" t="n"/>
      <c r="I129" s="12" t="n"/>
      <c r="J129" s="12" t="n"/>
      <c r="K129" s="13">
        <f>E129+F129+G129+H129+I129+J129</f>
        <v/>
      </c>
      <c r="L129" s="14">
        <f>D129-K129</f>
        <v/>
      </c>
      <c r="M129" s="15">
        <f>IF(D129&lt;&gt;0,L129/D129,0)</f>
        <v/>
      </c>
      <c r="N129" s="42">
        <f>IF(D129=0,"—",IF(M129&gt;=0.25,"◎ 優良",IF(M129&gt;=0.15,"○ 良好",IF(M129&gt;=0.05,"△ 要注意","× 赤字"))))</f>
        <v/>
      </c>
      <c r="O129" s="27" t="inlineStr">
        <is>
          <t>C003一般</t>
        </is>
      </c>
      <c r="P129" s="28">
        <f>IF(D128&lt;&gt;0,D129/D128-1,"")</f>
        <v/>
      </c>
      <c r="Q129" s="46">
        <f>IFERROR(D129/100,0)</f>
        <v/>
      </c>
    </row>
    <row r="130" ht="5" customHeight="1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</row>
    <row r="131" ht="21" customHeight="1">
      <c r="A131" s="7" t="inlineStr">
        <is>
          <t>615-1</t>
        </is>
      </c>
      <c r="B131" s="8" t="inlineStr">
        <is>
          <t>板橋</t>
        </is>
      </c>
      <c r="C131" s="40" t="inlineStr">
        <is>
          <t>2024-07</t>
        </is>
      </c>
      <c r="D131" s="41">
        <f>IFERROR(VLOOKUP(C131,▼売上原票!$A:$P,10,0),0)</f>
        <v/>
      </c>
      <c r="E131" s="32">
        <f>SUMPRODUCT((▼従業員マスター!$A$6:$A$300="板橋")*(▼従業員マスター!$G$6:$G$300="直接")*▼従業員マスター!$F$6:$F$300)</f>
        <v/>
      </c>
      <c r="F131" s="12" t="n"/>
      <c r="G131" s="12" t="n"/>
      <c r="H131" s="12" t="n"/>
      <c r="I131" s="12" t="n"/>
      <c r="J131" s="12" t="n"/>
      <c r="K131" s="13">
        <f>E131+F131+G131+H131+I131+J131</f>
        <v/>
      </c>
      <c r="L131" s="14">
        <f>D131-K131</f>
        <v/>
      </c>
      <c r="M131" s="15">
        <f>IF(D131&lt;&gt;0,L131/D131,0)</f>
        <v/>
      </c>
      <c r="N131" s="42">
        <f>IF(D131=0,"—",IF(M131&gt;=0.25,"◎ 優良",IF(M131&gt;=0.15,"○ 良好",IF(M131&gt;=0.05,"△ 要注意","× 赤字"))))</f>
        <v/>
      </c>
      <c r="O131" s="17" t="inlineStr">
        <is>
          <t>C001東急</t>
        </is>
      </c>
      <c r="P131" s="17" t="inlineStr">
        <is>
          <t>—</t>
        </is>
      </c>
      <c r="Q131" s="43">
        <f>IFERROR(D131/100,0)</f>
        <v/>
      </c>
    </row>
    <row r="132" ht="21" customHeight="1">
      <c r="A132" s="7" t="inlineStr">
        <is>
          <t>615-1</t>
        </is>
      </c>
      <c r="B132" s="8" t="inlineStr">
        <is>
          <t>板橋</t>
        </is>
      </c>
      <c r="C132" s="40" t="inlineStr">
        <is>
          <t>2024-08</t>
        </is>
      </c>
      <c r="D132" s="41">
        <f>IFERROR(VLOOKUP(C132,▼売上原票!$A:$P,10,0),0)</f>
        <v/>
      </c>
      <c r="E132" s="32">
        <f>SUMPRODUCT((▼従業員マスター!$A$6:$A$300="板橋")*(▼従業員マスター!$G$6:$G$300="直接")*▼従業員マスター!$F$6:$F$300)</f>
        <v/>
      </c>
      <c r="F132" s="12" t="n"/>
      <c r="G132" s="12" t="n"/>
      <c r="H132" s="12" t="n"/>
      <c r="I132" s="12" t="n"/>
      <c r="J132" s="12" t="n"/>
      <c r="K132" s="13">
        <f>E132+F132+G132+H132+I132+J132</f>
        <v/>
      </c>
      <c r="L132" s="14">
        <f>D132-K132</f>
        <v/>
      </c>
      <c r="M132" s="15">
        <f>IF(D132&lt;&gt;0,L132/D132,0)</f>
        <v/>
      </c>
      <c r="N132" s="42">
        <f>IF(D132=0,"—",IF(M132&gt;=0.25,"◎ 優良",IF(M132&gt;=0.15,"○ 良好",IF(M132&gt;=0.05,"△ 要注意","× 赤字"))))</f>
        <v/>
      </c>
      <c r="O132" s="17" t="inlineStr">
        <is>
          <t>C001東急</t>
        </is>
      </c>
      <c r="P132" s="18">
        <f>IF(D131&lt;&gt;0,D132/D131-1,"")</f>
        <v/>
      </c>
      <c r="Q132" s="43">
        <f>IFERROR(D132/100,0)</f>
        <v/>
      </c>
    </row>
    <row r="133" ht="21" customHeight="1">
      <c r="A133" s="7" t="inlineStr">
        <is>
          <t>615-1</t>
        </is>
      </c>
      <c r="B133" s="8" t="inlineStr">
        <is>
          <t>板橋</t>
        </is>
      </c>
      <c r="C133" s="40" t="inlineStr">
        <is>
          <t>2024-09</t>
        </is>
      </c>
      <c r="D133" s="41">
        <f>IFERROR(VLOOKUP(C133,▼売上原票!$A:$P,10,0),0)</f>
        <v/>
      </c>
      <c r="E133" s="32">
        <f>SUMPRODUCT((▼従業員マスター!$A$6:$A$300="板橋")*(▼従業員マスター!$G$6:$G$300="直接")*▼従業員マスター!$F$6:$F$300)</f>
        <v/>
      </c>
      <c r="F133" s="12" t="n"/>
      <c r="G133" s="12" t="n"/>
      <c r="H133" s="12" t="n"/>
      <c r="I133" s="12" t="n"/>
      <c r="J133" s="12" t="n"/>
      <c r="K133" s="13">
        <f>E133+F133+G133+H133+I133+J133</f>
        <v/>
      </c>
      <c r="L133" s="14">
        <f>D133-K133</f>
        <v/>
      </c>
      <c r="M133" s="15">
        <f>IF(D133&lt;&gt;0,L133/D133,0)</f>
        <v/>
      </c>
      <c r="N133" s="42">
        <f>IF(D133=0,"—",IF(M133&gt;=0.25,"◎ 優良",IF(M133&gt;=0.15,"○ 良好",IF(M133&gt;=0.05,"△ 要注意","× 赤字"))))</f>
        <v/>
      </c>
      <c r="O133" s="17" t="inlineStr">
        <is>
          <t>C001東急</t>
        </is>
      </c>
      <c r="P133" s="18">
        <f>IF(D132&lt;&gt;0,D133/D132-1,"")</f>
        <v/>
      </c>
      <c r="Q133" s="43">
        <f>IFERROR(D133/100,0)</f>
        <v/>
      </c>
    </row>
    <row r="134" ht="21" customHeight="1">
      <c r="A134" s="7" t="inlineStr">
        <is>
          <t>615-1</t>
        </is>
      </c>
      <c r="B134" s="8" t="inlineStr">
        <is>
          <t>板橋</t>
        </is>
      </c>
      <c r="C134" s="40" t="inlineStr">
        <is>
          <t>2024-10</t>
        </is>
      </c>
      <c r="D134" s="41">
        <f>IFERROR(VLOOKUP(C134,▼売上原票!$A:$P,10,0),0)</f>
        <v/>
      </c>
      <c r="E134" s="32">
        <f>SUMPRODUCT((▼従業員マスター!$A$6:$A$300="板橋")*(▼従業員マスター!$G$6:$G$300="直接")*▼従業員マスター!$F$6:$F$300)</f>
        <v/>
      </c>
      <c r="F134" s="12" t="n"/>
      <c r="G134" s="12" t="n"/>
      <c r="H134" s="12" t="n"/>
      <c r="I134" s="12" t="n"/>
      <c r="J134" s="12" t="n"/>
      <c r="K134" s="13">
        <f>E134+F134+G134+H134+I134+J134</f>
        <v/>
      </c>
      <c r="L134" s="14">
        <f>D134-K134</f>
        <v/>
      </c>
      <c r="M134" s="15">
        <f>IF(D134&lt;&gt;0,L134/D134,0)</f>
        <v/>
      </c>
      <c r="N134" s="42">
        <f>IF(D134=0,"—",IF(M134&gt;=0.25,"◎ 優良",IF(M134&gt;=0.15,"○ 良好",IF(M134&gt;=0.05,"△ 要注意","× 赤字"))))</f>
        <v/>
      </c>
      <c r="O134" s="17" t="inlineStr">
        <is>
          <t>C001東急</t>
        </is>
      </c>
      <c r="P134" s="18">
        <f>IF(D133&lt;&gt;0,D134/D133-1,"")</f>
        <v/>
      </c>
      <c r="Q134" s="43">
        <f>IFERROR(D134/100,0)</f>
        <v/>
      </c>
    </row>
    <row r="135" ht="21" customHeight="1">
      <c r="A135" s="7" t="inlineStr">
        <is>
          <t>615-1</t>
        </is>
      </c>
      <c r="B135" s="8" t="inlineStr">
        <is>
          <t>板橋</t>
        </is>
      </c>
      <c r="C135" s="40" t="inlineStr">
        <is>
          <t>2024-11</t>
        </is>
      </c>
      <c r="D135" s="41">
        <f>IFERROR(VLOOKUP(C135,▼売上原票!$A:$P,10,0),0)</f>
        <v/>
      </c>
      <c r="E135" s="32">
        <f>SUMPRODUCT((▼従業員マスター!$A$6:$A$300="板橋")*(▼従業員マスター!$G$6:$G$300="直接")*▼従業員マスター!$F$6:$F$300)</f>
        <v/>
      </c>
      <c r="F135" s="12" t="n"/>
      <c r="G135" s="12" t="n"/>
      <c r="H135" s="12" t="n"/>
      <c r="I135" s="12" t="n"/>
      <c r="J135" s="12" t="n"/>
      <c r="K135" s="13">
        <f>E135+F135+G135+H135+I135+J135</f>
        <v/>
      </c>
      <c r="L135" s="14">
        <f>D135-K135</f>
        <v/>
      </c>
      <c r="M135" s="15">
        <f>IF(D135&lt;&gt;0,L135/D135,0)</f>
        <v/>
      </c>
      <c r="N135" s="42">
        <f>IF(D135=0,"—",IF(M135&gt;=0.25,"◎ 優良",IF(M135&gt;=0.15,"○ 良好",IF(M135&gt;=0.05,"△ 要注意","× 赤字"))))</f>
        <v/>
      </c>
      <c r="O135" s="17" t="inlineStr">
        <is>
          <t>C001東急</t>
        </is>
      </c>
      <c r="P135" s="18">
        <f>IF(D134&lt;&gt;0,D135/D134-1,"")</f>
        <v/>
      </c>
      <c r="Q135" s="43">
        <f>IFERROR(D135/100,0)</f>
        <v/>
      </c>
    </row>
    <row r="136" ht="21" customHeight="1">
      <c r="A136" s="7" t="inlineStr">
        <is>
          <t>615-1</t>
        </is>
      </c>
      <c r="B136" s="8" t="inlineStr">
        <is>
          <t>板橋</t>
        </is>
      </c>
      <c r="C136" s="40" t="inlineStr">
        <is>
          <t>2024-12</t>
        </is>
      </c>
      <c r="D136" s="41">
        <f>IFERROR(VLOOKUP(C136,▼売上原票!$A:$P,10,0),0)</f>
        <v/>
      </c>
      <c r="E136" s="32">
        <f>SUMPRODUCT((▼従業員マスター!$A$6:$A$300="板橋")*(▼従業員マスター!$G$6:$G$300="直接")*▼従業員マスター!$F$6:$F$300)</f>
        <v/>
      </c>
      <c r="F136" s="12" t="n"/>
      <c r="G136" s="12" t="n"/>
      <c r="H136" s="12" t="n"/>
      <c r="I136" s="12" t="n"/>
      <c r="J136" s="12" t="n"/>
      <c r="K136" s="13">
        <f>E136+F136+G136+H136+I136+J136</f>
        <v/>
      </c>
      <c r="L136" s="14">
        <f>D136-K136</f>
        <v/>
      </c>
      <c r="M136" s="15">
        <f>IF(D136&lt;&gt;0,L136/D136,0)</f>
        <v/>
      </c>
      <c r="N136" s="42">
        <f>IF(D136=0,"—",IF(M136&gt;=0.25,"◎ 優良",IF(M136&gt;=0.15,"○ 良好",IF(M136&gt;=0.05,"△ 要注意","× 赤字"))))</f>
        <v/>
      </c>
      <c r="O136" s="17" t="inlineStr">
        <is>
          <t>C001東急</t>
        </is>
      </c>
      <c r="P136" s="18">
        <f>IF(D135&lt;&gt;0,D136/D135-1,"")</f>
        <v/>
      </c>
      <c r="Q136" s="43">
        <f>IFERROR(D136/100,0)</f>
        <v/>
      </c>
    </row>
    <row r="137" ht="21" customHeight="1">
      <c r="A137" s="7" t="inlineStr">
        <is>
          <t>615-1</t>
        </is>
      </c>
      <c r="B137" s="8" t="inlineStr">
        <is>
          <t>板橋</t>
        </is>
      </c>
      <c r="C137" s="40" t="inlineStr">
        <is>
          <t>2025-01</t>
        </is>
      </c>
      <c r="D137" s="41">
        <f>IFERROR(VLOOKUP(C137,▼売上原票!$A:$P,10,0),0)</f>
        <v/>
      </c>
      <c r="E137" s="32">
        <f>SUMPRODUCT((▼従業員マスター!$A$6:$A$300="板橋")*(▼従業員マスター!$G$6:$G$300="直接")*▼従業員マスター!$F$6:$F$300)</f>
        <v/>
      </c>
      <c r="F137" s="12" t="n"/>
      <c r="G137" s="12" t="n"/>
      <c r="H137" s="12" t="n"/>
      <c r="I137" s="12" t="n"/>
      <c r="J137" s="12" t="n"/>
      <c r="K137" s="13">
        <f>E137+F137+G137+H137+I137+J137</f>
        <v/>
      </c>
      <c r="L137" s="14">
        <f>D137-K137</f>
        <v/>
      </c>
      <c r="M137" s="15">
        <f>IF(D137&lt;&gt;0,L137/D137,0)</f>
        <v/>
      </c>
      <c r="N137" s="42">
        <f>IF(D137=0,"—",IF(M137&gt;=0.25,"◎ 優良",IF(M137&gt;=0.15,"○ 良好",IF(M137&gt;=0.05,"△ 要注意","× 赤字"))))</f>
        <v/>
      </c>
      <c r="O137" s="17" t="inlineStr">
        <is>
          <t>C001東急</t>
        </is>
      </c>
      <c r="P137" s="18">
        <f>IF(D136&lt;&gt;0,D137/D136-1,"")</f>
        <v/>
      </c>
      <c r="Q137" s="43">
        <f>IFERROR(D137/100,0)</f>
        <v/>
      </c>
    </row>
    <row r="138" ht="21" customHeight="1">
      <c r="A138" s="7" t="inlineStr">
        <is>
          <t>615-1</t>
        </is>
      </c>
      <c r="B138" s="8" t="inlineStr">
        <is>
          <t>板橋</t>
        </is>
      </c>
      <c r="C138" s="40" t="inlineStr">
        <is>
          <t>2025-02</t>
        </is>
      </c>
      <c r="D138" s="41">
        <f>IFERROR(VLOOKUP(C138,▼売上原票!$A:$P,10,0),0)</f>
        <v/>
      </c>
      <c r="E138" s="32">
        <f>SUMPRODUCT((▼従業員マスター!$A$6:$A$300="板橋")*(▼従業員マスター!$G$6:$G$300="直接")*▼従業員マスター!$F$6:$F$300)</f>
        <v/>
      </c>
      <c r="F138" s="12" t="n"/>
      <c r="G138" s="12" t="n"/>
      <c r="H138" s="12" t="n"/>
      <c r="I138" s="12" t="n"/>
      <c r="J138" s="12" t="n"/>
      <c r="K138" s="13">
        <f>E138+F138+G138+H138+I138+J138</f>
        <v/>
      </c>
      <c r="L138" s="14">
        <f>D138-K138</f>
        <v/>
      </c>
      <c r="M138" s="15">
        <f>IF(D138&lt;&gt;0,L138/D138,0)</f>
        <v/>
      </c>
      <c r="N138" s="42">
        <f>IF(D138=0,"—",IF(M138&gt;=0.25,"◎ 優良",IF(M138&gt;=0.15,"○ 良好",IF(M138&gt;=0.05,"△ 要注意","× 赤字"))))</f>
        <v/>
      </c>
      <c r="O138" s="17" t="inlineStr">
        <is>
          <t>C001東急</t>
        </is>
      </c>
      <c r="P138" s="18">
        <f>IF(D137&lt;&gt;0,D138/D137-1,"")</f>
        <v/>
      </c>
      <c r="Q138" s="43">
        <f>IFERROR(D138/100,0)</f>
        <v/>
      </c>
    </row>
    <row r="139" ht="21" customHeight="1">
      <c r="A139" s="7" t="inlineStr">
        <is>
          <t>615-1</t>
        </is>
      </c>
      <c r="B139" s="8" t="inlineStr">
        <is>
          <t>板橋</t>
        </is>
      </c>
      <c r="C139" s="40" t="inlineStr">
        <is>
          <t>2025-03</t>
        </is>
      </c>
      <c r="D139" s="41">
        <f>IFERROR(VLOOKUP(C139,▼売上原票!$A:$P,10,0),0)</f>
        <v/>
      </c>
      <c r="E139" s="32">
        <f>SUMPRODUCT((▼従業員マスター!$A$6:$A$300="板橋")*(▼従業員マスター!$G$6:$G$300="直接")*▼従業員マスター!$F$6:$F$300)</f>
        <v/>
      </c>
      <c r="F139" s="12" t="n"/>
      <c r="G139" s="12" t="n"/>
      <c r="H139" s="12" t="n"/>
      <c r="I139" s="12" t="n"/>
      <c r="J139" s="12" t="n"/>
      <c r="K139" s="13">
        <f>E139+F139+G139+H139+I139+J139</f>
        <v/>
      </c>
      <c r="L139" s="14">
        <f>D139-K139</f>
        <v/>
      </c>
      <c r="M139" s="15">
        <f>IF(D139&lt;&gt;0,L139/D139,0)</f>
        <v/>
      </c>
      <c r="N139" s="42">
        <f>IF(D139=0,"—",IF(M139&gt;=0.25,"◎ 優良",IF(M139&gt;=0.15,"○ 良好",IF(M139&gt;=0.05,"△ 要注意","× 赤字"))))</f>
        <v/>
      </c>
      <c r="O139" s="17" t="inlineStr">
        <is>
          <t>C001東急</t>
        </is>
      </c>
      <c r="P139" s="18">
        <f>IF(D138&lt;&gt;0,D139/D138-1,"")</f>
        <v/>
      </c>
      <c r="Q139" s="43">
        <f>IFERROR(D139/100,0)</f>
        <v/>
      </c>
    </row>
    <row r="140" ht="21" customHeight="1">
      <c r="A140" s="7" t="inlineStr">
        <is>
          <t>615-1</t>
        </is>
      </c>
      <c r="B140" s="8" t="inlineStr">
        <is>
          <t>板橋</t>
        </is>
      </c>
      <c r="C140" s="40" t="inlineStr">
        <is>
          <t>2025-04</t>
        </is>
      </c>
      <c r="D140" s="41">
        <f>IFERROR(VLOOKUP(C140,▼売上原票!$A:$P,10,0),0)</f>
        <v/>
      </c>
      <c r="E140" s="32">
        <f>SUMPRODUCT((▼従業員マスター!$A$6:$A$300="板橋")*(▼従業員マスター!$G$6:$G$300="直接")*▼従業員マスター!$F$6:$F$300)</f>
        <v/>
      </c>
      <c r="F140" s="12" t="n"/>
      <c r="G140" s="12" t="n"/>
      <c r="H140" s="12" t="n"/>
      <c r="I140" s="12" t="n"/>
      <c r="J140" s="12" t="n"/>
      <c r="K140" s="13">
        <f>E140+F140+G140+H140+I140+J140</f>
        <v/>
      </c>
      <c r="L140" s="14">
        <f>D140-K140</f>
        <v/>
      </c>
      <c r="M140" s="15">
        <f>IF(D140&lt;&gt;0,L140/D140,0)</f>
        <v/>
      </c>
      <c r="N140" s="42">
        <f>IF(D140=0,"—",IF(M140&gt;=0.25,"◎ 優良",IF(M140&gt;=0.15,"○ 良好",IF(M140&gt;=0.05,"△ 要注意","× 赤字"))))</f>
        <v/>
      </c>
      <c r="O140" s="17" t="inlineStr">
        <is>
          <t>C001東急</t>
        </is>
      </c>
      <c r="P140" s="18">
        <f>IF(D139&lt;&gt;0,D140/D139-1,"")</f>
        <v/>
      </c>
      <c r="Q140" s="43">
        <f>IFERROR(D140/100,0)</f>
        <v/>
      </c>
    </row>
    <row r="141" ht="21" customHeight="1">
      <c r="A141" s="7" t="inlineStr">
        <is>
          <t>615-1</t>
        </is>
      </c>
      <c r="B141" s="8" t="inlineStr">
        <is>
          <t>板橋</t>
        </is>
      </c>
      <c r="C141" s="40" t="inlineStr">
        <is>
          <t>2025-05</t>
        </is>
      </c>
      <c r="D141" s="41">
        <f>IFERROR(VLOOKUP(C141,▼売上原票!$A:$P,10,0),0)</f>
        <v/>
      </c>
      <c r="E141" s="32">
        <f>SUMPRODUCT((▼従業員マスター!$A$6:$A$300="板橋")*(▼従業員マスター!$G$6:$G$300="直接")*▼従業員マスター!$F$6:$F$300)</f>
        <v/>
      </c>
      <c r="F141" s="12" t="n"/>
      <c r="G141" s="12" t="n"/>
      <c r="H141" s="12" t="n"/>
      <c r="I141" s="12" t="n"/>
      <c r="J141" s="12" t="n"/>
      <c r="K141" s="13">
        <f>E141+F141+G141+H141+I141+J141</f>
        <v/>
      </c>
      <c r="L141" s="14">
        <f>D141-K141</f>
        <v/>
      </c>
      <c r="M141" s="15">
        <f>IF(D141&lt;&gt;0,L141/D141,0)</f>
        <v/>
      </c>
      <c r="N141" s="42">
        <f>IF(D141=0,"—",IF(M141&gt;=0.25,"◎ 優良",IF(M141&gt;=0.15,"○ 良好",IF(M141&gt;=0.05,"△ 要注意","× 赤字"))))</f>
        <v/>
      </c>
      <c r="O141" s="17" t="inlineStr">
        <is>
          <t>C001東急</t>
        </is>
      </c>
      <c r="P141" s="18">
        <f>IF(D140&lt;&gt;0,D141/D140-1,"")</f>
        <v/>
      </c>
      <c r="Q141" s="43">
        <f>IFERROR(D141/100,0)</f>
        <v/>
      </c>
    </row>
    <row r="142" ht="21" customHeight="1">
      <c r="A142" s="7" t="inlineStr">
        <is>
          <t>615-1</t>
        </is>
      </c>
      <c r="B142" s="8" t="inlineStr">
        <is>
          <t>板橋</t>
        </is>
      </c>
      <c r="C142" s="40" t="inlineStr">
        <is>
          <t>2025-06</t>
        </is>
      </c>
      <c r="D142" s="41">
        <f>IFERROR(VLOOKUP(C142,▼売上原票!$A:$P,10,0),0)</f>
        <v/>
      </c>
      <c r="E142" s="32">
        <f>SUMPRODUCT((▼従業員マスター!$A$6:$A$300="板橋")*(▼従業員マスター!$G$6:$G$300="直接")*▼従業員マスター!$F$6:$F$300)</f>
        <v/>
      </c>
      <c r="F142" s="12" t="n"/>
      <c r="G142" s="12" t="n"/>
      <c r="H142" s="12" t="n"/>
      <c r="I142" s="12" t="n"/>
      <c r="J142" s="12" t="n"/>
      <c r="K142" s="13">
        <f>E142+F142+G142+H142+I142+J142</f>
        <v/>
      </c>
      <c r="L142" s="14">
        <f>D142-K142</f>
        <v/>
      </c>
      <c r="M142" s="15">
        <f>IF(D142&lt;&gt;0,L142/D142,0)</f>
        <v/>
      </c>
      <c r="N142" s="42">
        <f>IF(D142=0,"—",IF(M142&gt;=0.25,"◎ 優良",IF(M142&gt;=0.15,"○ 良好",IF(M142&gt;=0.05,"△ 要注意","× 赤字"))))</f>
        <v/>
      </c>
      <c r="O142" s="17" t="inlineStr">
        <is>
          <t>C001東急</t>
        </is>
      </c>
      <c r="P142" s="18">
        <f>IF(D141&lt;&gt;0,D142/D141-1,"")</f>
        <v/>
      </c>
      <c r="Q142" s="43">
        <f>IFERROR(D142/100,0)</f>
        <v/>
      </c>
    </row>
    <row r="143" ht="21" customHeight="1">
      <c r="A143" s="7" t="inlineStr">
        <is>
          <t>615-1</t>
        </is>
      </c>
      <c r="B143" s="8" t="inlineStr">
        <is>
          <t>板橋</t>
        </is>
      </c>
      <c r="C143" s="40" t="inlineStr">
        <is>
          <t>2025-07</t>
        </is>
      </c>
      <c r="D143" s="41">
        <f>IFERROR(VLOOKUP(C143,▼売上原票!$A:$P,10,0),0)</f>
        <v/>
      </c>
      <c r="E143" s="32">
        <f>SUMPRODUCT((▼従業員マスター!$A$6:$A$300="板橋")*(▼従業員マスター!$G$6:$G$300="直接")*▼従業員マスター!$F$6:$F$300)</f>
        <v/>
      </c>
      <c r="F143" s="12" t="n"/>
      <c r="G143" s="12" t="n"/>
      <c r="H143" s="12" t="n"/>
      <c r="I143" s="12" t="n"/>
      <c r="J143" s="12" t="n"/>
      <c r="K143" s="13">
        <f>E143+F143+G143+H143+I143+J143</f>
        <v/>
      </c>
      <c r="L143" s="14">
        <f>D143-K143</f>
        <v/>
      </c>
      <c r="M143" s="15">
        <f>IF(D143&lt;&gt;0,L143/D143,0)</f>
        <v/>
      </c>
      <c r="N143" s="42">
        <f>IF(D143=0,"—",IF(M143&gt;=0.25,"◎ 優良",IF(M143&gt;=0.15,"○ 良好",IF(M143&gt;=0.05,"△ 要注意","× 赤字"))))</f>
        <v/>
      </c>
      <c r="O143" s="17" t="inlineStr">
        <is>
          <t>C001東急</t>
        </is>
      </c>
      <c r="P143" s="18">
        <f>IF(D142&lt;&gt;0,D143/D142-1,"")</f>
        <v/>
      </c>
      <c r="Q143" s="43">
        <f>IFERROR(D143/100,0)</f>
        <v/>
      </c>
    </row>
    <row r="144" ht="21" customHeight="1">
      <c r="A144" s="7" t="inlineStr">
        <is>
          <t>615-1</t>
        </is>
      </c>
      <c r="B144" s="8" t="inlineStr">
        <is>
          <t>板橋</t>
        </is>
      </c>
      <c r="C144" s="40" t="inlineStr">
        <is>
          <t>2025-08</t>
        </is>
      </c>
      <c r="D144" s="41">
        <f>IFERROR(VLOOKUP(C144,▼売上原票!$A:$P,10,0),0)</f>
        <v/>
      </c>
      <c r="E144" s="32">
        <f>SUMPRODUCT((▼従業員マスター!$A$6:$A$300="板橋")*(▼従業員マスター!$G$6:$G$300="直接")*▼従業員マスター!$F$6:$F$300)</f>
        <v/>
      </c>
      <c r="F144" s="12" t="n"/>
      <c r="G144" s="12" t="n"/>
      <c r="H144" s="12" t="n"/>
      <c r="I144" s="12" t="n"/>
      <c r="J144" s="12" t="n"/>
      <c r="K144" s="13">
        <f>E144+F144+G144+H144+I144+J144</f>
        <v/>
      </c>
      <c r="L144" s="14">
        <f>D144-K144</f>
        <v/>
      </c>
      <c r="M144" s="15">
        <f>IF(D144&lt;&gt;0,L144/D144,0)</f>
        <v/>
      </c>
      <c r="N144" s="42">
        <f>IF(D144=0,"—",IF(M144&gt;=0.25,"◎ 優良",IF(M144&gt;=0.15,"○ 良好",IF(M144&gt;=0.05,"△ 要注意","× 赤字"))))</f>
        <v/>
      </c>
      <c r="O144" s="17" t="inlineStr">
        <is>
          <t>C001東急</t>
        </is>
      </c>
      <c r="P144" s="18">
        <f>IF(D143&lt;&gt;0,D144/D143-1,"")</f>
        <v/>
      </c>
      <c r="Q144" s="43">
        <f>IFERROR(D144/100,0)</f>
        <v/>
      </c>
    </row>
    <row r="145" ht="21" customHeight="1">
      <c r="A145" s="7" t="inlineStr">
        <is>
          <t>615-1</t>
        </is>
      </c>
      <c r="B145" s="8" t="inlineStr">
        <is>
          <t>板橋</t>
        </is>
      </c>
      <c r="C145" s="40" t="inlineStr">
        <is>
          <t>2025-09</t>
        </is>
      </c>
      <c r="D145" s="41">
        <f>IFERROR(VLOOKUP(C145,▼売上原票!$A:$P,10,0),0)</f>
        <v/>
      </c>
      <c r="E145" s="32">
        <f>SUMPRODUCT((▼従業員マスター!$A$6:$A$300="板橋")*(▼従業員マスター!$G$6:$G$300="直接")*▼従業員マスター!$F$6:$F$300)</f>
        <v/>
      </c>
      <c r="F145" s="12" t="n"/>
      <c r="G145" s="12" t="n"/>
      <c r="H145" s="12" t="n"/>
      <c r="I145" s="12" t="n"/>
      <c r="J145" s="12" t="n"/>
      <c r="K145" s="13">
        <f>E145+F145+G145+H145+I145+J145</f>
        <v/>
      </c>
      <c r="L145" s="14">
        <f>D145-K145</f>
        <v/>
      </c>
      <c r="M145" s="15">
        <f>IF(D145&lt;&gt;0,L145/D145,0)</f>
        <v/>
      </c>
      <c r="N145" s="42">
        <f>IF(D145=0,"—",IF(M145&gt;=0.25,"◎ 優良",IF(M145&gt;=0.15,"○ 良好",IF(M145&gt;=0.05,"△ 要注意","× 赤字"))))</f>
        <v/>
      </c>
      <c r="O145" s="17" t="inlineStr">
        <is>
          <t>C001東急</t>
        </is>
      </c>
      <c r="P145" s="18">
        <f>IF(D144&lt;&gt;0,D145/D144-1,"")</f>
        <v/>
      </c>
      <c r="Q145" s="43">
        <f>IFERROR(D145/100,0)</f>
        <v/>
      </c>
    </row>
    <row r="146" ht="21" customHeight="1">
      <c r="A146" s="7" t="inlineStr">
        <is>
          <t>615-1</t>
        </is>
      </c>
      <c r="B146" s="8" t="inlineStr">
        <is>
          <t>板橋</t>
        </is>
      </c>
      <c r="C146" s="40" t="inlineStr">
        <is>
          <t>2025-10</t>
        </is>
      </c>
      <c r="D146" s="41">
        <f>IFERROR(VLOOKUP(C146,▼売上原票!$A:$P,10,0),0)</f>
        <v/>
      </c>
      <c r="E146" s="32">
        <f>SUMPRODUCT((▼従業員マスター!$A$6:$A$300="板橋")*(▼従業員マスター!$G$6:$G$300="直接")*▼従業員マスター!$F$6:$F$300)</f>
        <v/>
      </c>
      <c r="F146" s="12" t="n"/>
      <c r="G146" s="12" t="n"/>
      <c r="H146" s="12" t="n"/>
      <c r="I146" s="12" t="n"/>
      <c r="J146" s="12" t="n"/>
      <c r="K146" s="13">
        <f>E146+F146+G146+H146+I146+J146</f>
        <v/>
      </c>
      <c r="L146" s="14">
        <f>D146-K146</f>
        <v/>
      </c>
      <c r="M146" s="15">
        <f>IF(D146&lt;&gt;0,L146/D146,0)</f>
        <v/>
      </c>
      <c r="N146" s="42">
        <f>IF(D146=0,"—",IF(M146&gt;=0.25,"◎ 優良",IF(M146&gt;=0.15,"○ 良好",IF(M146&gt;=0.05,"△ 要注意","× 赤字"))))</f>
        <v/>
      </c>
      <c r="O146" s="17" t="inlineStr">
        <is>
          <t>C001東急</t>
        </is>
      </c>
      <c r="P146" s="18">
        <f>IF(D145&lt;&gt;0,D146/D145-1,"")</f>
        <v/>
      </c>
      <c r="Q146" s="43">
        <f>IFERROR(D146/100,0)</f>
        <v/>
      </c>
    </row>
    <row r="147" ht="21" customHeight="1">
      <c r="A147" s="7" t="inlineStr">
        <is>
          <t>615-1</t>
        </is>
      </c>
      <c r="B147" s="8" t="inlineStr">
        <is>
          <t>板橋</t>
        </is>
      </c>
      <c r="C147" s="40" t="inlineStr">
        <is>
          <t>2025-11</t>
        </is>
      </c>
      <c r="D147" s="41">
        <f>IFERROR(VLOOKUP(C147,▼売上原票!$A:$P,10,0),0)</f>
        <v/>
      </c>
      <c r="E147" s="32">
        <f>SUMPRODUCT((▼従業員マスター!$A$6:$A$300="板橋")*(▼従業員マスター!$G$6:$G$300="直接")*▼従業員マスター!$F$6:$F$300)</f>
        <v/>
      </c>
      <c r="F147" s="12" t="n"/>
      <c r="G147" s="12" t="n"/>
      <c r="H147" s="12" t="n"/>
      <c r="I147" s="12" t="n"/>
      <c r="J147" s="12" t="n"/>
      <c r="K147" s="13">
        <f>E147+F147+G147+H147+I147+J147</f>
        <v/>
      </c>
      <c r="L147" s="14">
        <f>D147-K147</f>
        <v/>
      </c>
      <c r="M147" s="15">
        <f>IF(D147&lt;&gt;0,L147/D147,0)</f>
        <v/>
      </c>
      <c r="N147" s="42">
        <f>IF(D147=0,"—",IF(M147&gt;=0.25,"◎ 優良",IF(M147&gt;=0.15,"○ 良好",IF(M147&gt;=0.05,"△ 要注意","× 赤字"))))</f>
        <v/>
      </c>
      <c r="O147" s="17" t="inlineStr">
        <is>
          <t>C001東急</t>
        </is>
      </c>
      <c r="P147" s="18">
        <f>IF(D146&lt;&gt;0,D147/D146-1,"")</f>
        <v/>
      </c>
      <c r="Q147" s="43">
        <f>IFERROR(D147/100,0)</f>
        <v/>
      </c>
    </row>
    <row r="148" ht="5" customHeight="1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</row>
    <row r="149" ht="21" customHeight="1">
      <c r="A149" s="7" t="inlineStr">
        <is>
          <t>615-2</t>
        </is>
      </c>
      <c r="B149" s="8" t="inlineStr">
        <is>
          <t>新横浜</t>
        </is>
      </c>
      <c r="C149" s="40" t="inlineStr">
        <is>
          <t>2024-07</t>
        </is>
      </c>
      <c r="D149" s="41">
        <f>IFERROR(VLOOKUP(C149,▼売上原票!$A:$P,11,0),0)</f>
        <v/>
      </c>
      <c r="E149" s="32">
        <f>SUMPRODUCT((▼従業員マスター!$A$6:$A$300="新横浜")*(▼従業員マスター!$G$6:$G$300="直接")*▼従業員マスター!$F$6:$F$300)</f>
        <v/>
      </c>
      <c r="F149" s="12" t="n"/>
      <c r="G149" s="12" t="n"/>
      <c r="H149" s="12" t="n"/>
      <c r="I149" s="12" t="n"/>
      <c r="J149" s="12" t="n"/>
      <c r="K149" s="13">
        <f>E149+F149+G149+H149+I149+J149</f>
        <v/>
      </c>
      <c r="L149" s="14">
        <f>D149-K149</f>
        <v/>
      </c>
      <c r="M149" s="15">
        <f>IF(D149&lt;&gt;0,L149/D149,0)</f>
        <v/>
      </c>
      <c r="N149" s="42">
        <f>IF(D149=0,"—",IF(M149&gt;=0.25,"◎ 優良",IF(M149&gt;=0.15,"○ 良好",IF(M149&gt;=0.05,"△ 要注意","× 赤字"))))</f>
        <v/>
      </c>
      <c r="O149" s="17" t="inlineStr">
        <is>
          <t>C003一般</t>
        </is>
      </c>
      <c r="P149" s="17" t="inlineStr">
        <is>
          <t>—</t>
        </is>
      </c>
      <c r="Q149" s="43">
        <f>IFERROR(D149/100,0)</f>
        <v/>
      </c>
    </row>
    <row r="150" ht="21" customHeight="1">
      <c r="A150" s="7" t="inlineStr">
        <is>
          <t>615-2</t>
        </is>
      </c>
      <c r="B150" s="8" t="inlineStr">
        <is>
          <t>新横浜</t>
        </is>
      </c>
      <c r="C150" s="40" t="inlineStr">
        <is>
          <t>2024-08</t>
        </is>
      </c>
      <c r="D150" s="41">
        <f>IFERROR(VLOOKUP(C150,▼売上原票!$A:$P,11,0),0)</f>
        <v/>
      </c>
      <c r="E150" s="32">
        <f>SUMPRODUCT((▼従業員マスター!$A$6:$A$300="新横浜")*(▼従業員マスター!$G$6:$G$300="直接")*▼従業員マスター!$F$6:$F$300)</f>
        <v/>
      </c>
      <c r="F150" s="12" t="n"/>
      <c r="G150" s="12" t="n"/>
      <c r="H150" s="12" t="n"/>
      <c r="I150" s="12" t="n"/>
      <c r="J150" s="12" t="n"/>
      <c r="K150" s="13">
        <f>E150+F150+G150+H150+I150+J150</f>
        <v/>
      </c>
      <c r="L150" s="14">
        <f>D150-K150</f>
        <v/>
      </c>
      <c r="M150" s="15">
        <f>IF(D150&lt;&gt;0,L150/D150,0)</f>
        <v/>
      </c>
      <c r="N150" s="42">
        <f>IF(D150=0,"—",IF(M150&gt;=0.25,"◎ 優良",IF(M150&gt;=0.15,"○ 良好",IF(M150&gt;=0.05,"△ 要注意","× 赤字"))))</f>
        <v/>
      </c>
      <c r="O150" s="17" t="inlineStr">
        <is>
          <t>C003一般</t>
        </is>
      </c>
      <c r="P150" s="18">
        <f>IF(D149&lt;&gt;0,D150/D149-1,"")</f>
        <v/>
      </c>
      <c r="Q150" s="43">
        <f>IFERROR(D150/100,0)</f>
        <v/>
      </c>
    </row>
    <row r="151" ht="21" customHeight="1">
      <c r="A151" s="7" t="inlineStr">
        <is>
          <t>615-2</t>
        </is>
      </c>
      <c r="B151" s="8" t="inlineStr">
        <is>
          <t>新横浜</t>
        </is>
      </c>
      <c r="C151" s="40" t="inlineStr">
        <is>
          <t>2024-09</t>
        </is>
      </c>
      <c r="D151" s="41">
        <f>IFERROR(VLOOKUP(C151,▼売上原票!$A:$P,11,0),0)</f>
        <v/>
      </c>
      <c r="E151" s="32">
        <f>SUMPRODUCT((▼従業員マスター!$A$6:$A$300="新横浜")*(▼従業員マスター!$G$6:$G$300="直接")*▼従業員マスター!$F$6:$F$300)</f>
        <v/>
      </c>
      <c r="F151" s="12" t="n"/>
      <c r="G151" s="12" t="n"/>
      <c r="H151" s="12" t="n"/>
      <c r="I151" s="12" t="n"/>
      <c r="J151" s="12" t="n"/>
      <c r="K151" s="13">
        <f>E151+F151+G151+H151+I151+J151</f>
        <v/>
      </c>
      <c r="L151" s="14">
        <f>D151-K151</f>
        <v/>
      </c>
      <c r="M151" s="15">
        <f>IF(D151&lt;&gt;0,L151/D151,0)</f>
        <v/>
      </c>
      <c r="N151" s="42">
        <f>IF(D151=0,"—",IF(M151&gt;=0.25,"◎ 優良",IF(M151&gt;=0.15,"○ 良好",IF(M151&gt;=0.05,"△ 要注意","× 赤字"))))</f>
        <v/>
      </c>
      <c r="O151" s="17" t="inlineStr">
        <is>
          <t>C003一般</t>
        </is>
      </c>
      <c r="P151" s="18">
        <f>IF(D150&lt;&gt;0,D151/D150-1,"")</f>
        <v/>
      </c>
      <c r="Q151" s="43">
        <f>IFERROR(D151/100,0)</f>
        <v/>
      </c>
    </row>
    <row r="152" ht="21" customHeight="1">
      <c r="A152" s="7" t="inlineStr">
        <is>
          <t>615-2</t>
        </is>
      </c>
      <c r="B152" s="8" t="inlineStr">
        <is>
          <t>新横浜</t>
        </is>
      </c>
      <c r="C152" s="40" t="inlineStr">
        <is>
          <t>2024-10</t>
        </is>
      </c>
      <c r="D152" s="41">
        <f>IFERROR(VLOOKUP(C152,▼売上原票!$A:$P,11,0),0)</f>
        <v/>
      </c>
      <c r="E152" s="32">
        <f>SUMPRODUCT((▼従業員マスター!$A$6:$A$300="新横浜")*(▼従業員マスター!$G$6:$G$300="直接")*▼従業員マスター!$F$6:$F$300)</f>
        <v/>
      </c>
      <c r="F152" s="12" t="n"/>
      <c r="G152" s="12" t="n"/>
      <c r="H152" s="12" t="n"/>
      <c r="I152" s="12" t="n"/>
      <c r="J152" s="12" t="n"/>
      <c r="K152" s="13">
        <f>E152+F152+G152+H152+I152+J152</f>
        <v/>
      </c>
      <c r="L152" s="14">
        <f>D152-K152</f>
        <v/>
      </c>
      <c r="M152" s="15">
        <f>IF(D152&lt;&gt;0,L152/D152,0)</f>
        <v/>
      </c>
      <c r="N152" s="42">
        <f>IF(D152=0,"—",IF(M152&gt;=0.25,"◎ 優良",IF(M152&gt;=0.15,"○ 良好",IF(M152&gt;=0.05,"△ 要注意","× 赤字"))))</f>
        <v/>
      </c>
      <c r="O152" s="17" t="inlineStr">
        <is>
          <t>C003一般</t>
        </is>
      </c>
      <c r="P152" s="18">
        <f>IF(D151&lt;&gt;0,D152/D151-1,"")</f>
        <v/>
      </c>
      <c r="Q152" s="43">
        <f>IFERROR(D152/100,0)</f>
        <v/>
      </c>
    </row>
    <row r="153" ht="21" customHeight="1">
      <c r="A153" s="7" t="inlineStr">
        <is>
          <t>615-2</t>
        </is>
      </c>
      <c r="B153" s="8" t="inlineStr">
        <is>
          <t>新横浜</t>
        </is>
      </c>
      <c r="C153" s="40" t="inlineStr">
        <is>
          <t>2024-11</t>
        </is>
      </c>
      <c r="D153" s="41">
        <f>IFERROR(VLOOKUP(C153,▼売上原票!$A:$P,11,0),0)</f>
        <v/>
      </c>
      <c r="E153" s="32">
        <f>SUMPRODUCT((▼従業員マスター!$A$6:$A$300="新横浜")*(▼従業員マスター!$G$6:$G$300="直接")*▼従業員マスター!$F$6:$F$300)</f>
        <v/>
      </c>
      <c r="F153" s="12" t="n"/>
      <c r="G153" s="12" t="n"/>
      <c r="H153" s="12" t="n"/>
      <c r="I153" s="12" t="n"/>
      <c r="J153" s="12" t="n"/>
      <c r="K153" s="13">
        <f>E153+F153+G153+H153+I153+J153</f>
        <v/>
      </c>
      <c r="L153" s="14">
        <f>D153-K153</f>
        <v/>
      </c>
      <c r="M153" s="15">
        <f>IF(D153&lt;&gt;0,L153/D153,0)</f>
        <v/>
      </c>
      <c r="N153" s="42">
        <f>IF(D153=0,"—",IF(M153&gt;=0.25,"◎ 優良",IF(M153&gt;=0.15,"○ 良好",IF(M153&gt;=0.05,"△ 要注意","× 赤字"))))</f>
        <v/>
      </c>
      <c r="O153" s="17" t="inlineStr">
        <is>
          <t>C003一般</t>
        </is>
      </c>
      <c r="P153" s="18">
        <f>IF(D152&lt;&gt;0,D153/D152-1,"")</f>
        <v/>
      </c>
      <c r="Q153" s="43">
        <f>IFERROR(D153/100,0)</f>
        <v/>
      </c>
    </row>
    <row r="154" ht="21" customHeight="1">
      <c r="A154" s="7" t="inlineStr">
        <is>
          <t>615-2</t>
        </is>
      </c>
      <c r="B154" s="8" t="inlineStr">
        <is>
          <t>新横浜</t>
        </is>
      </c>
      <c r="C154" s="40" t="inlineStr">
        <is>
          <t>2024-12</t>
        </is>
      </c>
      <c r="D154" s="41">
        <f>IFERROR(VLOOKUP(C154,▼売上原票!$A:$P,11,0),0)</f>
        <v/>
      </c>
      <c r="E154" s="32">
        <f>SUMPRODUCT((▼従業員マスター!$A$6:$A$300="新横浜")*(▼従業員マスター!$G$6:$G$300="直接")*▼従業員マスター!$F$6:$F$300)</f>
        <v/>
      </c>
      <c r="F154" s="12" t="n"/>
      <c r="G154" s="12" t="n"/>
      <c r="H154" s="12" t="n"/>
      <c r="I154" s="12" t="n"/>
      <c r="J154" s="12" t="n"/>
      <c r="K154" s="13">
        <f>E154+F154+G154+H154+I154+J154</f>
        <v/>
      </c>
      <c r="L154" s="14">
        <f>D154-K154</f>
        <v/>
      </c>
      <c r="M154" s="15">
        <f>IF(D154&lt;&gt;0,L154/D154,0)</f>
        <v/>
      </c>
      <c r="N154" s="42">
        <f>IF(D154=0,"—",IF(M154&gt;=0.25,"◎ 優良",IF(M154&gt;=0.15,"○ 良好",IF(M154&gt;=0.05,"△ 要注意","× 赤字"))))</f>
        <v/>
      </c>
      <c r="O154" s="17" t="inlineStr">
        <is>
          <t>C003一般</t>
        </is>
      </c>
      <c r="P154" s="18">
        <f>IF(D153&lt;&gt;0,D154/D153-1,"")</f>
        <v/>
      </c>
      <c r="Q154" s="43">
        <f>IFERROR(D154/100,0)</f>
        <v/>
      </c>
    </row>
    <row r="155" ht="21" customHeight="1">
      <c r="A155" s="7" t="inlineStr">
        <is>
          <t>615-2</t>
        </is>
      </c>
      <c r="B155" s="8" t="inlineStr">
        <is>
          <t>新横浜</t>
        </is>
      </c>
      <c r="C155" s="40" t="inlineStr">
        <is>
          <t>2025-01</t>
        </is>
      </c>
      <c r="D155" s="41">
        <f>IFERROR(VLOOKUP(C155,▼売上原票!$A:$P,11,0),0)</f>
        <v/>
      </c>
      <c r="E155" s="32">
        <f>SUMPRODUCT((▼従業員マスター!$A$6:$A$300="新横浜")*(▼従業員マスター!$G$6:$G$300="直接")*▼従業員マスター!$F$6:$F$300)</f>
        <v/>
      </c>
      <c r="F155" s="12" t="n"/>
      <c r="G155" s="12" t="n"/>
      <c r="H155" s="12" t="n"/>
      <c r="I155" s="12" t="n"/>
      <c r="J155" s="12" t="n"/>
      <c r="K155" s="13">
        <f>E155+F155+G155+H155+I155+J155</f>
        <v/>
      </c>
      <c r="L155" s="14">
        <f>D155-K155</f>
        <v/>
      </c>
      <c r="M155" s="15">
        <f>IF(D155&lt;&gt;0,L155/D155,0)</f>
        <v/>
      </c>
      <c r="N155" s="42">
        <f>IF(D155=0,"—",IF(M155&gt;=0.25,"◎ 優良",IF(M155&gt;=0.15,"○ 良好",IF(M155&gt;=0.05,"△ 要注意","× 赤字"))))</f>
        <v/>
      </c>
      <c r="O155" s="17" t="inlineStr">
        <is>
          <t>C003一般</t>
        </is>
      </c>
      <c r="P155" s="18">
        <f>IF(D154&lt;&gt;0,D155/D154-1,"")</f>
        <v/>
      </c>
      <c r="Q155" s="43">
        <f>IFERROR(D155/100,0)</f>
        <v/>
      </c>
    </row>
    <row r="156" ht="21" customHeight="1">
      <c r="A156" s="7" t="inlineStr">
        <is>
          <t>615-2</t>
        </is>
      </c>
      <c r="B156" s="8" t="inlineStr">
        <is>
          <t>新横浜</t>
        </is>
      </c>
      <c r="C156" s="40" t="inlineStr">
        <is>
          <t>2025-02</t>
        </is>
      </c>
      <c r="D156" s="41">
        <f>IFERROR(VLOOKUP(C156,▼売上原票!$A:$P,11,0),0)</f>
        <v/>
      </c>
      <c r="E156" s="32">
        <f>SUMPRODUCT((▼従業員マスター!$A$6:$A$300="新横浜")*(▼従業員マスター!$G$6:$G$300="直接")*▼従業員マスター!$F$6:$F$300)</f>
        <v/>
      </c>
      <c r="F156" s="12" t="n"/>
      <c r="G156" s="12" t="n"/>
      <c r="H156" s="12" t="n"/>
      <c r="I156" s="12" t="n"/>
      <c r="J156" s="12" t="n"/>
      <c r="K156" s="13">
        <f>E156+F156+G156+H156+I156+J156</f>
        <v/>
      </c>
      <c r="L156" s="14">
        <f>D156-K156</f>
        <v/>
      </c>
      <c r="M156" s="15">
        <f>IF(D156&lt;&gt;0,L156/D156,0)</f>
        <v/>
      </c>
      <c r="N156" s="42">
        <f>IF(D156=0,"—",IF(M156&gt;=0.25,"◎ 優良",IF(M156&gt;=0.15,"○ 良好",IF(M156&gt;=0.05,"△ 要注意","× 赤字"))))</f>
        <v/>
      </c>
      <c r="O156" s="17" t="inlineStr">
        <is>
          <t>C003一般</t>
        </is>
      </c>
      <c r="P156" s="18">
        <f>IF(D155&lt;&gt;0,D156/D155-1,"")</f>
        <v/>
      </c>
      <c r="Q156" s="43">
        <f>IFERROR(D156/100,0)</f>
        <v/>
      </c>
    </row>
    <row r="157" ht="21" customHeight="1">
      <c r="A157" s="7" t="inlineStr">
        <is>
          <t>615-2</t>
        </is>
      </c>
      <c r="B157" s="8" t="inlineStr">
        <is>
          <t>新横浜</t>
        </is>
      </c>
      <c r="C157" s="40" t="inlineStr">
        <is>
          <t>2025-03</t>
        </is>
      </c>
      <c r="D157" s="41">
        <f>IFERROR(VLOOKUP(C157,▼売上原票!$A:$P,11,0),0)</f>
        <v/>
      </c>
      <c r="E157" s="32">
        <f>SUMPRODUCT((▼従業員マスター!$A$6:$A$300="新横浜")*(▼従業員マスター!$G$6:$G$300="直接")*▼従業員マスター!$F$6:$F$300)</f>
        <v/>
      </c>
      <c r="F157" s="12" t="n"/>
      <c r="G157" s="12" t="n"/>
      <c r="H157" s="12" t="n"/>
      <c r="I157" s="12" t="n"/>
      <c r="J157" s="12" t="n"/>
      <c r="K157" s="13">
        <f>E157+F157+G157+H157+I157+J157</f>
        <v/>
      </c>
      <c r="L157" s="14">
        <f>D157-K157</f>
        <v/>
      </c>
      <c r="M157" s="15">
        <f>IF(D157&lt;&gt;0,L157/D157,0)</f>
        <v/>
      </c>
      <c r="N157" s="42">
        <f>IF(D157=0,"—",IF(M157&gt;=0.25,"◎ 優良",IF(M157&gt;=0.15,"○ 良好",IF(M157&gt;=0.05,"△ 要注意","× 赤字"))))</f>
        <v/>
      </c>
      <c r="O157" s="17" t="inlineStr">
        <is>
          <t>C003一般</t>
        </is>
      </c>
      <c r="P157" s="18">
        <f>IF(D156&lt;&gt;0,D157/D156-1,"")</f>
        <v/>
      </c>
      <c r="Q157" s="43">
        <f>IFERROR(D157/100,0)</f>
        <v/>
      </c>
    </row>
    <row r="158" ht="21" customHeight="1">
      <c r="A158" s="7" t="inlineStr">
        <is>
          <t>615-2</t>
        </is>
      </c>
      <c r="B158" s="8" t="inlineStr">
        <is>
          <t>新横浜</t>
        </is>
      </c>
      <c r="C158" s="40" t="inlineStr">
        <is>
          <t>2025-04</t>
        </is>
      </c>
      <c r="D158" s="41">
        <f>IFERROR(VLOOKUP(C158,▼売上原票!$A:$P,11,0),0)</f>
        <v/>
      </c>
      <c r="E158" s="32">
        <f>SUMPRODUCT((▼従業員マスター!$A$6:$A$300="新横浜")*(▼従業員マスター!$G$6:$G$300="直接")*▼従業員マスター!$F$6:$F$300)</f>
        <v/>
      </c>
      <c r="F158" s="12" t="n"/>
      <c r="G158" s="12" t="n"/>
      <c r="H158" s="12" t="n"/>
      <c r="I158" s="12" t="n"/>
      <c r="J158" s="12" t="n"/>
      <c r="K158" s="13">
        <f>E158+F158+G158+H158+I158+J158</f>
        <v/>
      </c>
      <c r="L158" s="14">
        <f>D158-K158</f>
        <v/>
      </c>
      <c r="M158" s="15">
        <f>IF(D158&lt;&gt;0,L158/D158,0)</f>
        <v/>
      </c>
      <c r="N158" s="42">
        <f>IF(D158=0,"—",IF(M158&gt;=0.25,"◎ 優良",IF(M158&gt;=0.15,"○ 良好",IF(M158&gt;=0.05,"△ 要注意","× 赤字"))))</f>
        <v/>
      </c>
      <c r="O158" s="17" t="inlineStr">
        <is>
          <t>C003一般</t>
        </is>
      </c>
      <c r="P158" s="18">
        <f>IF(D157&lt;&gt;0,D158/D157-1,"")</f>
        <v/>
      </c>
      <c r="Q158" s="43">
        <f>IFERROR(D158/100,0)</f>
        <v/>
      </c>
    </row>
    <row r="159" ht="21" customHeight="1">
      <c r="A159" s="7" t="inlineStr">
        <is>
          <t>615-2</t>
        </is>
      </c>
      <c r="B159" s="8" t="inlineStr">
        <is>
          <t>新横浜</t>
        </is>
      </c>
      <c r="C159" s="40" t="inlineStr">
        <is>
          <t>2025-05</t>
        </is>
      </c>
      <c r="D159" s="41">
        <f>IFERROR(VLOOKUP(C159,▼売上原票!$A:$P,11,0),0)</f>
        <v/>
      </c>
      <c r="E159" s="32">
        <f>SUMPRODUCT((▼従業員マスター!$A$6:$A$300="新横浜")*(▼従業員マスター!$G$6:$G$300="直接")*▼従業員マスター!$F$6:$F$300)</f>
        <v/>
      </c>
      <c r="F159" s="12" t="n"/>
      <c r="G159" s="12" t="n"/>
      <c r="H159" s="12" t="n"/>
      <c r="I159" s="12" t="n"/>
      <c r="J159" s="12" t="n"/>
      <c r="K159" s="13">
        <f>E159+F159+G159+H159+I159+J159</f>
        <v/>
      </c>
      <c r="L159" s="14">
        <f>D159-K159</f>
        <v/>
      </c>
      <c r="M159" s="15">
        <f>IF(D159&lt;&gt;0,L159/D159,0)</f>
        <v/>
      </c>
      <c r="N159" s="42">
        <f>IF(D159=0,"—",IF(M159&gt;=0.25,"◎ 優良",IF(M159&gt;=0.15,"○ 良好",IF(M159&gt;=0.05,"△ 要注意","× 赤字"))))</f>
        <v/>
      </c>
      <c r="O159" s="17" t="inlineStr">
        <is>
          <t>C003一般</t>
        </is>
      </c>
      <c r="P159" s="18">
        <f>IF(D158&lt;&gt;0,D159/D158-1,"")</f>
        <v/>
      </c>
      <c r="Q159" s="43">
        <f>IFERROR(D159/100,0)</f>
        <v/>
      </c>
    </row>
    <row r="160" ht="21" customHeight="1">
      <c r="A160" s="7" t="inlineStr">
        <is>
          <t>615-2</t>
        </is>
      </c>
      <c r="B160" s="8" t="inlineStr">
        <is>
          <t>新横浜</t>
        </is>
      </c>
      <c r="C160" s="40" t="inlineStr">
        <is>
          <t>2025-06</t>
        </is>
      </c>
      <c r="D160" s="41">
        <f>IFERROR(VLOOKUP(C160,▼売上原票!$A:$P,11,0),0)</f>
        <v/>
      </c>
      <c r="E160" s="32">
        <f>SUMPRODUCT((▼従業員マスター!$A$6:$A$300="新横浜")*(▼従業員マスター!$G$6:$G$300="直接")*▼従業員マスター!$F$6:$F$300)</f>
        <v/>
      </c>
      <c r="F160" s="12" t="n"/>
      <c r="G160" s="12" t="n"/>
      <c r="H160" s="12" t="n"/>
      <c r="I160" s="12" t="n"/>
      <c r="J160" s="12" t="n"/>
      <c r="K160" s="13">
        <f>E160+F160+G160+H160+I160+J160</f>
        <v/>
      </c>
      <c r="L160" s="14">
        <f>D160-K160</f>
        <v/>
      </c>
      <c r="M160" s="15">
        <f>IF(D160&lt;&gt;0,L160/D160,0)</f>
        <v/>
      </c>
      <c r="N160" s="42">
        <f>IF(D160=0,"—",IF(M160&gt;=0.25,"◎ 優良",IF(M160&gt;=0.15,"○ 良好",IF(M160&gt;=0.05,"△ 要注意","× 赤字"))))</f>
        <v/>
      </c>
      <c r="O160" s="17" t="inlineStr">
        <is>
          <t>C003一般</t>
        </is>
      </c>
      <c r="P160" s="18">
        <f>IF(D159&lt;&gt;0,D160/D159-1,"")</f>
        <v/>
      </c>
      <c r="Q160" s="43">
        <f>IFERROR(D160/100,0)</f>
        <v/>
      </c>
    </row>
    <row r="161" ht="21" customHeight="1">
      <c r="A161" s="7" t="inlineStr">
        <is>
          <t>615-2</t>
        </is>
      </c>
      <c r="B161" s="8" t="inlineStr">
        <is>
          <t>新横浜</t>
        </is>
      </c>
      <c r="C161" s="40" t="inlineStr">
        <is>
          <t>2025-07</t>
        </is>
      </c>
      <c r="D161" s="41">
        <f>IFERROR(VLOOKUP(C161,▼売上原票!$A:$P,11,0),0)</f>
        <v/>
      </c>
      <c r="E161" s="32">
        <f>SUMPRODUCT((▼従業員マスター!$A$6:$A$300="新横浜")*(▼従業員マスター!$G$6:$G$300="直接")*▼従業員マスター!$F$6:$F$300)</f>
        <v/>
      </c>
      <c r="F161" s="12" t="n"/>
      <c r="G161" s="12" t="n"/>
      <c r="H161" s="12" t="n"/>
      <c r="I161" s="12" t="n"/>
      <c r="J161" s="12" t="n"/>
      <c r="K161" s="13">
        <f>E161+F161+G161+H161+I161+J161</f>
        <v/>
      </c>
      <c r="L161" s="14">
        <f>D161-K161</f>
        <v/>
      </c>
      <c r="M161" s="15">
        <f>IF(D161&lt;&gt;0,L161/D161,0)</f>
        <v/>
      </c>
      <c r="N161" s="42">
        <f>IF(D161=0,"—",IF(M161&gt;=0.25,"◎ 優良",IF(M161&gt;=0.15,"○ 良好",IF(M161&gt;=0.05,"△ 要注意","× 赤字"))))</f>
        <v/>
      </c>
      <c r="O161" s="17" t="inlineStr">
        <is>
          <t>C003一般</t>
        </is>
      </c>
      <c r="P161" s="18">
        <f>IF(D160&lt;&gt;0,D161/D160-1,"")</f>
        <v/>
      </c>
      <c r="Q161" s="43">
        <f>IFERROR(D161/100,0)</f>
        <v/>
      </c>
    </row>
    <row r="162" ht="21" customHeight="1">
      <c r="A162" s="7" t="inlineStr">
        <is>
          <t>615-2</t>
        </is>
      </c>
      <c r="B162" s="8" t="inlineStr">
        <is>
          <t>新横浜</t>
        </is>
      </c>
      <c r="C162" s="40" t="inlineStr">
        <is>
          <t>2025-08</t>
        </is>
      </c>
      <c r="D162" s="41">
        <f>IFERROR(VLOOKUP(C162,▼売上原票!$A:$P,11,0),0)</f>
        <v/>
      </c>
      <c r="E162" s="32">
        <f>SUMPRODUCT((▼従業員マスター!$A$6:$A$300="新横浜")*(▼従業員マスター!$G$6:$G$300="直接")*▼従業員マスター!$F$6:$F$300)</f>
        <v/>
      </c>
      <c r="F162" s="12" t="n"/>
      <c r="G162" s="12" t="n"/>
      <c r="H162" s="12" t="n"/>
      <c r="I162" s="12" t="n"/>
      <c r="J162" s="12" t="n"/>
      <c r="K162" s="13">
        <f>E162+F162+G162+H162+I162+J162</f>
        <v/>
      </c>
      <c r="L162" s="14">
        <f>D162-K162</f>
        <v/>
      </c>
      <c r="M162" s="15">
        <f>IF(D162&lt;&gt;0,L162/D162,0)</f>
        <v/>
      </c>
      <c r="N162" s="42">
        <f>IF(D162=0,"—",IF(M162&gt;=0.25,"◎ 優良",IF(M162&gt;=0.15,"○ 良好",IF(M162&gt;=0.05,"△ 要注意","× 赤字"))))</f>
        <v/>
      </c>
      <c r="O162" s="17" t="inlineStr">
        <is>
          <t>C003一般</t>
        </is>
      </c>
      <c r="P162" s="18">
        <f>IF(D161&lt;&gt;0,D162/D161-1,"")</f>
        <v/>
      </c>
      <c r="Q162" s="43">
        <f>IFERROR(D162/100,0)</f>
        <v/>
      </c>
    </row>
    <row r="163" ht="21" customHeight="1">
      <c r="A163" s="7" t="inlineStr">
        <is>
          <t>615-2</t>
        </is>
      </c>
      <c r="B163" s="8" t="inlineStr">
        <is>
          <t>新横浜</t>
        </is>
      </c>
      <c r="C163" s="40" t="inlineStr">
        <is>
          <t>2025-09</t>
        </is>
      </c>
      <c r="D163" s="41">
        <f>IFERROR(VLOOKUP(C163,▼売上原票!$A:$P,11,0),0)</f>
        <v/>
      </c>
      <c r="E163" s="32">
        <f>SUMPRODUCT((▼従業員マスター!$A$6:$A$300="新横浜")*(▼従業員マスター!$G$6:$G$300="直接")*▼従業員マスター!$F$6:$F$300)</f>
        <v/>
      </c>
      <c r="F163" s="12" t="n"/>
      <c r="G163" s="12" t="n"/>
      <c r="H163" s="12" t="n"/>
      <c r="I163" s="12" t="n"/>
      <c r="J163" s="12" t="n"/>
      <c r="K163" s="13">
        <f>E163+F163+G163+H163+I163+J163</f>
        <v/>
      </c>
      <c r="L163" s="14">
        <f>D163-K163</f>
        <v/>
      </c>
      <c r="M163" s="15">
        <f>IF(D163&lt;&gt;0,L163/D163,0)</f>
        <v/>
      </c>
      <c r="N163" s="42">
        <f>IF(D163=0,"—",IF(M163&gt;=0.25,"◎ 優良",IF(M163&gt;=0.15,"○ 良好",IF(M163&gt;=0.05,"△ 要注意","× 赤字"))))</f>
        <v/>
      </c>
      <c r="O163" s="17" t="inlineStr">
        <is>
          <t>C003一般</t>
        </is>
      </c>
      <c r="P163" s="18">
        <f>IF(D162&lt;&gt;0,D163/D162-1,"")</f>
        <v/>
      </c>
      <c r="Q163" s="43">
        <f>IFERROR(D163/100,0)</f>
        <v/>
      </c>
    </row>
    <row r="164" ht="21" customHeight="1">
      <c r="A164" s="7" t="inlineStr">
        <is>
          <t>615-2</t>
        </is>
      </c>
      <c r="B164" s="8" t="inlineStr">
        <is>
          <t>新横浜</t>
        </is>
      </c>
      <c r="C164" s="40" t="inlineStr">
        <is>
          <t>2025-10</t>
        </is>
      </c>
      <c r="D164" s="41">
        <f>IFERROR(VLOOKUP(C164,▼売上原票!$A:$P,11,0),0)</f>
        <v/>
      </c>
      <c r="E164" s="32">
        <f>SUMPRODUCT((▼従業員マスター!$A$6:$A$300="新横浜")*(▼従業員マスター!$G$6:$G$300="直接")*▼従業員マスター!$F$6:$F$300)</f>
        <v/>
      </c>
      <c r="F164" s="12" t="n"/>
      <c r="G164" s="12" t="n"/>
      <c r="H164" s="12" t="n"/>
      <c r="I164" s="12" t="n"/>
      <c r="J164" s="12" t="n"/>
      <c r="K164" s="13">
        <f>E164+F164+G164+H164+I164+J164</f>
        <v/>
      </c>
      <c r="L164" s="14">
        <f>D164-K164</f>
        <v/>
      </c>
      <c r="M164" s="15">
        <f>IF(D164&lt;&gt;0,L164/D164,0)</f>
        <v/>
      </c>
      <c r="N164" s="42">
        <f>IF(D164=0,"—",IF(M164&gt;=0.25,"◎ 優良",IF(M164&gt;=0.15,"○ 良好",IF(M164&gt;=0.05,"△ 要注意","× 赤字"))))</f>
        <v/>
      </c>
      <c r="O164" s="17" t="inlineStr">
        <is>
          <t>C003一般</t>
        </is>
      </c>
      <c r="P164" s="18">
        <f>IF(D163&lt;&gt;0,D164/D163-1,"")</f>
        <v/>
      </c>
      <c r="Q164" s="43">
        <f>IFERROR(D164/100,0)</f>
        <v/>
      </c>
    </row>
    <row r="165" ht="21" customHeight="1">
      <c r="A165" s="7" t="inlineStr">
        <is>
          <t>615-2</t>
        </is>
      </c>
      <c r="B165" s="8" t="inlineStr">
        <is>
          <t>新横浜</t>
        </is>
      </c>
      <c r="C165" s="40" t="inlineStr">
        <is>
          <t>2025-11</t>
        </is>
      </c>
      <c r="D165" s="41">
        <f>IFERROR(VLOOKUP(C165,▼売上原票!$A:$P,11,0),0)</f>
        <v/>
      </c>
      <c r="E165" s="32">
        <f>SUMPRODUCT((▼従業員マスター!$A$6:$A$300="新横浜")*(▼従業員マスター!$G$6:$G$300="直接")*▼従業員マスター!$F$6:$F$300)</f>
        <v/>
      </c>
      <c r="F165" s="12" t="n"/>
      <c r="G165" s="12" t="n"/>
      <c r="H165" s="12" t="n"/>
      <c r="I165" s="12" t="n"/>
      <c r="J165" s="12" t="n"/>
      <c r="K165" s="13">
        <f>E165+F165+G165+H165+I165+J165</f>
        <v/>
      </c>
      <c r="L165" s="14">
        <f>D165-K165</f>
        <v/>
      </c>
      <c r="M165" s="15">
        <f>IF(D165&lt;&gt;0,L165/D165,0)</f>
        <v/>
      </c>
      <c r="N165" s="42">
        <f>IF(D165=0,"—",IF(M165&gt;=0.25,"◎ 優良",IF(M165&gt;=0.15,"○ 良好",IF(M165&gt;=0.05,"△ 要注意","× 赤字"))))</f>
        <v/>
      </c>
      <c r="O165" s="17" t="inlineStr">
        <is>
          <t>C003一般</t>
        </is>
      </c>
      <c r="P165" s="18">
        <f>IF(D164&lt;&gt;0,D165/D164-1,"")</f>
        <v/>
      </c>
      <c r="Q165" s="43">
        <f>IFERROR(D165/100,0)</f>
        <v/>
      </c>
    </row>
    <row r="166" ht="5" customHeight="1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</row>
    <row r="167" ht="21" customHeight="1">
      <c r="A167" s="47" t="inlineStr">
        <is>
          <t>615-3</t>
        </is>
      </c>
      <c r="B167" s="48" t="inlineStr">
        <is>
          <t>現金2</t>
        </is>
      </c>
      <c r="C167" s="40" t="inlineStr">
        <is>
          <t>2024-07</t>
        </is>
      </c>
      <c r="D167" s="41">
        <f>IFERROR(VLOOKUP(C167,▼売上原票!$A:$P,12,0),0)</f>
        <v/>
      </c>
      <c r="E167" s="12" t="n"/>
      <c r="F167" s="12" t="n"/>
      <c r="G167" s="12" t="n"/>
      <c r="H167" s="12" t="n"/>
      <c r="I167" s="12" t="n"/>
      <c r="J167" s="12" t="n"/>
      <c r="K167" s="13">
        <f>E167+F167+G167+H167+I167+J167</f>
        <v/>
      </c>
      <c r="L167" s="14">
        <f>D167-K167</f>
        <v/>
      </c>
      <c r="M167" s="15">
        <f>IF(D167&lt;&gt;0,L167/D167,0)</f>
        <v/>
      </c>
      <c r="N167" s="42">
        <f>IF(D167=0,"—",IF(M167&gt;=0.25,"◎ 優良",IF(M167&gt;=0.15,"○ 良好",IF(M167&gt;=0.05,"△ 要注意","× 赤字"))))</f>
        <v/>
      </c>
      <c r="O167" s="49" t="inlineStr">
        <is>
          <t>C003一般</t>
        </is>
      </c>
      <c r="P167" s="49" t="inlineStr">
        <is>
          <t>—</t>
        </is>
      </c>
      <c r="Q167" s="50">
        <f>IFERROR(D167/100,0)</f>
        <v/>
      </c>
    </row>
    <row r="168" ht="21" customHeight="1">
      <c r="A168" s="47" t="inlineStr">
        <is>
          <t>615-3</t>
        </is>
      </c>
      <c r="B168" s="48" t="inlineStr">
        <is>
          <t>現金2</t>
        </is>
      </c>
      <c r="C168" s="40" t="inlineStr">
        <is>
          <t>2024-08</t>
        </is>
      </c>
      <c r="D168" s="41">
        <f>IFERROR(VLOOKUP(C168,▼売上原票!$A:$P,12,0),0)</f>
        <v/>
      </c>
      <c r="E168" s="12" t="n"/>
      <c r="F168" s="12" t="n"/>
      <c r="G168" s="12" t="n"/>
      <c r="H168" s="12" t="n"/>
      <c r="I168" s="12" t="n"/>
      <c r="J168" s="12" t="n"/>
      <c r="K168" s="13">
        <f>E168+F168+G168+H168+I168+J168</f>
        <v/>
      </c>
      <c r="L168" s="14">
        <f>D168-K168</f>
        <v/>
      </c>
      <c r="M168" s="15">
        <f>IF(D168&lt;&gt;0,L168/D168,0)</f>
        <v/>
      </c>
      <c r="N168" s="42">
        <f>IF(D168=0,"—",IF(M168&gt;=0.25,"◎ 優良",IF(M168&gt;=0.15,"○ 良好",IF(M168&gt;=0.05,"△ 要注意","× 赤字"))))</f>
        <v/>
      </c>
      <c r="O168" s="49" t="inlineStr">
        <is>
          <t>C003一般</t>
        </is>
      </c>
      <c r="P168" s="51">
        <f>IF(D167&lt;&gt;0,D168/D167-1,"")</f>
        <v/>
      </c>
      <c r="Q168" s="50">
        <f>IFERROR(D168/100,0)</f>
        <v/>
      </c>
    </row>
    <row r="169" ht="21" customHeight="1">
      <c r="A169" s="47" t="inlineStr">
        <is>
          <t>615-3</t>
        </is>
      </c>
      <c r="B169" s="48" t="inlineStr">
        <is>
          <t>現金2</t>
        </is>
      </c>
      <c r="C169" s="40" t="inlineStr">
        <is>
          <t>2024-09</t>
        </is>
      </c>
      <c r="D169" s="41">
        <f>IFERROR(VLOOKUP(C169,▼売上原票!$A:$P,12,0),0)</f>
        <v/>
      </c>
      <c r="E169" s="12" t="n"/>
      <c r="F169" s="12" t="n"/>
      <c r="G169" s="12" t="n"/>
      <c r="H169" s="12" t="n"/>
      <c r="I169" s="12" t="n"/>
      <c r="J169" s="12" t="n"/>
      <c r="K169" s="13">
        <f>E169+F169+G169+H169+I169+J169</f>
        <v/>
      </c>
      <c r="L169" s="14">
        <f>D169-K169</f>
        <v/>
      </c>
      <c r="M169" s="15">
        <f>IF(D169&lt;&gt;0,L169/D169,0)</f>
        <v/>
      </c>
      <c r="N169" s="42">
        <f>IF(D169=0,"—",IF(M169&gt;=0.25,"◎ 優良",IF(M169&gt;=0.15,"○ 良好",IF(M169&gt;=0.05,"△ 要注意","× 赤字"))))</f>
        <v/>
      </c>
      <c r="O169" s="49" t="inlineStr">
        <is>
          <t>C003一般</t>
        </is>
      </c>
      <c r="P169" s="51">
        <f>IF(D168&lt;&gt;0,D169/D168-1,"")</f>
        <v/>
      </c>
      <c r="Q169" s="50">
        <f>IFERROR(D169/100,0)</f>
        <v/>
      </c>
    </row>
    <row r="170" ht="21" customHeight="1">
      <c r="A170" s="47" t="inlineStr">
        <is>
          <t>615-3</t>
        </is>
      </c>
      <c r="B170" s="48" t="inlineStr">
        <is>
          <t>現金2</t>
        </is>
      </c>
      <c r="C170" s="40" t="inlineStr">
        <is>
          <t>2024-10</t>
        </is>
      </c>
      <c r="D170" s="41">
        <f>IFERROR(VLOOKUP(C170,▼売上原票!$A:$P,12,0),0)</f>
        <v/>
      </c>
      <c r="E170" s="12" t="n"/>
      <c r="F170" s="12" t="n"/>
      <c r="G170" s="12" t="n"/>
      <c r="H170" s="12" t="n"/>
      <c r="I170" s="12" t="n"/>
      <c r="J170" s="12" t="n"/>
      <c r="K170" s="13">
        <f>E170+F170+G170+H170+I170+J170</f>
        <v/>
      </c>
      <c r="L170" s="14">
        <f>D170-K170</f>
        <v/>
      </c>
      <c r="M170" s="15">
        <f>IF(D170&lt;&gt;0,L170/D170,0)</f>
        <v/>
      </c>
      <c r="N170" s="42">
        <f>IF(D170=0,"—",IF(M170&gt;=0.25,"◎ 優良",IF(M170&gt;=0.15,"○ 良好",IF(M170&gt;=0.05,"△ 要注意","× 赤字"))))</f>
        <v/>
      </c>
      <c r="O170" s="49" t="inlineStr">
        <is>
          <t>C003一般</t>
        </is>
      </c>
      <c r="P170" s="51">
        <f>IF(D169&lt;&gt;0,D170/D169-1,"")</f>
        <v/>
      </c>
      <c r="Q170" s="50">
        <f>IFERROR(D170/100,0)</f>
        <v/>
      </c>
    </row>
    <row r="171" ht="21" customHeight="1">
      <c r="A171" s="47" t="inlineStr">
        <is>
          <t>615-3</t>
        </is>
      </c>
      <c r="B171" s="48" t="inlineStr">
        <is>
          <t>現金2</t>
        </is>
      </c>
      <c r="C171" s="40" t="inlineStr">
        <is>
          <t>2024-11</t>
        </is>
      </c>
      <c r="D171" s="41">
        <f>IFERROR(VLOOKUP(C171,▼売上原票!$A:$P,12,0),0)</f>
        <v/>
      </c>
      <c r="E171" s="12" t="n"/>
      <c r="F171" s="12" t="n"/>
      <c r="G171" s="12" t="n"/>
      <c r="H171" s="12" t="n"/>
      <c r="I171" s="12" t="n"/>
      <c r="J171" s="12" t="n"/>
      <c r="K171" s="13">
        <f>E171+F171+G171+H171+I171+J171</f>
        <v/>
      </c>
      <c r="L171" s="14">
        <f>D171-K171</f>
        <v/>
      </c>
      <c r="M171" s="15">
        <f>IF(D171&lt;&gt;0,L171/D171,0)</f>
        <v/>
      </c>
      <c r="N171" s="42">
        <f>IF(D171=0,"—",IF(M171&gt;=0.25,"◎ 優良",IF(M171&gt;=0.15,"○ 良好",IF(M171&gt;=0.05,"△ 要注意","× 赤字"))))</f>
        <v/>
      </c>
      <c r="O171" s="49" t="inlineStr">
        <is>
          <t>C003一般</t>
        </is>
      </c>
      <c r="P171" s="51">
        <f>IF(D170&lt;&gt;0,D171/D170-1,"")</f>
        <v/>
      </c>
      <c r="Q171" s="50">
        <f>IFERROR(D171/100,0)</f>
        <v/>
      </c>
    </row>
    <row r="172" ht="21" customHeight="1">
      <c r="A172" s="47" t="inlineStr">
        <is>
          <t>615-3</t>
        </is>
      </c>
      <c r="B172" s="48" t="inlineStr">
        <is>
          <t>現金2</t>
        </is>
      </c>
      <c r="C172" s="40" t="inlineStr">
        <is>
          <t>2024-12</t>
        </is>
      </c>
      <c r="D172" s="41">
        <f>IFERROR(VLOOKUP(C172,▼売上原票!$A:$P,12,0),0)</f>
        <v/>
      </c>
      <c r="E172" s="12" t="n"/>
      <c r="F172" s="12" t="n"/>
      <c r="G172" s="12" t="n"/>
      <c r="H172" s="12" t="n"/>
      <c r="I172" s="12" t="n"/>
      <c r="J172" s="12" t="n"/>
      <c r="K172" s="13">
        <f>E172+F172+G172+H172+I172+J172</f>
        <v/>
      </c>
      <c r="L172" s="14">
        <f>D172-K172</f>
        <v/>
      </c>
      <c r="M172" s="15">
        <f>IF(D172&lt;&gt;0,L172/D172,0)</f>
        <v/>
      </c>
      <c r="N172" s="42">
        <f>IF(D172=0,"—",IF(M172&gt;=0.25,"◎ 優良",IF(M172&gt;=0.15,"○ 良好",IF(M172&gt;=0.05,"△ 要注意","× 赤字"))))</f>
        <v/>
      </c>
      <c r="O172" s="49" t="inlineStr">
        <is>
          <t>C003一般</t>
        </is>
      </c>
      <c r="P172" s="51">
        <f>IF(D171&lt;&gt;0,D172/D171-1,"")</f>
        <v/>
      </c>
      <c r="Q172" s="50">
        <f>IFERROR(D172/100,0)</f>
        <v/>
      </c>
    </row>
    <row r="173" ht="21" customHeight="1">
      <c r="A173" s="47" t="inlineStr">
        <is>
          <t>615-3</t>
        </is>
      </c>
      <c r="B173" s="48" t="inlineStr">
        <is>
          <t>現金2</t>
        </is>
      </c>
      <c r="C173" s="40" t="inlineStr">
        <is>
          <t>2025-01</t>
        </is>
      </c>
      <c r="D173" s="41">
        <f>IFERROR(VLOOKUP(C173,▼売上原票!$A:$P,12,0),0)</f>
        <v/>
      </c>
      <c r="E173" s="12" t="n"/>
      <c r="F173" s="12" t="n"/>
      <c r="G173" s="12" t="n"/>
      <c r="H173" s="12" t="n"/>
      <c r="I173" s="12" t="n"/>
      <c r="J173" s="12" t="n"/>
      <c r="K173" s="13">
        <f>E173+F173+G173+H173+I173+J173</f>
        <v/>
      </c>
      <c r="L173" s="14">
        <f>D173-K173</f>
        <v/>
      </c>
      <c r="M173" s="15">
        <f>IF(D173&lt;&gt;0,L173/D173,0)</f>
        <v/>
      </c>
      <c r="N173" s="42">
        <f>IF(D173=0,"—",IF(M173&gt;=0.25,"◎ 優良",IF(M173&gt;=0.15,"○ 良好",IF(M173&gt;=0.05,"△ 要注意","× 赤字"))))</f>
        <v/>
      </c>
      <c r="O173" s="49" t="inlineStr">
        <is>
          <t>C003一般</t>
        </is>
      </c>
      <c r="P173" s="51">
        <f>IF(D172&lt;&gt;0,D173/D172-1,"")</f>
        <v/>
      </c>
      <c r="Q173" s="50">
        <f>IFERROR(D173/100,0)</f>
        <v/>
      </c>
    </row>
    <row r="174" ht="21" customHeight="1">
      <c r="A174" s="47" t="inlineStr">
        <is>
          <t>615-3</t>
        </is>
      </c>
      <c r="B174" s="48" t="inlineStr">
        <is>
          <t>現金2</t>
        </is>
      </c>
      <c r="C174" s="40" t="inlineStr">
        <is>
          <t>2025-02</t>
        </is>
      </c>
      <c r="D174" s="41">
        <f>IFERROR(VLOOKUP(C174,▼売上原票!$A:$P,12,0),0)</f>
        <v/>
      </c>
      <c r="E174" s="12" t="n"/>
      <c r="F174" s="12" t="n"/>
      <c r="G174" s="12" t="n"/>
      <c r="H174" s="12" t="n"/>
      <c r="I174" s="12" t="n"/>
      <c r="J174" s="12" t="n"/>
      <c r="K174" s="13">
        <f>E174+F174+G174+H174+I174+J174</f>
        <v/>
      </c>
      <c r="L174" s="14">
        <f>D174-K174</f>
        <v/>
      </c>
      <c r="M174" s="15">
        <f>IF(D174&lt;&gt;0,L174/D174,0)</f>
        <v/>
      </c>
      <c r="N174" s="42">
        <f>IF(D174=0,"—",IF(M174&gt;=0.25,"◎ 優良",IF(M174&gt;=0.15,"○ 良好",IF(M174&gt;=0.05,"△ 要注意","× 赤字"))))</f>
        <v/>
      </c>
      <c r="O174" s="49" t="inlineStr">
        <is>
          <t>C003一般</t>
        </is>
      </c>
      <c r="P174" s="51">
        <f>IF(D173&lt;&gt;0,D174/D173-1,"")</f>
        <v/>
      </c>
      <c r="Q174" s="50">
        <f>IFERROR(D174/100,0)</f>
        <v/>
      </c>
    </row>
    <row r="175" ht="21" customHeight="1">
      <c r="A175" s="47" t="inlineStr">
        <is>
          <t>615-3</t>
        </is>
      </c>
      <c r="B175" s="48" t="inlineStr">
        <is>
          <t>現金2</t>
        </is>
      </c>
      <c r="C175" s="40" t="inlineStr">
        <is>
          <t>2025-03</t>
        </is>
      </c>
      <c r="D175" s="41">
        <f>IFERROR(VLOOKUP(C175,▼売上原票!$A:$P,12,0),0)</f>
        <v/>
      </c>
      <c r="E175" s="12" t="n"/>
      <c r="F175" s="12" t="n"/>
      <c r="G175" s="12" t="n"/>
      <c r="H175" s="12" t="n"/>
      <c r="I175" s="12" t="n"/>
      <c r="J175" s="12" t="n"/>
      <c r="K175" s="13">
        <f>E175+F175+G175+H175+I175+J175</f>
        <v/>
      </c>
      <c r="L175" s="14">
        <f>D175-K175</f>
        <v/>
      </c>
      <c r="M175" s="15">
        <f>IF(D175&lt;&gt;0,L175/D175,0)</f>
        <v/>
      </c>
      <c r="N175" s="42">
        <f>IF(D175=0,"—",IF(M175&gt;=0.25,"◎ 優良",IF(M175&gt;=0.15,"○ 良好",IF(M175&gt;=0.05,"△ 要注意","× 赤字"))))</f>
        <v/>
      </c>
      <c r="O175" s="49" t="inlineStr">
        <is>
          <t>C003一般</t>
        </is>
      </c>
      <c r="P175" s="51">
        <f>IF(D174&lt;&gt;0,D175/D174-1,"")</f>
        <v/>
      </c>
      <c r="Q175" s="50">
        <f>IFERROR(D175/100,0)</f>
        <v/>
      </c>
    </row>
    <row r="176" ht="21" customHeight="1">
      <c r="A176" s="47" t="inlineStr">
        <is>
          <t>615-3</t>
        </is>
      </c>
      <c r="B176" s="48" t="inlineStr">
        <is>
          <t>現金2</t>
        </is>
      </c>
      <c r="C176" s="40" t="inlineStr">
        <is>
          <t>2025-04</t>
        </is>
      </c>
      <c r="D176" s="41">
        <f>IFERROR(VLOOKUP(C176,▼売上原票!$A:$P,12,0),0)</f>
        <v/>
      </c>
      <c r="E176" s="12" t="n"/>
      <c r="F176" s="12" t="n"/>
      <c r="G176" s="12" t="n"/>
      <c r="H176" s="12" t="n"/>
      <c r="I176" s="12" t="n"/>
      <c r="J176" s="12" t="n"/>
      <c r="K176" s="13">
        <f>E176+F176+G176+H176+I176+J176</f>
        <v/>
      </c>
      <c r="L176" s="14">
        <f>D176-K176</f>
        <v/>
      </c>
      <c r="M176" s="15">
        <f>IF(D176&lt;&gt;0,L176/D176,0)</f>
        <v/>
      </c>
      <c r="N176" s="42">
        <f>IF(D176=0,"—",IF(M176&gt;=0.25,"◎ 優良",IF(M176&gt;=0.15,"○ 良好",IF(M176&gt;=0.05,"△ 要注意","× 赤字"))))</f>
        <v/>
      </c>
      <c r="O176" s="49" t="inlineStr">
        <is>
          <t>C003一般</t>
        </is>
      </c>
      <c r="P176" s="51">
        <f>IF(D175&lt;&gt;0,D176/D175-1,"")</f>
        <v/>
      </c>
      <c r="Q176" s="50">
        <f>IFERROR(D176/100,0)</f>
        <v/>
      </c>
    </row>
    <row r="177" ht="21" customHeight="1">
      <c r="A177" s="47" t="inlineStr">
        <is>
          <t>615-3</t>
        </is>
      </c>
      <c r="B177" s="48" t="inlineStr">
        <is>
          <t>現金2</t>
        </is>
      </c>
      <c r="C177" s="40" t="inlineStr">
        <is>
          <t>2025-05</t>
        </is>
      </c>
      <c r="D177" s="41">
        <f>IFERROR(VLOOKUP(C177,▼売上原票!$A:$P,12,0),0)</f>
        <v/>
      </c>
      <c r="E177" s="12" t="n"/>
      <c r="F177" s="12" t="n"/>
      <c r="G177" s="12" t="n"/>
      <c r="H177" s="12" t="n"/>
      <c r="I177" s="12" t="n"/>
      <c r="J177" s="12" t="n"/>
      <c r="K177" s="13">
        <f>E177+F177+G177+H177+I177+J177</f>
        <v/>
      </c>
      <c r="L177" s="14">
        <f>D177-K177</f>
        <v/>
      </c>
      <c r="M177" s="15">
        <f>IF(D177&lt;&gt;0,L177/D177,0)</f>
        <v/>
      </c>
      <c r="N177" s="42">
        <f>IF(D177=0,"—",IF(M177&gt;=0.25,"◎ 優良",IF(M177&gt;=0.15,"○ 良好",IF(M177&gt;=0.05,"△ 要注意","× 赤字"))))</f>
        <v/>
      </c>
      <c r="O177" s="49" t="inlineStr">
        <is>
          <t>C003一般</t>
        </is>
      </c>
      <c r="P177" s="51">
        <f>IF(D176&lt;&gt;0,D177/D176-1,"")</f>
        <v/>
      </c>
      <c r="Q177" s="50">
        <f>IFERROR(D177/100,0)</f>
        <v/>
      </c>
    </row>
    <row r="178" ht="21" customHeight="1">
      <c r="A178" s="47" t="inlineStr">
        <is>
          <t>615-3</t>
        </is>
      </c>
      <c r="B178" s="48" t="inlineStr">
        <is>
          <t>現金2</t>
        </is>
      </c>
      <c r="C178" s="40" t="inlineStr">
        <is>
          <t>2025-06</t>
        </is>
      </c>
      <c r="D178" s="41">
        <f>IFERROR(VLOOKUP(C178,▼売上原票!$A:$P,12,0),0)</f>
        <v/>
      </c>
      <c r="E178" s="12" t="n"/>
      <c r="F178" s="12" t="n"/>
      <c r="G178" s="12" t="n"/>
      <c r="H178" s="12" t="n"/>
      <c r="I178" s="12" t="n"/>
      <c r="J178" s="12" t="n"/>
      <c r="K178" s="13">
        <f>E178+F178+G178+H178+I178+J178</f>
        <v/>
      </c>
      <c r="L178" s="14">
        <f>D178-K178</f>
        <v/>
      </c>
      <c r="M178" s="15">
        <f>IF(D178&lt;&gt;0,L178/D178,0)</f>
        <v/>
      </c>
      <c r="N178" s="42">
        <f>IF(D178=0,"—",IF(M178&gt;=0.25,"◎ 優良",IF(M178&gt;=0.15,"○ 良好",IF(M178&gt;=0.05,"△ 要注意","× 赤字"))))</f>
        <v/>
      </c>
      <c r="O178" s="49" t="inlineStr">
        <is>
          <t>C003一般</t>
        </is>
      </c>
      <c r="P178" s="51">
        <f>IF(D177&lt;&gt;0,D178/D177-1,"")</f>
        <v/>
      </c>
      <c r="Q178" s="50">
        <f>IFERROR(D178/100,0)</f>
        <v/>
      </c>
    </row>
    <row r="179" ht="21" customHeight="1">
      <c r="A179" s="47" t="inlineStr">
        <is>
          <t>615-3</t>
        </is>
      </c>
      <c r="B179" s="48" t="inlineStr">
        <is>
          <t>現金2</t>
        </is>
      </c>
      <c r="C179" s="40" t="inlineStr">
        <is>
          <t>2025-07</t>
        </is>
      </c>
      <c r="D179" s="41">
        <f>IFERROR(VLOOKUP(C179,▼売上原票!$A:$P,12,0),0)</f>
        <v/>
      </c>
      <c r="E179" s="12" t="n"/>
      <c r="F179" s="12" t="n"/>
      <c r="G179" s="12" t="n"/>
      <c r="H179" s="12" t="n"/>
      <c r="I179" s="12" t="n"/>
      <c r="J179" s="12" t="n"/>
      <c r="K179" s="13">
        <f>E179+F179+G179+H179+I179+J179</f>
        <v/>
      </c>
      <c r="L179" s="14">
        <f>D179-K179</f>
        <v/>
      </c>
      <c r="M179" s="15">
        <f>IF(D179&lt;&gt;0,L179/D179,0)</f>
        <v/>
      </c>
      <c r="N179" s="42">
        <f>IF(D179=0,"—",IF(M179&gt;=0.25,"◎ 優良",IF(M179&gt;=0.15,"○ 良好",IF(M179&gt;=0.05,"△ 要注意","× 赤字"))))</f>
        <v/>
      </c>
      <c r="O179" s="49" t="inlineStr">
        <is>
          <t>C003一般</t>
        </is>
      </c>
      <c r="P179" s="51">
        <f>IF(D178&lt;&gt;0,D179/D178-1,"")</f>
        <v/>
      </c>
      <c r="Q179" s="50">
        <f>IFERROR(D179/100,0)</f>
        <v/>
      </c>
    </row>
    <row r="180" ht="21" customHeight="1">
      <c r="A180" s="47" t="inlineStr">
        <is>
          <t>615-3</t>
        </is>
      </c>
      <c r="B180" s="48" t="inlineStr">
        <is>
          <t>現金2</t>
        </is>
      </c>
      <c r="C180" s="40" t="inlineStr">
        <is>
          <t>2025-08</t>
        </is>
      </c>
      <c r="D180" s="41">
        <f>IFERROR(VLOOKUP(C180,▼売上原票!$A:$P,12,0),0)</f>
        <v/>
      </c>
      <c r="E180" s="12" t="n"/>
      <c r="F180" s="12" t="n"/>
      <c r="G180" s="12" t="n"/>
      <c r="H180" s="12" t="n"/>
      <c r="I180" s="12" t="n"/>
      <c r="J180" s="12" t="n"/>
      <c r="K180" s="13">
        <f>E180+F180+G180+H180+I180+J180</f>
        <v/>
      </c>
      <c r="L180" s="14">
        <f>D180-K180</f>
        <v/>
      </c>
      <c r="M180" s="15">
        <f>IF(D180&lt;&gt;0,L180/D180,0)</f>
        <v/>
      </c>
      <c r="N180" s="42">
        <f>IF(D180=0,"—",IF(M180&gt;=0.25,"◎ 優良",IF(M180&gt;=0.15,"○ 良好",IF(M180&gt;=0.05,"△ 要注意","× 赤字"))))</f>
        <v/>
      </c>
      <c r="O180" s="49" t="inlineStr">
        <is>
          <t>C003一般</t>
        </is>
      </c>
      <c r="P180" s="51">
        <f>IF(D179&lt;&gt;0,D180/D179-1,"")</f>
        <v/>
      </c>
      <c r="Q180" s="50">
        <f>IFERROR(D180/100,0)</f>
        <v/>
      </c>
    </row>
    <row r="181" ht="21" customHeight="1">
      <c r="A181" s="47" t="inlineStr">
        <is>
          <t>615-3</t>
        </is>
      </c>
      <c r="B181" s="48" t="inlineStr">
        <is>
          <t>現金2</t>
        </is>
      </c>
      <c r="C181" s="40" t="inlineStr">
        <is>
          <t>2025-09</t>
        </is>
      </c>
      <c r="D181" s="41">
        <f>IFERROR(VLOOKUP(C181,▼売上原票!$A:$P,12,0),0)</f>
        <v/>
      </c>
      <c r="E181" s="12" t="n"/>
      <c r="F181" s="12" t="n"/>
      <c r="G181" s="12" t="n"/>
      <c r="H181" s="12" t="n"/>
      <c r="I181" s="12" t="n"/>
      <c r="J181" s="12" t="n"/>
      <c r="K181" s="13">
        <f>E181+F181+G181+H181+I181+J181</f>
        <v/>
      </c>
      <c r="L181" s="14">
        <f>D181-K181</f>
        <v/>
      </c>
      <c r="M181" s="15">
        <f>IF(D181&lt;&gt;0,L181/D181,0)</f>
        <v/>
      </c>
      <c r="N181" s="42">
        <f>IF(D181=0,"—",IF(M181&gt;=0.25,"◎ 優良",IF(M181&gt;=0.15,"○ 良好",IF(M181&gt;=0.05,"△ 要注意","× 赤字"))))</f>
        <v/>
      </c>
      <c r="O181" s="49" t="inlineStr">
        <is>
          <t>C003一般</t>
        </is>
      </c>
      <c r="P181" s="51">
        <f>IF(D180&lt;&gt;0,D181/D180-1,"")</f>
        <v/>
      </c>
      <c r="Q181" s="50">
        <f>IFERROR(D181/100,0)</f>
        <v/>
      </c>
    </row>
    <row r="182" ht="21" customHeight="1">
      <c r="A182" s="47" t="inlineStr">
        <is>
          <t>615-3</t>
        </is>
      </c>
      <c r="B182" s="48" t="inlineStr">
        <is>
          <t>現金2</t>
        </is>
      </c>
      <c r="C182" s="40" t="inlineStr">
        <is>
          <t>2025-10</t>
        </is>
      </c>
      <c r="D182" s="41">
        <f>IFERROR(VLOOKUP(C182,▼売上原票!$A:$P,12,0),0)</f>
        <v/>
      </c>
      <c r="E182" s="12" t="n"/>
      <c r="F182" s="12" t="n"/>
      <c r="G182" s="12" t="n"/>
      <c r="H182" s="12" t="n"/>
      <c r="I182" s="12" t="n"/>
      <c r="J182" s="12" t="n"/>
      <c r="K182" s="13">
        <f>E182+F182+G182+H182+I182+J182</f>
        <v/>
      </c>
      <c r="L182" s="14">
        <f>D182-K182</f>
        <v/>
      </c>
      <c r="M182" s="15">
        <f>IF(D182&lt;&gt;0,L182/D182,0)</f>
        <v/>
      </c>
      <c r="N182" s="42">
        <f>IF(D182=0,"—",IF(M182&gt;=0.25,"◎ 優良",IF(M182&gt;=0.15,"○ 良好",IF(M182&gt;=0.05,"△ 要注意","× 赤字"))))</f>
        <v/>
      </c>
      <c r="O182" s="49" t="inlineStr">
        <is>
          <t>C003一般</t>
        </is>
      </c>
      <c r="P182" s="51">
        <f>IF(D181&lt;&gt;0,D182/D181-1,"")</f>
        <v/>
      </c>
      <c r="Q182" s="50">
        <f>IFERROR(D182/100,0)</f>
        <v/>
      </c>
    </row>
    <row r="183" ht="21" customHeight="1">
      <c r="A183" s="47" t="inlineStr">
        <is>
          <t>615-3</t>
        </is>
      </c>
      <c r="B183" s="48" t="inlineStr">
        <is>
          <t>現金2</t>
        </is>
      </c>
      <c r="C183" s="40" t="inlineStr">
        <is>
          <t>2025-11</t>
        </is>
      </c>
      <c r="D183" s="41">
        <f>IFERROR(VLOOKUP(C183,▼売上原票!$A:$P,12,0),0)</f>
        <v/>
      </c>
      <c r="E183" s="12" t="n"/>
      <c r="F183" s="12" t="n"/>
      <c r="G183" s="12" t="n"/>
      <c r="H183" s="12" t="n"/>
      <c r="I183" s="12" t="n"/>
      <c r="J183" s="12" t="n"/>
      <c r="K183" s="13">
        <f>E183+F183+G183+H183+I183+J183</f>
        <v/>
      </c>
      <c r="L183" s="14">
        <f>D183-K183</f>
        <v/>
      </c>
      <c r="M183" s="15">
        <f>IF(D183&lt;&gt;0,L183/D183,0)</f>
        <v/>
      </c>
      <c r="N183" s="42">
        <f>IF(D183=0,"—",IF(M183&gt;=0.25,"◎ 優良",IF(M183&gt;=0.15,"○ 良好",IF(M183&gt;=0.05,"△ 要注意","× 赤字"))))</f>
        <v/>
      </c>
      <c r="O183" s="49" t="inlineStr">
        <is>
          <t>C003一般</t>
        </is>
      </c>
      <c r="P183" s="51">
        <f>IF(D182&lt;&gt;0,D183/D182-1,"")</f>
        <v/>
      </c>
      <c r="Q183" s="50">
        <f>IFERROR(D183/100,0)</f>
        <v/>
      </c>
    </row>
    <row r="184" ht="5" customHeight="1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t="21" customHeight="1">
      <c r="A185" s="16" t="inlineStr">
        <is>
          <t>615-4</t>
        </is>
      </c>
      <c r="B185" s="25" t="inlineStr">
        <is>
          <t>有価物</t>
        </is>
      </c>
      <c r="C185" s="40" t="inlineStr">
        <is>
          <t>2024-07</t>
        </is>
      </c>
      <c r="D185" s="41">
        <f>IFERROR(VLOOKUP(C185,▼売上原票!$A:$P,13,0),0)</f>
        <v/>
      </c>
      <c r="E185" s="12" t="n"/>
      <c r="F185" s="12" t="n"/>
      <c r="G185" s="12" t="n"/>
      <c r="H185" s="12" t="n"/>
      <c r="I185" s="12" t="n"/>
      <c r="J185" s="12" t="n"/>
      <c r="K185" s="13">
        <f>E185+F185+G185+H185+I185+J185</f>
        <v/>
      </c>
      <c r="L185" s="14">
        <f>D185-K185</f>
        <v/>
      </c>
      <c r="M185" s="15">
        <f>IF(D185&lt;&gt;0,L185/D185,0)</f>
        <v/>
      </c>
      <c r="N185" s="42">
        <f>IF(D185=0,"—",IF(M185&gt;=0.25,"◎ 優良",IF(M185&gt;=0.15,"○ 良好",IF(M185&gt;=0.05,"△ 要注意","× 赤字"))))</f>
        <v/>
      </c>
      <c r="O185" s="27" t="inlineStr">
        <is>
          <t>C003一般</t>
        </is>
      </c>
      <c r="P185" s="27" t="inlineStr">
        <is>
          <t>—</t>
        </is>
      </c>
      <c r="Q185" s="46">
        <f>IFERROR(D185/100,0)</f>
        <v/>
      </c>
    </row>
    <row r="186" ht="21" customHeight="1">
      <c r="A186" s="16" t="inlineStr">
        <is>
          <t>615-4</t>
        </is>
      </c>
      <c r="B186" s="25" t="inlineStr">
        <is>
          <t>有価物</t>
        </is>
      </c>
      <c r="C186" s="40" t="inlineStr">
        <is>
          <t>2024-08</t>
        </is>
      </c>
      <c r="D186" s="41">
        <f>IFERROR(VLOOKUP(C186,▼売上原票!$A:$P,13,0),0)</f>
        <v/>
      </c>
      <c r="E186" s="12" t="n"/>
      <c r="F186" s="12" t="n"/>
      <c r="G186" s="12" t="n"/>
      <c r="H186" s="12" t="n"/>
      <c r="I186" s="12" t="n"/>
      <c r="J186" s="12" t="n"/>
      <c r="K186" s="13">
        <f>E186+F186+G186+H186+I186+J186</f>
        <v/>
      </c>
      <c r="L186" s="14">
        <f>D186-K186</f>
        <v/>
      </c>
      <c r="M186" s="15">
        <f>IF(D186&lt;&gt;0,L186/D186,0)</f>
        <v/>
      </c>
      <c r="N186" s="42">
        <f>IF(D186=0,"—",IF(M186&gt;=0.25,"◎ 優良",IF(M186&gt;=0.15,"○ 良好",IF(M186&gt;=0.05,"△ 要注意","× 赤字"))))</f>
        <v/>
      </c>
      <c r="O186" s="27" t="inlineStr">
        <is>
          <t>C003一般</t>
        </is>
      </c>
      <c r="P186" s="28">
        <f>IF(D185&lt;&gt;0,D186/D185-1,"")</f>
        <v/>
      </c>
      <c r="Q186" s="46">
        <f>IFERROR(D186/100,0)</f>
        <v/>
      </c>
    </row>
    <row r="187" ht="21" customHeight="1">
      <c r="A187" s="16" t="inlineStr">
        <is>
          <t>615-4</t>
        </is>
      </c>
      <c r="B187" s="25" t="inlineStr">
        <is>
          <t>有価物</t>
        </is>
      </c>
      <c r="C187" s="40" t="inlineStr">
        <is>
          <t>2024-09</t>
        </is>
      </c>
      <c r="D187" s="41">
        <f>IFERROR(VLOOKUP(C187,▼売上原票!$A:$P,13,0),0)</f>
        <v/>
      </c>
      <c r="E187" s="12" t="n"/>
      <c r="F187" s="12" t="n"/>
      <c r="G187" s="12" t="n"/>
      <c r="H187" s="12" t="n"/>
      <c r="I187" s="12" t="n"/>
      <c r="J187" s="12" t="n"/>
      <c r="K187" s="13">
        <f>E187+F187+G187+H187+I187+J187</f>
        <v/>
      </c>
      <c r="L187" s="14">
        <f>D187-K187</f>
        <v/>
      </c>
      <c r="M187" s="15">
        <f>IF(D187&lt;&gt;0,L187/D187,0)</f>
        <v/>
      </c>
      <c r="N187" s="42">
        <f>IF(D187=0,"—",IF(M187&gt;=0.25,"◎ 優良",IF(M187&gt;=0.15,"○ 良好",IF(M187&gt;=0.05,"△ 要注意","× 赤字"))))</f>
        <v/>
      </c>
      <c r="O187" s="27" t="inlineStr">
        <is>
          <t>C003一般</t>
        </is>
      </c>
      <c r="P187" s="28">
        <f>IF(D186&lt;&gt;0,D187/D186-1,"")</f>
        <v/>
      </c>
      <c r="Q187" s="46">
        <f>IFERROR(D187/100,0)</f>
        <v/>
      </c>
    </row>
    <row r="188" ht="21" customHeight="1">
      <c r="A188" s="16" t="inlineStr">
        <is>
          <t>615-4</t>
        </is>
      </c>
      <c r="B188" s="25" t="inlineStr">
        <is>
          <t>有価物</t>
        </is>
      </c>
      <c r="C188" s="40" t="inlineStr">
        <is>
          <t>2024-10</t>
        </is>
      </c>
      <c r="D188" s="41">
        <f>IFERROR(VLOOKUP(C188,▼売上原票!$A:$P,13,0),0)</f>
        <v/>
      </c>
      <c r="E188" s="12" t="n"/>
      <c r="F188" s="12" t="n"/>
      <c r="G188" s="12" t="n"/>
      <c r="H188" s="12" t="n"/>
      <c r="I188" s="12" t="n"/>
      <c r="J188" s="12" t="n"/>
      <c r="K188" s="13">
        <f>E188+F188+G188+H188+I188+J188</f>
        <v/>
      </c>
      <c r="L188" s="14">
        <f>D188-K188</f>
        <v/>
      </c>
      <c r="M188" s="15">
        <f>IF(D188&lt;&gt;0,L188/D188,0)</f>
        <v/>
      </c>
      <c r="N188" s="42">
        <f>IF(D188=0,"—",IF(M188&gt;=0.25,"◎ 優良",IF(M188&gt;=0.15,"○ 良好",IF(M188&gt;=0.05,"△ 要注意","× 赤字"))))</f>
        <v/>
      </c>
      <c r="O188" s="27" t="inlineStr">
        <is>
          <t>C003一般</t>
        </is>
      </c>
      <c r="P188" s="28">
        <f>IF(D187&lt;&gt;0,D188/D187-1,"")</f>
        <v/>
      </c>
      <c r="Q188" s="46">
        <f>IFERROR(D188/100,0)</f>
        <v/>
      </c>
    </row>
    <row r="189" ht="21" customHeight="1">
      <c r="A189" s="16" t="inlineStr">
        <is>
          <t>615-4</t>
        </is>
      </c>
      <c r="B189" s="25" t="inlineStr">
        <is>
          <t>有価物</t>
        </is>
      </c>
      <c r="C189" s="40" t="inlineStr">
        <is>
          <t>2024-11</t>
        </is>
      </c>
      <c r="D189" s="41">
        <f>IFERROR(VLOOKUP(C189,▼売上原票!$A:$P,13,0),0)</f>
        <v/>
      </c>
      <c r="E189" s="12" t="n"/>
      <c r="F189" s="12" t="n"/>
      <c r="G189" s="12" t="n"/>
      <c r="H189" s="12" t="n"/>
      <c r="I189" s="12" t="n"/>
      <c r="J189" s="12" t="n"/>
      <c r="K189" s="13">
        <f>E189+F189+G189+H189+I189+J189</f>
        <v/>
      </c>
      <c r="L189" s="14">
        <f>D189-K189</f>
        <v/>
      </c>
      <c r="M189" s="15">
        <f>IF(D189&lt;&gt;0,L189/D189,0)</f>
        <v/>
      </c>
      <c r="N189" s="42">
        <f>IF(D189=0,"—",IF(M189&gt;=0.25,"◎ 優良",IF(M189&gt;=0.15,"○ 良好",IF(M189&gt;=0.05,"△ 要注意","× 赤字"))))</f>
        <v/>
      </c>
      <c r="O189" s="27" t="inlineStr">
        <is>
          <t>C003一般</t>
        </is>
      </c>
      <c r="P189" s="28">
        <f>IF(D188&lt;&gt;0,D189/D188-1,"")</f>
        <v/>
      </c>
      <c r="Q189" s="46">
        <f>IFERROR(D189/100,0)</f>
        <v/>
      </c>
    </row>
    <row r="190" ht="21" customHeight="1">
      <c r="A190" s="16" t="inlineStr">
        <is>
          <t>615-4</t>
        </is>
      </c>
      <c r="B190" s="25" t="inlineStr">
        <is>
          <t>有価物</t>
        </is>
      </c>
      <c r="C190" s="40" t="inlineStr">
        <is>
          <t>2024-12</t>
        </is>
      </c>
      <c r="D190" s="41">
        <f>IFERROR(VLOOKUP(C190,▼売上原票!$A:$P,13,0),0)</f>
        <v/>
      </c>
      <c r="E190" s="12" t="n"/>
      <c r="F190" s="12" t="n"/>
      <c r="G190" s="12" t="n"/>
      <c r="H190" s="12" t="n"/>
      <c r="I190" s="12" t="n"/>
      <c r="J190" s="12" t="n"/>
      <c r="K190" s="13">
        <f>E190+F190+G190+H190+I190+J190</f>
        <v/>
      </c>
      <c r="L190" s="14">
        <f>D190-K190</f>
        <v/>
      </c>
      <c r="M190" s="15">
        <f>IF(D190&lt;&gt;0,L190/D190,0)</f>
        <v/>
      </c>
      <c r="N190" s="42">
        <f>IF(D190=0,"—",IF(M190&gt;=0.25,"◎ 優良",IF(M190&gt;=0.15,"○ 良好",IF(M190&gt;=0.05,"△ 要注意","× 赤字"))))</f>
        <v/>
      </c>
      <c r="O190" s="27" t="inlineStr">
        <is>
          <t>C003一般</t>
        </is>
      </c>
      <c r="P190" s="28">
        <f>IF(D189&lt;&gt;0,D190/D189-1,"")</f>
        <v/>
      </c>
      <c r="Q190" s="46">
        <f>IFERROR(D190/100,0)</f>
        <v/>
      </c>
    </row>
    <row r="191" ht="21" customHeight="1">
      <c r="A191" s="16" t="inlineStr">
        <is>
          <t>615-4</t>
        </is>
      </c>
      <c r="B191" s="25" t="inlineStr">
        <is>
          <t>有価物</t>
        </is>
      </c>
      <c r="C191" s="40" t="inlineStr">
        <is>
          <t>2025-01</t>
        </is>
      </c>
      <c r="D191" s="41">
        <f>IFERROR(VLOOKUP(C191,▼売上原票!$A:$P,13,0),0)</f>
        <v/>
      </c>
      <c r="E191" s="12" t="n"/>
      <c r="F191" s="12" t="n"/>
      <c r="G191" s="12" t="n"/>
      <c r="H191" s="12" t="n"/>
      <c r="I191" s="12" t="n"/>
      <c r="J191" s="12" t="n"/>
      <c r="K191" s="13">
        <f>E191+F191+G191+H191+I191+J191</f>
        <v/>
      </c>
      <c r="L191" s="14">
        <f>D191-K191</f>
        <v/>
      </c>
      <c r="M191" s="15">
        <f>IF(D191&lt;&gt;0,L191/D191,0)</f>
        <v/>
      </c>
      <c r="N191" s="42">
        <f>IF(D191=0,"—",IF(M191&gt;=0.25,"◎ 優良",IF(M191&gt;=0.15,"○ 良好",IF(M191&gt;=0.05,"△ 要注意","× 赤字"))))</f>
        <v/>
      </c>
      <c r="O191" s="27" t="inlineStr">
        <is>
          <t>C003一般</t>
        </is>
      </c>
      <c r="P191" s="28">
        <f>IF(D190&lt;&gt;0,D191/D190-1,"")</f>
        <v/>
      </c>
      <c r="Q191" s="46">
        <f>IFERROR(D191/100,0)</f>
        <v/>
      </c>
    </row>
    <row r="192" ht="21" customHeight="1">
      <c r="A192" s="16" t="inlineStr">
        <is>
          <t>615-4</t>
        </is>
      </c>
      <c r="B192" s="25" t="inlineStr">
        <is>
          <t>有価物</t>
        </is>
      </c>
      <c r="C192" s="40" t="inlineStr">
        <is>
          <t>2025-02</t>
        </is>
      </c>
      <c r="D192" s="41">
        <f>IFERROR(VLOOKUP(C192,▼売上原票!$A:$P,13,0),0)</f>
        <v/>
      </c>
      <c r="E192" s="12" t="n"/>
      <c r="F192" s="12" t="n"/>
      <c r="G192" s="12" t="n"/>
      <c r="H192" s="12" t="n"/>
      <c r="I192" s="12" t="n"/>
      <c r="J192" s="12" t="n"/>
      <c r="K192" s="13">
        <f>E192+F192+G192+H192+I192+J192</f>
        <v/>
      </c>
      <c r="L192" s="14">
        <f>D192-K192</f>
        <v/>
      </c>
      <c r="M192" s="15">
        <f>IF(D192&lt;&gt;0,L192/D192,0)</f>
        <v/>
      </c>
      <c r="N192" s="42">
        <f>IF(D192=0,"—",IF(M192&gt;=0.25,"◎ 優良",IF(M192&gt;=0.15,"○ 良好",IF(M192&gt;=0.05,"△ 要注意","× 赤字"))))</f>
        <v/>
      </c>
      <c r="O192" s="27" t="inlineStr">
        <is>
          <t>C003一般</t>
        </is>
      </c>
      <c r="P192" s="28">
        <f>IF(D191&lt;&gt;0,D192/D191-1,"")</f>
        <v/>
      </c>
      <c r="Q192" s="46">
        <f>IFERROR(D192/100,0)</f>
        <v/>
      </c>
    </row>
    <row r="193" ht="21" customHeight="1">
      <c r="A193" s="16" t="inlineStr">
        <is>
          <t>615-4</t>
        </is>
      </c>
      <c r="B193" s="25" t="inlineStr">
        <is>
          <t>有価物</t>
        </is>
      </c>
      <c r="C193" s="40" t="inlineStr">
        <is>
          <t>2025-03</t>
        </is>
      </c>
      <c r="D193" s="41">
        <f>IFERROR(VLOOKUP(C193,▼売上原票!$A:$P,13,0),0)</f>
        <v/>
      </c>
      <c r="E193" s="12" t="n"/>
      <c r="F193" s="12" t="n"/>
      <c r="G193" s="12" t="n"/>
      <c r="H193" s="12" t="n"/>
      <c r="I193" s="12" t="n"/>
      <c r="J193" s="12" t="n"/>
      <c r="K193" s="13">
        <f>E193+F193+G193+H193+I193+J193</f>
        <v/>
      </c>
      <c r="L193" s="14">
        <f>D193-K193</f>
        <v/>
      </c>
      <c r="M193" s="15">
        <f>IF(D193&lt;&gt;0,L193/D193,0)</f>
        <v/>
      </c>
      <c r="N193" s="42">
        <f>IF(D193=0,"—",IF(M193&gt;=0.25,"◎ 優良",IF(M193&gt;=0.15,"○ 良好",IF(M193&gt;=0.05,"△ 要注意","× 赤字"))))</f>
        <v/>
      </c>
      <c r="O193" s="27" t="inlineStr">
        <is>
          <t>C003一般</t>
        </is>
      </c>
      <c r="P193" s="28">
        <f>IF(D192&lt;&gt;0,D193/D192-1,"")</f>
        <v/>
      </c>
      <c r="Q193" s="46">
        <f>IFERROR(D193/100,0)</f>
        <v/>
      </c>
    </row>
    <row r="194" ht="21" customHeight="1">
      <c r="A194" s="16" t="inlineStr">
        <is>
          <t>615-4</t>
        </is>
      </c>
      <c r="B194" s="25" t="inlineStr">
        <is>
          <t>有価物</t>
        </is>
      </c>
      <c r="C194" s="40" t="inlineStr">
        <is>
          <t>2025-04</t>
        </is>
      </c>
      <c r="D194" s="41">
        <f>IFERROR(VLOOKUP(C194,▼売上原票!$A:$P,13,0),0)</f>
        <v/>
      </c>
      <c r="E194" s="12" t="n"/>
      <c r="F194" s="12" t="n"/>
      <c r="G194" s="12" t="n"/>
      <c r="H194" s="12" t="n"/>
      <c r="I194" s="12" t="n"/>
      <c r="J194" s="12" t="n"/>
      <c r="K194" s="13">
        <f>E194+F194+G194+H194+I194+J194</f>
        <v/>
      </c>
      <c r="L194" s="14">
        <f>D194-K194</f>
        <v/>
      </c>
      <c r="M194" s="15">
        <f>IF(D194&lt;&gt;0,L194/D194,0)</f>
        <v/>
      </c>
      <c r="N194" s="42">
        <f>IF(D194=0,"—",IF(M194&gt;=0.25,"◎ 優良",IF(M194&gt;=0.15,"○ 良好",IF(M194&gt;=0.05,"△ 要注意","× 赤字"))))</f>
        <v/>
      </c>
      <c r="O194" s="27" t="inlineStr">
        <is>
          <t>C003一般</t>
        </is>
      </c>
      <c r="P194" s="28">
        <f>IF(D193&lt;&gt;0,D194/D193-1,"")</f>
        <v/>
      </c>
      <c r="Q194" s="46">
        <f>IFERROR(D194/100,0)</f>
        <v/>
      </c>
    </row>
    <row r="195" ht="21" customHeight="1">
      <c r="A195" s="16" t="inlineStr">
        <is>
          <t>615-4</t>
        </is>
      </c>
      <c r="B195" s="25" t="inlineStr">
        <is>
          <t>有価物</t>
        </is>
      </c>
      <c r="C195" s="40" t="inlineStr">
        <is>
          <t>2025-05</t>
        </is>
      </c>
      <c r="D195" s="41">
        <f>IFERROR(VLOOKUP(C195,▼売上原票!$A:$P,13,0),0)</f>
        <v/>
      </c>
      <c r="E195" s="12" t="n"/>
      <c r="F195" s="12" t="n"/>
      <c r="G195" s="12" t="n"/>
      <c r="H195" s="12" t="n"/>
      <c r="I195" s="12" t="n"/>
      <c r="J195" s="12" t="n"/>
      <c r="K195" s="13">
        <f>E195+F195+G195+H195+I195+J195</f>
        <v/>
      </c>
      <c r="L195" s="14">
        <f>D195-K195</f>
        <v/>
      </c>
      <c r="M195" s="15">
        <f>IF(D195&lt;&gt;0,L195/D195,0)</f>
        <v/>
      </c>
      <c r="N195" s="42">
        <f>IF(D195=0,"—",IF(M195&gt;=0.25,"◎ 優良",IF(M195&gt;=0.15,"○ 良好",IF(M195&gt;=0.05,"△ 要注意","× 赤字"))))</f>
        <v/>
      </c>
      <c r="O195" s="27" t="inlineStr">
        <is>
          <t>C003一般</t>
        </is>
      </c>
      <c r="P195" s="28">
        <f>IF(D194&lt;&gt;0,D195/D194-1,"")</f>
        <v/>
      </c>
      <c r="Q195" s="46">
        <f>IFERROR(D195/100,0)</f>
        <v/>
      </c>
    </row>
    <row r="196" ht="21" customHeight="1">
      <c r="A196" s="16" t="inlineStr">
        <is>
          <t>615-4</t>
        </is>
      </c>
      <c r="B196" s="25" t="inlineStr">
        <is>
          <t>有価物</t>
        </is>
      </c>
      <c r="C196" s="40" t="inlineStr">
        <is>
          <t>2025-06</t>
        </is>
      </c>
      <c r="D196" s="41">
        <f>IFERROR(VLOOKUP(C196,▼売上原票!$A:$P,13,0),0)</f>
        <v/>
      </c>
      <c r="E196" s="12" t="n"/>
      <c r="F196" s="12" t="n"/>
      <c r="G196" s="12" t="n"/>
      <c r="H196" s="12" t="n"/>
      <c r="I196" s="12" t="n"/>
      <c r="J196" s="12" t="n"/>
      <c r="K196" s="13">
        <f>E196+F196+G196+H196+I196+J196</f>
        <v/>
      </c>
      <c r="L196" s="14">
        <f>D196-K196</f>
        <v/>
      </c>
      <c r="M196" s="15">
        <f>IF(D196&lt;&gt;0,L196/D196,0)</f>
        <v/>
      </c>
      <c r="N196" s="42">
        <f>IF(D196=0,"—",IF(M196&gt;=0.25,"◎ 優良",IF(M196&gt;=0.15,"○ 良好",IF(M196&gt;=0.05,"△ 要注意","× 赤字"))))</f>
        <v/>
      </c>
      <c r="O196" s="27" t="inlineStr">
        <is>
          <t>C003一般</t>
        </is>
      </c>
      <c r="P196" s="28">
        <f>IF(D195&lt;&gt;0,D196/D195-1,"")</f>
        <v/>
      </c>
      <c r="Q196" s="46">
        <f>IFERROR(D196/100,0)</f>
        <v/>
      </c>
    </row>
    <row r="197" ht="21" customHeight="1">
      <c r="A197" s="16" t="inlineStr">
        <is>
          <t>615-4</t>
        </is>
      </c>
      <c r="B197" s="25" t="inlineStr">
        <is>
          <t>有価物</t>
        </is>
      </c>
      <c r="C197" s="40" t="inlineStr">
        <is>
          <t>2025-07</t>
        </is>
      </c>
      <c r="D197" s="41">
        <f>IFERROR(VLOOKUP(C197,▼売上原票!$A:$P,13,0),0)</f>
        <v/>
      </c>
      <c r="E197" s="12" t="n"/>
      <c r="F197" s="12" t="n"/>
      <c r="G197" s="12" t="n"/>
      <c r="H197" s="12" t="n"/>
      <c r="I197" s="12" t="n"/>
      <c r="J197" s="12" t="n"/>
      <c r="K197" s="13">
        <f>E197+F197+G197+H197+I197+J197</f>
        <v/>
      </c>
      <c r="L197" s="14">
        <f>D197-K197</f>
        <v/>
      </c>
      <c r="M197" s="15">
        <f>IF(D197&lt;&gt;0,L197/D197,0)</f>
        <v/>
      </c>
      <c r="N197" s="42">
        <f>IF(D197=0,"—",IF(M197&gt;=0.25,"◎ 優良",IF(M197&gt;=0.15,"○ 良好",IF(M197&gt;=0.05,"△ 要注意","× 赤字"))))</f>
        <v/>
      </c>
      <c r="O197" s="27" t="inlineStr">
        <is>
          <t>C003一般</t>
        </is>
      </c>
      <c r="P197" s="28">
        <f>IF(D196&lt;&gt;0,D197/D196-1,"")</f>
        <v/>
      </c>
      <c r="Q197" s="46">
        <f>IFERROR(D197/100,0)</f>
        <v/>
      </c>
    </row>
    <row r="198" ht="21" customHeight="1">
      <c r="A198" s="16" t="inlineStr">
        <is>
          <t>615-4</t>
        </is>
      </c>
      <c r="B198" s="25" t="inlineStr">
        <is>
          <t>有価物</t>
        </is>
      </c>
      <c r="C198" s="40" t="inlineStr">
        <is>
          <t>2025-08</t>
        </is>
      </c>
      <c r="D198" s="41">
        <f>IFERROR(VLOOKUP(C198,▼売上原票!$A:$P,13,0),0)</f>
        <v/>
      </c>
      <c r="E198" s="12" t="n"/>
      <c r="F198" s="12" t="n"/>
      <c r="G198" s="12" t="n"/>
      <c r="H198" s="12" t="n"/>
      <c r="I198" s="12" t="n"/>
      <c r="J198" s="12" t="n"/>
      <c r="K198" s="13">
        <f>E198+F198+G198+H198+I198+J198</f>
        <v/>
      </c>
      <c r="L198" s="14">
        <f>D198-K198</f>
        <v/>
      </c>
      <c r="M198" s="15">
        <f>IF(D198&lt;&gt;0,L198/D198,0)</f>
        <v/>
      </c>
      <c r="N198" s="42">
        <f>IF(D198=0,"—",IF(M198&gt;=0.25,"◎ 優良",IF(M198&gt;=0.15,"○ 良好",IF(M198&gt;=0.05,"△ 要注意","× 赤字"))))</f>
        <v/>
      </c>
      <c r="O198" s="27" t="inlineStr">
        <is>
          <t>C003一般</t>
        </is>
      </c>
      <c r="P198" s="28">
        <f>IF(D197&lt;&gt;0,D198/D197-1,"")</f>
        <v/>
      </c>
      <c r="Q198" s="46">
        <f>IFERROR(D198/100,0)</f>
        <v/>
      </c>
    </row>
    <row r="199" ht="21" customHeight="1">
      <c r="A199" s="16" t="inlineStr">
        <is>
          <t>615-4</t>
        </is>
      </c>
      <c r="B199" s="25" t="inlineStr">
        <is>
          <t>有価物</t>
        </is>
      </c>
      <c r="C199" s="40" t="inlineStr">
        <is>
          <t>2025-09</t>
        </is>
      </c>
      <c r="D199" s="41">
        <f>IFERROR(VLOOKUP(C199,▼売上原票!$A:$P,13,0),0)</f>
        <v/>
      </c>
      <c r="E199" s="12" t="n"/>
      <c r="F199" s="12" t="n"/>
      <c r="G199" s="12" t="n"/>
      <c r="H199" s="12" t="n"/>
      <c r="I199" s="12" t="n"/>
      <c r="J199" s="12" t="n"/>
      <c r="K199" s="13">
        <f>E199+F199+G199+H199+I199+J199</f>
        <v/>
      </c>
      <c r="L199" s="14">
        <f>D199-K199</f>
        <v/>
      </c>
      <c r="M199" s="15">
        <f>IF(D199&lt;&gt;0,L199/D199,0)</f>
        <v/>
      </c>
      <c r="N199" s="42">
        <f>IF(D199=0,"—",IF(M199&gt;=0.25,"◎ 優良",IF(M199&gt;=0.15,"○ 良好",IF(M199&gt;=0.05,"△ 要注意","× 赤字"))))</f>
        <v/>
      </c>
      <c r="O199" s="27" t="inlineStr">
        <is>
          <t>C003一般</t>
        </is>
      </c>
      <c r="P199" s="28">
        <f>IF(D198&lt;&gt;0,D199/D198-1,"")</f>
        <v/>
      </c>
      <c r="Q199" s="46">
        <f>IFERROR(D199/100,0)</f>
        <v/>
      </c>
    </row>
    <row r="200" ht="21" customHeight="1">
      <c r="A200" s="16" t="inlineStr">
        <is>
          <t>615-4</t>
        </is>
      </c>
      <c r="B200" s="25" t="inlineStr">
        <is>
          <t>有価物</t>
        </is>
      </c>
      <c r="C200" s="40" t="inlineStr">
        <is>
          <t>2025-10</t>
        </is>
      </c>
      <c r="D200" s="41">
        <f>IFERROR(VLOOKUP(C200,▼売上原票!$A:$P,13,0),0)</f>
        <v/>
      </c>
      <c r="E200" s="12" t="n"/>
      <c r="F200" s="12" t="n"/>
      <c r="G200" s="12" t="n"/>
      <c r="H200" s="12" t="n"/>
      <c r="I200" s="12" t="n"/>
      <c r="J200" s="12" t="n"/>
      <c r="K200" s="13">
        <f>E200+F200+G200+H200+I200+J200</f>
        <v/>
      </c>
      <c r="L200" s="14">
        <f>D200-K200</f>
        <v/>
      </c>
      <c r="M200" s="15">
        <f>IF(D200&lt;&gt;0,L200/D200,0)</f>
        <v/>
      </c>
      <c r="N200" s="42">
        <f>IF(D200=0,"—",IF(M200&gt;=0.25,"◎ 優良",IF(M200&gt;=0.15,"○ 良好",IF(M200&gt;=0.05,"△ 要注意","× 赤字"))))</f>
        <v/>
      </c>
      <c r="O200" s="27" t="inlineStr">
        <is>
          <t>C003一般</t>
        </is>
      </c>
      <c r="P200" s="28">
        <f>IF(D199&lt;&gt;0,D200/D199-1,"")</f>
        <v/>
      </c>
      <c r="Q200" s="46">
        <f>IFERROR(D200/100,0)</f>
        <v/>
      </c>
    </row>
    <row r="201" ht="21" customHeight="1">
      <c r="A201" s="16" t="inlineStr">
        <is>
          <t>615-4</t>
        </is>
      </c>
      <c r="B201" s="25" t="inlineStr">
        <is>
          <t>有価物</t>
        </is>
      </c>
      <c r="C201" s="40" t="inlineStr">
        <is>
          <t>2025-11</t>
        </is>
      </c>
      <c r="D201" s="41">
        <f>IFERROR(VLOOKUP(C201,▼売上原票!$A:$P,13,0),0)</f>
        <v/>
      </c>
      <c r="E201" s="12" t="n"/>
      <c r="F201" s="12" t="n"/>
      <c r="G201" s="12" t="n"/>
      <c r="H201" s="12" t="n"/>
      <c r="I201" s="12" t="n"/>
      <c r="J201" s="12" t="n"/>
      <c r="K201" s="13">
        <f>E201+F201+G201+H201+I201+J201</f>
        <v/>
      </c>
      <c r="L201" s="14">
        <f>D201-K201</f>
        <v/>
      </c>
      <c r="M201" s="15">
        <f>IF(D201&lt;&gt;0,L201/D201,0)</f>
        <v/>
      </c>
      <c r="N201" s="42">
        <f>IF(D201=0,"—",IF(M201&gt;=0.25,"◎ 優良",IF(M201&gt;=0.15,"○ 良好",IF(M201&gt;=0.05,"△ 要注意","× 赤字"))))</f>
        <v/>
      </c>
      <c r="O201" s="27" t="inlineStr">
        <is>
          <t>C003一般</t>
        </is>
      </c>
      <c r="P201" s="28">
        <f>IF(D200&lt;&gt;0,D201/D200-1,"")</f>
        <v/>
      </c>
      <c r="Q201" s="46">
        <f>IFERROR(D201/100,0)</f>
        <v/>
      </c>
    </row>
    <row r="202" ht="5" customHeight="1">
      <c r="A202" s="44" t="n"/>
      <c r="B202" s="44" t="n"/>
      <c r="C202" s="44" t="n"/>
      <c r="D202" s="44" t="n"/>
      <c r="E202" s="44" t="n"/>
      <c r="F202" s="44" t="n"/>
      <c r="G202" s="44" t="n"/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</row>
  </sheetData>
  <mergeCells count="20">
    <mergeCell ref="G4"/>
    <mergeCell ref="I4"/>
    <mergeCell ref="B3:B4"/>
    <mergeCell ref="L3:L4"/>
    <mergeCell ref="N3:N4"/>
    <mergeCell ref="K4"/>
    <mergeCell ref="F4"/>
    <mergeCell ref="A3:A4"/>
    <mergeCell ref="E3:K3"/>
    <mergeCell ref="M3:M4"/>
    <mergeCell ref="D3:D4"/>
    <mergeCell ref="H4"/>
    <mergeCell ref="E4"/>
    <mergeCell ref="P3:P4"/>
    <mergeCell ref="A1:S1"/>
    <mergeCell ref="J4"/>
    <mergeCell ref="C3:C4"/>
    <mergeCell ref="O3:O4"/>
    <mergeCell ref="Q3:Q4"/>
    <mergeCell ref="A2:S2"/>
  </mergeCells>
  <conditionalFormatting sqref="N5:N202">
    <cfRule type="expression" priority="1" dxfId="0">
      <formula>N5="◎ 優良"</formula>
    </cfRule>
    <cfRule type="expression" priority="2" dxfId="1">
      <formula>N5="○ 良好"</formula>
    </cfRule>
    <cfRule type="expression" priority="3" dxfId="2">
      <formula>N5="△ 要注意"</formula>
    </cfRule>
    <cfRule type="expression" priority="4" dxfId="3">
      <formula>N5="× 赤字"</formula>
    </cfRule>
  </conditionalFormatting>
  <conditionalFormatting sqref="M5:M202">
    <cfRule type="colorScale" priority="5">
      <colorScale>
        <cfvo type="num" val="0"/>
        <cfvo type="num" val="0.15"/>
        <cfvo type="num" val="0.3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5577"/>
    <outlinePr summaryBelow="1" summaryRight="1"/>
    <pageSetUpPr/>
  </sheetPr>
  <dimension ref="A1:P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  <col width="11" customWidth="1" min="15" max="15"/>
    <col width="15" customWidth="1" min="16" max="16"/>
  </cols>
  <sheetData>
    <row r="1" ht="30" customHeight="1">
      <c r="A1" s="52" t="inlineStr">
        <is>
          <t>▼売上原票　月次売上実績（科目別・税抜）　※このシートは直接編集しないでください</t>
        </is>
      </c>
    </row>
    <row r="2" ht="16" customHeight="1">
      <c r="A2" s="2" t="inlineStr">
        <is>
          <t>【毎月の更新方法】 新しい月のデータを最終行の下に1行追加してください。A列=YYYY-MM、C〜M列=各科目売上（税抜円）</t>
        </is>
      </c>
    </row>
    <row r="3" ht="36" customHeight="1">
      <c r="A3" s="53" t="inlineStr">
        <is>
          <t>年月
★VLOOKUPキー</t>
        </is>
      </c>
      <c r="B3" s="53" t="inlineStr">
        <is>
          <t>R表記</t>
        </is>
      </c>
      <c r="C3" s="53" t="inlineStr">
        <is>
          <t>612-1
運送（本社）</t>
        </is>
      </c>
      <c r="D3" s="53" t="inlineStr">
        <is>
          <t>612-2
入札（公共）</t>
        </is>
      </c>
      <c r="E3" s="53" t="inlineStr">
        <is>
          <t>613-1
車輌</t>
        </is>
      </c>
      <c r="F3" s="53" t="inlineStr">
        <is>
          <t>613-2
KC</t>
        </is>
      </c>
      <c r="G3" s="53" t="inlineStr">
        <is>
          <t>614-1
コンテナ</t>
        </is>
      </c>
      <c r="H3" s="53" t="inlineStr">
        <is>
          <t>614-2
ENDO</t>
        </is>
      </c>
      <c r="I3" s="53" t="inlineStr">
        <is>
          <t>614-3
現金</t>
        </is>
      </c>
      <c r="J3" s="53" t="inlineStr">
        <is>
          <t>615-1
板橋</t>
        </is>
      </c>
      <c r="K3" s="53" t="inlineStr">
        <is>
          <t>615-2
新横浜</t>
        </is>
      </c>
      <c r="L3" s="53" t="inlineStr">
        <is>
          <t>615-3
現金2</t>
        </is>
      </c>
      <c r="M3" s="53" t="inlineStr">
        <is>
          <t>615-4
有価物</t>
        </is>
      </c>
      <c r="N3" s="53" t="inlineStr">
        <is>
          <t>合計
(税抜)</t>
        </is>
      </c>
      <c r="O3" s="53" t="inlineStr">
        <is>
          <t>消費税
(△)</t>
        </is>
      </c>
      <c r="P3" s="53" t="inlineStr">
        <is>
          <t>合計
(税込)</t>
        </is>
      </c>
    </row>
    <row r="4" ht="19" customHeight="1">
      <c r="A4" s="54" t="inlineStr">
        <is>
          <t>2024-07</t>
        </is>
      </c>
      <c r="B4" s="55" t="inlineStr">
        <is>
          <t>R6.7</t>
        </is>
      </c>
      <c r="C4" s="56" t="n">
        <v>13754437</v>
      </c>
      <c r="D4" s="56" t="n">
        <v>42726740</v>
      </c>
      <c r="E4" s="56" t="n">
        <v>777000</v>
      </c>
      <c r="F4" s="56" t="n">
        <v>40000</v>
      </c>
      <c r="G4" s="56" t="n">
        <v>504500</v>
      </c>
      <c r="H4" s="56" t="n">
        <v>527664</v>
      </c>
      <c r="I4" s="56" t="n">
        <v>261000</v>
      </c>
      <c r="J4" s="56" t="n">
        <v>25593317</v>
      </c>
      <c r="K4" s="56" t="n">
        <v>4417112</v>
      </c>
      <c r="L4" s="56" t="n">
        <v>36000</v>
      </c>
      <c r="M4" s="56" t="n">
        <v>138460</v>
      </c>
      <c r="N4" s="38" t="n">
        <v>88776230</v>
      </c>
      <c r="O4" s="56" t="n">
        <v>-80705664</v>
      </c>
      <c r="P4" s="57">
        <f>IF(N4&lt;&gt;"",N4+O4,"")</f>
        <v/>
      </c>
    </row>
    <row r="5" ht="19" customHeight="1">
      <c r="A5" s="58" t="inlineStr">
        <is>
          <t>2024-08</t>
        </is>
      </c>
      <c r="B5" s="59" t="inlineStr">
        <is>
          <t>R6.8</t>
        </is>
      </c>
      <c r="C5" s="60" t="n">
        <v>13060970</v>
      </c>
      <c r="D5" s="60" t="n">
        <v>36972090</v>
      </c>
      <c r="E5" s="60" t="n">
        <v>789000</v>
      </c>
      <c r="F5" s="60" t="n">
        <v>1000228</v>
      </c>
      <c r="G5" s="60" t="n">
        <v>507200</v>
      </c>
      <c r="H5" s="60" t="n">
        <v>518000</v>
      </c>
      <c r="I5" s="60" t="n"/>
      <c r="J5" s="60" t="n">
        <v>20527297</v>
      </c>
      <c r="K5" s="60" t="n">
        <v>4953790</v>
      </c>
      <c r="L5" s="60" t="n">
        <v>57000</v>
      </c>
      <c r="M5" s="60" t="n">
        <v>172726</v>
      </c>
      <c r="N5" s="31" t="n">
        <v>78558301</v>
      </c>
      <c r="O5" s="60" t="n">
        <v>-71416637</v>
      </c>
      <c r="P5" s="61">
        <f>IF(N5&lt;&gt;"",N5+O5,"")</f>
        <v/>
      </c>
    </row>
    <row r="6" ht="19" customHeight="1">
      <c r="A6" s="54" t="inlineStr">
        <is>
          <t>2024-09</t>
        </is>
      </c>
      <c r="B6" s="55" t="inlineStr">
        <is>
          <t>R6.9</t>
        </is>
      </c>
      <c r="C6" s="56" t="n">
        <v>13837910</v>
      </c>
      <c r="D6" s="56" t="n">
        <v>37268605</v>
      </c>
      <c r="E6" s="56" t="n">
        <v>1143000</v>
      </c>
      <c r="F6" s="56" t="n"/>
      <c r="G6" s="56" t="n">
        <v>513500</v>
      </c>
      <c r="H6" s="56" t="n">
        <v>480000</v>
      </c>
      <c r="I6" s="56" t="n"/>
      <c r="J6" s="56" t="n">
        <v>22121458</v>
      </c>
      <c r="K6" s="56" t="n">
        <v>4072534</v>
      </c>
      <c r="L6" s="56" t="n">
        <v>54000</v>
      </c>
      <c r="M6" s="56" t="n">
        <v>162126</v>
      </c>
      <c r="N6" s="38" t="n">
        <v>79653133</v>
      </c>
      <c r="O6" s="56" t="n">
        <v>-72411939</v>
      </c>
      <c r="P6" s="57">
        <f>IF(N6&lt;&gt;"",N6+O6,"")</f>
        <v/>
      </c>
    </row>
    <row r="7" ht="19" customHeight="1">
      <c r="A7" s="58" t="inlineStr">
        <is>
          <t>2024-10</t>
        </is>
      </c>
      <c r="B7" s="59" t="inlineStr">
        <is>
          <t>R6.10</t>
        </is>
      </c>
      <c r="C7" s="60" t="n">
        <v>14538480</v>
      </c>
      <c r="D7" s="60" t="n">
        <v>39318469</v>
      </c>
      <c r="E7" s="60" t="n">
        <v>2859000</v>
      </c>
      <c r="F7" s="60" t="n">
        <v>3879338</v>
      </c>
      <c r="G7" s="60" t="n">
        <v>519500</v>
      </c>
      <c r="H7" s="60" t="n">
        <v>665902</v>
      </c>
      <c r="I7" s="60" t="n">
        <v>45000</v>
      </c>
      <c r="J7" s="60" t="n">
        <v>20930409</v>
      </c>
      <c r="K7" s="60" t="n">
        <v>4513589</v>
      </c>
      <c r="L7" s="60" t="n">
        <v>106000</v>
      </c>
      <c r="M7" s="60" t="n">
        <v>132040</v>
      </c>
      <c r="N7" s="31" t="n">
        <v>87507727</v>
      </c>
      <c r="O7" s="60" t="n">
        <v>-79552479</v>
      </c>
      <c r="P7" s="61">
        <f>IF(N7&lt;&gt;"",N7+O7,"")</f>
        <v/>
      </c>
    </row>
    <row r="8" ht="19" customHeight="1">
      <c r="A8" s="54" t="inlineStr">
        <is>
          <t>2024-11</t>
        </is>
      </c>
      <c r="B8" s="55" t="inlineStr">
        <is>
          <t>R6.11</t>
        </is>
      </c>
      <c r="C8" s="56" t="n">
        <v>12832260</v>
      </c>
      <c r="D8" s="56" t="n">
        <v>40166406</v>
      </c>
      <c r="E8" s="56" t="n">
        <v>891000</v>
      </c>
      <c r="F8" s="56" t="n">
        <v>2729582</v>
      </c>
      <c r="G8" s="56" t="n">
        <v>552500</v>
      </c>
      <c r="H8" s="56" t="n">
        <v>962040</v>
      </c>
      <c r="I8" s="56" t="n"/>
      <c r="J8" s="56" t="n">
        <v>21039598</v>
      </c>
      <c r="K8" s="56" t="n">
        <v>4677613</v>
      </c>
      <c r="L8" s="56" t="n">
        <v>54000</v>
      </c>
      <c r="M8" s="56" t="n">
        <v>131610</v>
      </c>
      <c r="N8" s="38" t="n">
        <v>84036609</v>
      </c>
      <c r="O8" s="56" t="n">
        <v>-76396917</v>
      </c>
      <c r="P8" s="57">
        <f>IF(N8&lt;&gt;"",N8+O8,"")</f>
        <v/>
      </c>
    </row>
    <row r="9" ht="19" customHeight="1">
      <c r="A9" s="58" t="inlineStr">
        <is>
          <t>2024-12</t>
        </is>
      </c>
      <c r="B9" s="59" t="inlineStr">
        <is>
          <t>R6.12</t>
        </is>
      </c>
      <c r="C9" s="60" t="n">
        <v>13385794</v>
      </c>
      <c r="D9" s="60" t="n">
        <v>36230090</v>
      </c>
      <c r="E9" s="60" t="n">
        <v>885000</v>
      </c>
      <c r="F9" s="60" t="n">
        <v>3927473</v>
      </c>
      <c r="G9" s="60" t="n">
        <v>543500</v>
      </c>
      <c r="H9" s="60" t="n">
        <v>247700</v>
      </c>
      <c r="I9" s="60" t="n">
        <v>928500</v>
      </c>
      <c r="J9" s="60" t="n">
        <v>21774932</v>
      </c>
      <c r="K9" s="60" t="n">
        <v>4842835</v>
      </c>
      <c r="L9" s="60" t="n">
        <v>27000</v>
      </c>
      <c r="M9" s="60" t="n">
        <v>212926</v>
      </c>
      <c r="N9" s="31" t="n">
        <v>83005750</v>
      </c>
      <c r="O9" s="60" t="n">
        <v>-75459773</v>
      </c>
      <c r="P9" s="61">
        <f>IF(N9&lt;&gt;"",N9+O9,"")</f>
        <v/>
      </c>
    </row>
    <row r="10" ht="19" customHeight="1">
      <c r="A10" s="54" t="inlineStr">
        <is>
          <t>2025-01</t>
        </is>
      </c>
      <c r="B10" s="55" t="inlineStr">
        <is>
          <t>R7.1</t>
        </is>
      </c>
      <c r="C10" s="56" t="n">
        <v>11619926</v>
      </c>
      <c r="D10" s="56" t="n">
        <v>37239620</v>
      </c>
      <c r="E10" s="56" t="n"/>
      <c r="F10" s="56" t="n">
        <v>1249028</v>
      </c>
      <c r="G10" s="56" t="n">
        <v>534500</v>
      </c>
      <c r="H10" s="56" t="n">
        <v>300000</v>
      </c>
      <c r="I10" s="56" t="n">
        <v>70000</v>
      </c>
      <c r="J10" s="56" t="n">
        <v>19408606</v>
      </c>
      <c r="K10" s="56" t="n">
        <v>4149715</v>
      </c>
      <c r="L10" s="56" t="n">
        <v>18000</v>
      </c>
      <c r="M10" s="56" t="n">
        <v>133330</v>
      </c>
      <c r="N10" s="38" t="n">
        <v>74722725</v>
      </c>
      <c r="O10" s="56" t="n">
        <v>-67929750</v>
      </c>
      <c r="P10" s="57">
        <f>IF(N10&lt;&gt;"",N10+O10,"")</f>
        <v/>
      </c>
    </row>
    <row r="11" ht="19" customHeight="1">
      <c r="A11" s="58" t="inlineStr">
        <is>
          <t>2025-02</t>
        </is>
      </c>
      <c r="B11" s="59" t="inlineStr">
        <is>
          <t>R7.2</t>
        </is>
      </c>
      <c r="C11" s="60" t="n">
        <v>12256849</v>
      </c>
      <c r="D11" s="60" t="n">
        <v>35273064</v>
      </c>
      <c r="E11" s="60" t="n">
        <v>716000</v>
      </c>
      <c r="F11" s="60" t="n"/>
      <c r="G11" s="60" t="n">
        <v>534500</v>
      </c>
      <c r="H11" s="60" t="n">
        <v>150400</v>
      </c>
      <c r="I11" s="60" t="n"/>
      <c r="J11" s="60" t="n">
        <v>18823147</v>
      </c>
      <c r="K11" s="60" t="n">
        <v>3791480</v>
      </c>
      <c r="L11" s="60" t="n">
        <v>75864</v>
      </c>
      <c r="M11" s="60" t="n">
        <v>163880</v>
      </c>
      <c r="N11" s="31" t="n">
        <v>71785184</v>
      </c>
      <c r="O11" s="60" t="n">
        <v>-65259258</v>
      </c>
      <c r="P11" s="61">
        <f>IF(N11&lt;&gt;"",N11+O11,"")</f>
        <v/>
      </c>
    </row>
    <row r="12" ht="19" customHeight="1">
      <c r="A12" s="54" t="inlineStr">
        <is>
          <t>2025-03</t>
        </is>
      </c>
      <c r="B12" s="55" t="inlineStr">
        <is>
          <t>R7.3</t>
        </is>
      </c>
      <c r="C12" s="56" t="n">
        <v>12036342</v>
      </c>
      <c r="D12" s="56" t="n">
        <v>39891431</v>
      </c>
      <c r="E12" s="56" t="n"/>
      <c r="F12" s="56" t="n">
        <v>4399519</v>
      </c>
      <c r="G12" s="56" t="n">
        <v>534500</v>
      </c>
      <c r="H12" s="56" t="n">
        <v>35728</v>
      </c>
      <c r="I12" s="56" t="n">
        <v>177600</v>
      </c>
      <c r="J12" s="56" t="n">
        <v>21429591</v>
      </c>
      <c r="K12" s="56" t="n">
        <v>5604911</v>
      </c>
      <c r="L12" s="56" t="n">
        <v>73000</v>
      </c>
      <c r="M12" s="56" t="n">
        <v>167470</v>
      </c>
      <c r="N12" s="38" t="n">
        <v>84350092</v>
      </c>
      <c r="O12" s="56" t="n">
        <v>-76681902</v>
      </c>
      <c r="P12" s="57">
        <f>IF(N12&lt;&gt;"",N12+O12,"")</f>
        <v/>
      </c>
    </row>
    <row r="13" ht="19" customHeight="1">
      <c r="A13" s="58" t="inlineStr">
        <is>
          <t>2025-04</t>
        </is>
      </c>
      <c r="B13" s="59" t="inlineStr">
        <is>
          <t>R7.4</t>
        </is>
      </c>
      <c r="C13" s="60" t="n">
        <v>13732489</v>
      </c>
      <c r="D13" s="60" t="n">
        <v>42565460</v>
      </c>
      <c r="E13" s="60" t="n">
        <v>320000</v>
      </c>
      <c r="F13" s="60" t="n"/>
      <c r="G13" s="60" t="n">
        <v>579000</v>
      </c>
      <c r="H13" s="60" t="n">
        <v>20000</v>
      </c>
      <c r="I13" s="60" t="n">
        <v>385190</v>
      </c>
      <c r="J13" s="60" t="n">
        <v>20293634</v>
      </c>
      <c r="K13" s="60" t="n">
        <v>4392253</v>
      </c>
      <c r="L13" s="60" t="n">
        <v>54000</v>
      </c>
      <c r="M13" s="60" t="n">
        <v>126695</v>
      </c>
      <c r="N13" s="31" t="n">
        <v>82468721</v>
      </c>
      <c r="O13" s="60" t="n">
        <v>-74971565</v>
      </c>
      <c r="P13" s="61">
        <f>IF(N13&lt;&gt;"",N13+O13,"")</f>
        <v/>
      </c>
    </row>
    <row r="14" ht="19" customHeight="1">
      <c r="A14" s="54" t="inlineStr">
        <is>
          <t>2025-05</t>
        </is>
      </c>
      <c r="B14" s="55" t="inlineStr">
        <is>
          <t>R7.5</t>
        </is>
      </c>
      <c r="C14" s="56" t="n">
        <v>12433945</v>
      </c>
      <c r="D14" s="56" t="n">
        <v>42621987</v>
      </c>
      <c r="E14" s="56" t="n">
        <v>24000</v>
      </c>
      <c r="F14" s="56" t="n"/>
      <c r="G14" s="56" t="n">
        <v>399500</v>
      </c>
      <c r="H14" s="56" t="n">
        <v>375209</v>
      </c>
      <c r="I14" s="56" t="n">
        <v>4439900</v>
      </c>
      <c r="J14" s="56" t="n">
        <v>20536694</v>
      </c>
      <c r="K14" s="56" t="n">
        <v>4686122</v>
      </c>
      <c r="L14" s="56" t="n">
        <v>49068</v>
      </c>
      <c r="M14" s="56" t="n">
        <v>116600</v>
      </c>
      <c r="N14" s="38" t="n">
        <v>85683025</v>
      </c>
      <c r="O14" s="56" t="n">
        <v>-77893659</v>
      </c>
      <c r="P14" s="57">
        <f>IF(N14&lt;&gt;"",N14+O14,"")</f>
        <v/>
      </c>
    </row>
    <row r="15" ht="19" customHeight="1">
      <c r="A15" s="58" t="inlineStr">
        <is>
          <t>2025-06</t>
        </is>
      </c>
      <c r="B15" s="59" t="inlineStr">
        <is>
          <t>R7.6</t>
        </is>
      </c>
      <c r="C15" s="60" t="n">
        <v>12725923</v>
      </c>
      <c r="D15" s="60" t="n">
        <v>42039492</v>
      </c>
      <c r="E15" s="60" t="n">
        <v>560000</v>
      </c>
      <c r="F15" s="60" t="n">
        <v>6678437</v>
      </c>
      <c r="G15" s="60" t="n">
        <v>639500</v>
      </c>
      <c r="H15" s="60" t="n">
        <v>66155</v>
      </c>
      <c r="I15" s="60" t="n">
        <v>811380</v>
      </c>
      <c r="J15" s="60" t="n">
        <v>21382460</v>
      </c>
      <c r="K15" s="60" t="n">
        <v>4686956</v>
      </c>
      <c r="L15" s="60" t="n">
        <v>282934</v>
      </c>
      <c r="M15" s="60" t="n">
        <v>233890</v>
      </c>
      <c r="N15" s="31" t="n">
        <v>90107127</v>
      </c>
      <c r="O15" s="60" t="n">
        <v>-81915570</v>
      </c>
      <c r="P15" s="61">
        <f>IF(N15&lt;&gt;"",N15+O15,"")</f>
        <v/>
      </c>
    </row>
    <row r="16" ht="19" customHeight="1">
      <c r="A16" s="54" t="inlineStr">
        <is>
          <t>2025-07</t>
        </is>
      </c>
      <c r="B16" s="55" t="inlineStr">
        <is>
          <t>R7.7</t>
        </is>
      </c>
      <c r="C16" s="56" t="n">
        <v>14033460</v>
      </c>
      <c r="D16" s="56" t="n">
        <v>49551795</v>
      </c>
      <c r="E16" s="56" t="n">
        <v>70400</v>
      </c>
      <c r="F16" s="56" t="n"/>
      <c r="G16" s="56" t="n">
        <v>439450</v>
      </c>
      <c r="H16" s="56" t="n">
        <v>522775</v>
      </c>
      <c r="I16" s="56" t="n">
        <v>3465</v>
      </c>
      <c r="J16" s="56" t="n">
        <v>24309231</v>
      </c>
      <c r="K16" s="56" t="n">
        <v>5799867</v>
      </c>
      <c r="L16" s="56" t="n">
        <v>19800</v>
      </c>
      <c r="M16" s="56" t="n">
        <v>299751</v>
      </c>
      <c r="N16" s="38" t="n">
        <v>95049994</v>
      </c>
      <c r="O16" s="56" t="n">
        <v>-86409085</v>
      </c>
      <c r="P16" s="57">
        <f>IF(N16&lt;&gt;"",N16+O16,"")</f>
        <v/>
      </c>
    </row>
    <row r="17" ht="19" customHeight="1">
      <c r="A17" s="58" t="inlineStr">
        <is>
          <t>2025-08</t>
        </is>
      </c>
      <c r="B17" s="59" t="inlineStr">
        <is>
          <t>R7.8</t>
        </is>
      </c>
      <c r="C17" s="60" t="n">
        <v>12775187</v>
      </c>
      <c r="D17" s="60" t="n">
        <v>45672694</v>
      </c>
      <c r="E17" s="60" t="n">
        <v>1859000</v>
      </c>
      <c r="F17" s="60" t="n">
        <v>6057720</v>
      </c>
      <c r="G17" s="60" t="n">
        <v>703450</v>
      </c>
      <c r="H17" s="60" t="n">
        <v>995236</v>
      </c>
      <c r="I17" s="60" t="n">
        <v>500</v>
      </c>
      <c r="J17" s="60" t="n">
        <v>21710565</v>
      </c>
      <c r="K17" s="60" t="n">
        <v>6235942</v>
      </c>
      <c r="L17" s="60" t="n">
        <v>85140</v>
      </c>
      <c r="M17" s="60" t="n">
        <v>297500</v>
      </c>
      <c r="N17" s="31" t="n">
        <v>96392934</v>
      </c>
      <c r="O17" s="60" t="n">
        <v>-87629940</v>
      </c>
      <c r="P17" s="61">
        <f>IF(N17&lt;&gt;"",N17+O17,"")</f>
        <v/>
      </c>
    </row>
    <row r="18" ht="19" customHeight="1">
      <c r="A18" s="54" t="inlineStr">
        <is>
          <t>2025-09</t>
        </is>
      </c>
      <c r="B18" s="55" t="inlineStr">
        <is>
          <t>R7.9</t>
        </is>
      </c>
      <c r="C18" s="56" t="n">
        <v>14091143</v>
      </c>
      <c r="D18" s="56" t="n">
        <v>43759116</v>
      </c>
      <c r="E18" s="56" t="n"/>
      <c r="F18" s="56" t="n"/>
      <c r="G18" s="56" t="n"/>
      <c r="H18" s="56" t="n">
        <v>1015575</v>
      </c>
      <c r="I18" s="56" t="n"/>
      <c r="J18" s="56" t="n">
        <v>23910829</v>
      </c>
      <c r="K18" s="56" t="n">
        <v>5910373</v>
      </c>
      <c r="L18" s="56" t="n"/>
      <c r="M18" s="56" t="n">
        <v>322317</v>
      </c>
      <c r="N18" s="38" t="n">
        <v>89009353</v>
      </c>
      <c r="O18" s="56" t="n">
        <v>-80917594</v>
      </c>
      <c r="P18" s="57">
        <f>IF(N18&lt;&gt;"",N18+O18,"")</f>
        <v/>
      </c>
    </row>
    <row r="19" ht="19" customHeight="1">
      <c r="A19" s="58" t="inlineStr">
        <is>
          <t>2025-10</t>
        </is>
      </c>
      <c r="B19" s="59" t="inlineStr">
        <is>
          <t>R7.10</t>
        </is>
      </c>
      <c r="C19" s="60" t="n">
        <v>13803873</v>
      </c>
      <c r="D19" s="60" t="n">
        <v>50278847</v>
      </c>
      <c r="E19" s="60" t="n"/>
      <c r="F19" s="60" t="n"/>
      <c r="G19" s="60" t="n"/>
      <c r="H19" s="60" t="n">
        <v>1208834</v>
      </c>
      <c r="I19" s="60" t="n"/>
      <c r="J19" s="60" t="n">
        <v>24518032</v>
      </c>
      <c r="K19" s="60" t="n">
        <v>5582131</v>
      </c>
      <c r="L19" s="60" t="n"/>
      <c r="M19" s="60" t="n">
        <v>312433</v>
      </c>
      <c r="N19" s="31" t="n">
        <v>95704150</v>
      </c>
      <c r="O19" s="60" t="n">
        <v>-87003773</v>
      </c>
      <c r="P19" s="61">
        <f>IF(N19&lt;&gt;"",N19+O19,"")</f>
        <v/>
      </c>
    </row>
    <row r="20" ht="19" customHeight="1">
      <c r="A20" s="54" t="inlineStr">
        <is>
          <t>2025-11</t>
        </is>
      </c>
      <c r="B20" s="55" t="inlineStr">
        <is>
          <t>R7.11</t>
        </is>
      </c>
      <c r="C20" s="56" t="n">
        <v>12084188</v>
      </c>
      <c r="D20" s="56" t="n">
        <v>44355003</v>
      </c>
      <c r="E20" s="56" t="n"/>
      <c r="F20" s="56" t="n"/>
      <c r="G20" s="56" t="n"/>
      <c r="H20" s="56" t="n">
        <v>1208537</v>
      </c>
      <c r="I20" s="56" t="n"/>
      <c r="J20" s="56" t="n">
        <v>23811782</v>
      </c>
      <c r="K20" s="56" t="n">
        <v>5414620</v>
      </c>
      <c r="L20" s="56" t="n"/>
      <c r="M20" s="56" t="n">
        <v>301681</v>
      </c>
      <c r="N20" s="38" t="n">
        <v>87175811</v>
      </c>
      <c r="O20" s="56" t="n">
        <v>-79250737</v>
      </c>
      <c r="P20" s="57">
        <f>IF(N20&lt;&gt;"",N20+O20,"")</f>
        <v/>
      </c>
    </row>
    <row r="21" ht="19" customHeight="1">
      <c r="A21" s="62" t="inlineStr">
        <is>
          <t>←ここに入力</t>
        </is>
      </c>
      <c r="B21" s="59" t="inlineStr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1">
        <f>IF(C21+D21+E21+F21+G21+H21+I21+J21+K21+L21+M21=0,"",C21+D21+E21+F21+G21+H21+I21+J21+K21+L21+M21)</f>
        <v/>
      </c>
      <c r="O21" s="60">
        <f>IF(N21="","",ROUND(-N21/11,0))</f>
        <v/>
      </c>
      <c r="P21" s="61">
        <f>IF(N21="","",N21+O21)</f>
        <v/>
      </c>
    </row>
    <row r="22" ht="19" customHeight="1">
      <c r="A22" s="62" t="inlineStr">
        <is>
          <t>←ここに入力</t>
        </is>
      </c>
      <c r="B22" s="55" t="inlineStr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7">
        <f>IF(C22+D22+E22+F22+G22+H22+I22+J22+K22+L22+M22=0,"",C22+D22+E22+F22+G22+H22+I22+J22+K22+L22+M22)</f>
        <v/>
      </c>
      <c r="O22" s="56">
        <f>IF(N22="","",ROUND(-N22/11,0))</f>
        <v/>
      </c>
      <c r="P22" s="57">
        <f>IF(N22="","",N22+O22)</f>
        <v/>
      </c>
    </row>
    <row r="23" ht="19" customHeight="1">
      <c r="A23" s="62" t="inlineStr">
        <is>
          <t>←ここに入力</t>
        </is>
      </c>
      <c r="B23" s="59" t="inlineStr"/>
      <c r="C23" s="60" t="n"/>
      <c r="D23" s="60" t="n"/>
      <c r="E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1">
        <f>IF(C23+D23+E23+F23+G23+H23+I23+J23+K23+L23+M23=0,"",C23+D23+E23+F23+G23+H23+I23+J23+K23+L23+M23)</f>
        <v/>
      </c>
      <c r="O23" s="60">
        <f>IF(N23="","",ROUND(-N23/11,0))</f>
        <v/>
      </c>
      <c r="P23" s="61">
        <f>IF(N23="","",N23+O23)</f>
        <v/>
      </c>
    </row>
    <row r="24" ht="19" customHeight="1">
      <c r="A24" s="62" t="inlineStr">
        <is>
          <t>←ここに入力</t>
        </is>
      </c>
      <c r="B24" s="55" t="inlineStr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7">
        <f>IF(C24+D24+E24+F24+G24+H24+I24+J24+K24+L24+M24=0,"",C24+D24+E24+F24+G24+H24+I24+J24+K24+L24+M24)</f>
        <v/>
      </c>
      <c r="O24" s="56">
        <f>IF(N24="","",ROUND(-N24/11,0))</f>
        <v/>
      </c>
      <c r="P24" s="57">
        <f>IF(N24="","",N24+O24)</f>
        <v/>
      </c>
    </row>
    <row r="25" ht="19" customHeight="1">
      <c r="A25" s="62" t="inlineStr">
        <is>
          <t>←ここに入力</t>
        </is>
      </c>
      <c r="B25" s="59" t="inlineStr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  <c r="N25" s="61">
        <f>IF(C25+D25+E25+F25+G25+H25+I25+J25+K25+L25+M25=0,"",C25+D25+E25+F25+G25+H25+I25+J25+K25+L25+M25)</f>
        <v/>
      </c>
      <c r="O25" s="60">
        <f>IF(N25="","",ROUND(-N25/11,0))</f>
        <v/>
      </c>
      <c r="P25" s="61">
        <f>IF(N25="","",N25+O25)</f>
        <v/>
      </c>
    </row>
    <row r="26" ht="19" customHeight="1">
      <c r="A26" s="62" t="inlineStr">
        <is>
          <t>←ここに入力</t>
        </is>
      </c>
      <c r="B26" s="55" t="inlineStr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7">
        <f>IF(C26+D26+E26+F26+G26+H26+I26+J26+K26+L26+M26=0,"",C26+D26+E26+F26+G26+H26+I26+J26+K26+L26+M26)</f>
        <v/>
      </c>
      <c r="O26" s="56">
        <f>IF(N26="","",ROUND(-N26/11,0))</f>
        <v/>
      </c>
      <c r="P26" s="57">
        <f>IF(N26="","",N26+O26)</f>
        <v/>
      </c>
    </row>
    <row r="27" ht="19" customHeight="1">
      <c r="A27" s="62" t="inlineStr">
        <is>
          <t>←ここに入力</t>
        </is>
      </c>
      <c r="B27" s="59" t="inlineStr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1">
        <f>IF(C27+D27+E27+F27+G27+H27+I27+J27+K27+L27+M27=0,"",C27+D27+E27+F27+G27+H27+I27+J27+K27+L27+M27)</f>
        <v/>
      </c>
      <c r="O27" s="60">
        <f>IF(N27="","",ROUND(-N27/11,0))</f>
        <v/>
      </c>
      <c r="P27" s="61">
        <f>IF(N27="","",N27+O27)</f>
        <v/>
      </c>
    </row>
    <row r="28" ht="19" customHeight="1">
      <c r="A28" s="62" t="inlineStr">
        <is>
          <t>←ここに入力</t>
        </is>
      </c>
      <c r="B28" s="55" t="inlineStr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7">
        <f>IF(C28+D28+E28+F28+G28+H28+I28+J28+K28+L28+M28=0,"",C28+D28+E28+F28+G28+H28+I28+J28+K28+L28+M28)</f>
        <v/>
      </c>
      <c r="O28" s="56">
        <f>IF(N28="","",ROUND(-N28/11,0))</f>
        <v/>
      </c>
      <c r="P28" s="57">
        <f>IF(N28="","",N28+O28)</f>
        <v/>
      </c>
    </row>
    <row r="29" ht="19" customHeight="1">
      <c r="A29" s="62" t="inlineStr">
        <is>
          <t>←ここに入力</t>
        </is>
      </c>
      <c r="B29" s="59" t="inlineStr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1">
        <f>IF(C29+D29+E29+F29+G29+H29+I29+J29+K29+L29+M29=0,"",C29+D29+E29+F29+G29+H29+I29+J29+K29+L29+M29)</f>
        <v/>
      </c>
      <c r="O29" s="60">
        <f>IF(N29="","",ROUND(-N29/11,0))</f>
        <v/>
      </c>
      <c r="P29" s="61">
        <f>IF(N29="","",N29+O29)</f>
        <v/>
      </c>
    </row>
    <row r="30" ht="19" customHeight="1">
      <c r="A30" s="62" t="inlineStr">
        <is>
          <t>←ここに入力</t>
        </is>
      </c>
      <c r="B30" s="55" t="inlineStr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7">
        <f>IF(C30+D30+E30+F30+G30+H30+I30+J30+K30+L30+M30=0,"",C30+D30+E30+F30+G30+H30+I30+J30+K30+L30+M30)</f>
        <v/>
      </c>
      <c r="O30" s="56">
        <f>IF(N30="","",ROUND(-N30/11,0))</f>
        <v/>
      </c>
      <c r="P30" s="57">
        <f>IF(N30="","",N30+O30)</f>
        <v/>
      </c>
    </row>
    <row r="31" ht="19" customHeight="1">
      <c r="A31" s="62" t="inlineStr">
        <is>
          <t>←ここに入力</t>
        </is>
      </c>
      <c r="B31" s="59" t="inlineStr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1">
        <f>IF(C31+D31+E31+F31+G31+H31+I31+J31+K31+L31+M31=0,"",C31+D31+E31+F31+G31+H31+I31+J31+K31+L31+M31)</f>
        <v/>
      </c>
      <c r="O31" s="60">
        <f>IF(N31="","",ROUND(-N31/11,0))</f>
        <v/>
      </c>
      <c r="P31" s="61">
        <f>IF(N31="","",N31+O31)</f>
        <v/>
      </c>
    </row>
    <row r="32" ht="19" customHeight="1">
      <c r="A32" s="62" t="inlineStr">
        <is>
          <t>←ここに入力</t>
        </is>
      </c>
      <c r="B32" s="55" t="inlineStr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7">
        <f>IF(C32+D32+E32+F32+G32+H32+I32+J32+K32+L32+M32=0,"",C32+D32+E32+F32+G32+H32+I32+J32+K32+L32+M32)</f>
        <v/>
      </c>
      <c r="O32" s="56">
        <f>IF(N32="","",ROUND(-N32/11,0))</f>
        <v/>
      </c>
      <c r="P32" s="57">
        <f>IF(N32="","",N32+O32)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5577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52" t="inlineStr">
        <is>
          <t>▼マッピング設定　ルート(科目)→案件の配分率　★初回のみ確認・調整してください</t>
        </is>
      </c>
    </row>
    <row r="2" ht="16" customHeight="1">
      <c r="A2" s="2" t="inlineStr">
        <is>
          <t>各行の D+E+F=100 になるよう設定してください。615-1(板橋)は東急グループと一般事業者の両方を担当しているため分割設定しています。</t>
        </is>
      </c>
    </row>
    <row r="3" ht="36" customHeight="1">
      <c r="A3" s="3" t="inlineStr">
        <is>
          <t>科目コード</t>
        </is>
      </c>
      <c r="B3" s="3" t="inlineStr">
        <is>
          <t>科目名</t>
        </is>
      </c>
      <c r="C3" s="3" t="inlineStr">
        <is>
          <t>配分根拠（メモ）</t>
        </is>
      </c>
      <c r="D3" s="3" t="inlineStr">
        <is>
          <t>C001
東急グループ%</t>
        </is>
      </c>
      <c r="E3" s="3" t="inlineStr">
        <is>
          <t>C002
都営地下鉄%</t>
        </is>
      </c>
      <c r="F3" s="3" t="inlineStr">
        <is>
          <t>C003
一般事業者%</t>
        </is>
      </c>
      <c r="G3" s="3" t="inlineStr">
        <is>
          <t>合計%
(100が正常)</t>
        </is>
      </c>
    </row>
    <row r="4" ht="28" customHeight="1">
      <c r="A4" s="63" t="inlineStr">
        <is>
          <t>612-1</t>
        </is>
      </c>
      <c r="B4" s="37" t="inlineStr">
        <is>
          <t>運送（本社）</t>
        </is>
      </c>
      <c r="C4" s="64" t="inlineStr">
        <is>
          <t>本社が受注する民間運送 → 一般事業者に100%</t>
        </is>
      </c>
      <c r="D4" s="65" t="n">
        <v>0</v>
      </c>
      <c r="E4" s="66" t="n">
        <v>0</v>
      </c>
      <c r="F4" s="67" t="n">
        <v>100</v>
      </c>
      <c r="G4" s="68">
        <f>D4+E4+F4</f>
        <v/>
      </c>
    </row>
    <row r="5" ht="28" customHeight="1">
      <c r="A5" s="69" t="inlineStr">
        <is>
          <t>612-2</t>
        </is>
      </c>
      <c r="B5" s="30" t="inlineStr">
        <is>
          <t>入札（公共）</t>
        </is>
      </c>
      <c r="C5" s="70" t="inlineStr">
        <is>
          <t>行政・公共入札案件 → 都営地下鉄・区役所等に100%</t>
        </is>
      </c>
      <c r="D5" s="65" t="n">
        <v>0</v>
      </c>
      <c r="E5" s="66" t="n">
        <v>100</v>
      </c>
      <c r="F5" s="67" t="n">
        <v>0</v>
      </c>
      <c r="G5" s="68">
        <f>D5+E5+F5</f>
        <v/>
      </c>
    </row>
    <row r="6" ht="28" customHeight="1">
      <c r="A6" s="63" t="inlineStr">
        <is>
          <t>613-1</t>
        </is>
      </c>
      <c r="B6" s="37" t="inlineStr">
        <is>
          <t>車輌</t>
        </is>
      </c>
      <c r="C6" s="64" t="inlineStr">
        <is>
          <t>車輌売上（全案件に按分）</t>
        </is>
      </c>
      <c r="D6" s="65" t="n">
        <v>20</v>
      </c>
      <c r="E6" s="66" t="n">
        <v>10</v>
      </c>
      <c r="F6" s="67" t="n">
        <v>70</v>
      </c>
      <c r="G6" s="68">
        <f>D6+E6+F6</f>
        <v/>
      </c>
    </row>
    <row r="7" ht="28" customHeight="1">
      <c r="A7" s="69" t="inlineStr">
        <is>
          <t>613-2</t>
        </is>
      </c>
      <c r="B7" s="30" t="inlineStr">
        <is>
          <t>KC</t>
        </is>
      </c>
      <c r="C7" s="70" t="inlineStr">
        <is>
          <t>KCサキュレ分（別管理・0%）</t>
        </is>
      </c>
      <c r="D7" s="65" t="n">
        <v>0</v>
      </c>
      <c r="E7" s="66" t="n">
        <v>0</v>
      </c>
      <c r="F7" s="67" t="n">
        <v>0</v>
      </c>
      <c r="G7" s="68">
        <f>D7+E7+F7</f>
        <v/>
      </c>
    </row>
    <row r="8" ht="28" customHeight="1">
      <c r="A8" s="63" t="inlineStr">
        <is>
          <t>614-1</t>
        </is>
      </c>
      <c r="B8" s="37" t="inlineStr">
        <is>
          <t>コンテナ</t>
        </is>
      </c>
      <c r="C8" s="64" t="inlineStr">
        <is>
          <t>コンテナ → 一般事業者に100%</t>
        </is>
      </c>
      <c r="D8" s="65" t="n">
        <v>0</v>
      </c>
      <c r="E8" s="66" t="n">
        <v>0</v>
      </c>
      <c r="F8" s="67" t="n">
        <v>100</v>
      </c>
      <c r="G8" s="68">
        <f>D8+E8+F8</f>
        <v/>
      </c>
    </row>
    <row r="9" ht="28" customHeight="1">
      <c r="A9" s="69" t="inlineStr">
        <is>
          <t>614-2</t>
        </is>
      </c>
      <c r="B9" s="30" t="inlineStr">
        <is>
          <t>ENDO</t>
        </is>
      </c>
      <c r="C9" s="70" t="inlineStr">
        <is>
          <t>ENDO → 一般事業者に100%</t>
        </is>
      </c>
      <c r="D9" s="65" t="n">
        <v>0</v>
      </c>
      <c r="E9" s="66" t="n">
        <v>0</v>
      </c>
      <c r="F9" s="67" t="n">
        <v>100</v>
      </c>
      <c r="G9" s="68">
        <f>D9+E9+F9</f>
        <v/>
      </c>
    </row>
    <row r="10" ht="28" customHeight="1">
      <c r="A10" s="63" t="inlineStr">
        <is>
          <t>614-3</t>
        </is>
      </c>
      <c r="B10" s="37" t="inlineStr">
        <is>
          <t>現金</t>
        </is>
      </c>
      <c r="C10" s="64" t="inlineStr">
        <is>
          <t>現金取引 → 一般事業者に100%</t>
        </is>
      </c>
      <c r="D10" s="65" t="n">
        <v>0</v>
      </c>
      <c r="E10" s="66" t="n">
        <v>0</v>
      </c>
      <c r="F10" s="67" t="n">
        <v>100</v>
      </c>
      <c r="G10" s="68">
        <f>D10+E10+F10</f>
        <v/>
      </c>
    </row>
    <row r="11" ht="28" customHeight="1">
      <c r="A11" s="69" t="inlineStr">
        <is>
          <t>615-1</t>
        </is>
      </c>
      <c r="B11" s="30" t="inlineStr">
        <is>
          <t>板橋</t>
        </is>
      </c>
      <c r="C11" s="70" t="inlineStr">
        <is>
          <t>板橋営業所：東急グループ拠点60%・一般40% ★実績に応じて調整</t>
        </is>
      </c>
      <c r="D11" s="65" t="n">
        <v>60</v>
      </c>
      <c r="E11" s="66" t="n">
        <v>0</v>
      </c>
      <c r="F11" s="67" t="n">
        <v>40</v>
      </c>
      <c r="G11" s="68">
        <f>D11+E11+F11</f>
        <v/>
      </c>
    </row>
    <row r="12" ht="28" customHeight="1">
      <c r="A12" s="63" t="inlineStr">
        <is>
          <t>615-2</t>
        </is>
      </c>
      <c r="B12" s="37" t="inlineStr">
        <is>
          <t>新横浜</t>
        </is>
      </c>
      <c r="C12" s="64" t="inlineStr">
        <is>
          <t>新横浜営業所 → 一般事業者に100%</t>
        </is>
      </c>
      <c r="D12" s="65" t="n">
        <v>0</v>
      </c>
      <c r="E12" s="66" t="n">
        <v>0</v>
      </c>
      <c r="F12" s="67" t="n">
        <v>100</v>
      </c>
      <c r="G12" s="68">
        <f>D12+E12+F12</f>
        <v/>
      </c>
    </row>
    <row r="13" ht="28" customHeight="1">
      <c r="A13" s="69" t="inlineStr">
        <is>
          <t>615-3</t>
        </is>
      </c>
      <c r="B13" s="30" t="inlineStr">
        <is>
          <t>現金2</t>
        </is>
      </c>
      <c r="C13" s="70" t="inlineStr">
        <is>
          <t>現金2 → 一般事業者に100%</t>
        </is>
      </c>
      <c r="D13" s="65" t="n">
        <v>0</v>
      </c>
      <c r="E13" s="66" t="n">
        <v>0</v>
      </c>
      <c r="F13" s="67" t="n">
        <v>100</v>
      </c>
      <c r="G13" s="68">
        <f>D13+E13+F13</f>
        <v/>
      </c>
    </row>
    <row r="14" ht="28" customHeight="1">
      <c r="A14" s="63" t="inlineStr">
        <is>
          <t>615-4</t>
        </is>
      </c>
      <c r="B14" s="37" t="inlineStr">
        <is>
          <t>有価物</t>
        </is>
      </c>
      <c r="C14" s="64" t="inlineStr">
        <is>
          <t>有価物 → 一般事業者に100%</t>
        </is>
      </c>
      <c r="D14" s="65" t="n">
        <v>0</v>
      </c>
      <c r="E14" s="66" t="n">
        <v>0</v>
      </c>
      <c r="F14" s="67" t="n">
        <v>100</v>
      </c>
      <c r="G14" s="68">
        <f>D14+E14+F14</f>
        <v/>
      </c>
    </row>
    <row r="16" ht="22" customHeight="1">
      <c r="A16" s="55" t="inlineStr">
        <is>
          <t>【判定基準】 ◎ 優良=粗利率25%以上　○ 良好=15〜25%　△ 要注意=5〜15%　× 赤字=5%未満</t>
        </is>
      </c>
    </row>
  </sheetData>
  <mergeCells count="3">
    <mergeCell ref="A16:G16"/>
    <mergeCell ref="A2:G2"/>
    <mergeCell ref="A1:G1"/>
  </mergeCells>
  <conditionalFormatting sqref="G4">
    <cfRule type="expression" priority="1" dxfId="3">
      <formula>G4&lt;&gt;100</formula>
    </cfRule>
  </conditionalFormatting>
  <conditionalFormatting sqref="G5">
    <cfRule type="expression" priority="2" dxfId="3">
      <formula>G5&lt;&gt;100</formula>
    </cfRule>
  </conditionalFormatting>
  <conditionalFormatting sqref="G6">
    <cfRule type="expression" priority="3" dxfId="3">
      <formula>G6&lt;&gt;100</formula>
    </cfRule>
  </conditionalFormatting>
  <conditionalFormatting sqref="G7">
    <cfRule type="expression" priority="4" dxfId="3">
      <formula>G7&lt;&gt;100</formula>
    </cfRule>
  </conditionalFormatting>
  <conditionalFormatting sqref="G8">
    <cfRule type="expression" priority="5" dxfId="3">
      <formula>G8&lt;&gt;100</formula>
    </cfRule>
  </conditionalFormatting>
  <conditionalFormatting sqref="G9">
    <cfRule type="expression" priority="6" dxfId="3">
      <formula>G9&lt;&gt;100</formula>
    </cfRule>
  </conditionalFormatting>
  <conditionalFormatting sqref="G10">
    <cfRule type="expression" priority="7" dxfId="3">
      <formula>G10&lt;&gt;100</formula>
    </cfRule>
  </conditionalFormatting>
  <conditionalFormatting sqref="G11">
    <cfRule type="expression" priority="8" dxfId="3">
      <formula>G11&lt;&gt;100</formula>
    </cfRule>
  </conditionalFormatting>
  <conditionalFormatting sqref="G12">
    <cfRule type="expression" priority="9" dxfId="3">
      <formula>G12&lt;&gt;100</formula>
    </cfRule>
  </conditionalFormatting>
  <conditionalFormatting sqref="G13">
    <cfRule type="expression" priority="10" dxfId="3">
      <formula>G13&lt;&gt;100</formula>
    </cfRule>
  </conditionalFormatting>
  <conditionalFormatting sqref="G14">
    <cfRule type="expression" priority="11" dxfId="3">
      <formula>G14&lt;&gt;100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95548"/>
    <outlinePr summaryBelow="1" summaryRight="1"/>
    <pageSetUpPr/>
  </sheetPr>
  <dimension ref="A1:I18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6" customWidth="1" min="4" max="4"/>
    <col width="14" customWidth="1" min="5" max="5"/>
    <col width="16" customWidth="1" min="6" max="6"/>
    <col width="8" customWidth="1" min="7" max="7"/>
    <col width="24" customWidth="1" min="8" max="8"/>
    <col width="14" customWidth="1" min="9" max="9"/>
  </cols>
  <sheetData>
    <row r="1" ht="32" customHeight="1">
      <c r="A1" s="71" t="inlineStr">
        <is>
          <t>従業員マスター（R6.10 新体系基準）　※給与データ機密 取扱注意</t>
        </is>
      </c>
    </row>
    <row r="2" ht="16" customHeight="1">
      <c r="A2" s="2" t="inlineStr">
        <is>
          <t>出典：令和6年10月変更 新体系　│　月給制=合計欄の固定額　│　日当制・時給制は稼働日数に応じて変動（E列入力）</t>
        </is>
      </c>
    </row>
    <row r="3" ht="20" customHeight="1">
      <c r="A3" s="72" t="inlineStr">
        <is>
          <t>▼ 月間稼働日数（日当制・時給制の計算基準）</t>
        </is>
      </c>
      <c r="D3" s="73" t="n">
        <v>22</v>
      </c>
      <c r="E3" s="74" t="inlineStr">
        <is>
          <t>← ここを変更すると日当制・時給制の月額が自動更新されます（時給制は×8時間/日で計算）</t>
        </is>
      </c>
    </row>
    <row r="4" ht="6" customHeight="1"/>
    <row r="5" ht="34" customHeight="1">
      <c r="A5" s="3" t="inlineStr">
        <is>
          <t>所属</t>
        </is>
      </c>
      <c r="B5" s="3" t="inlineStr">
        <is>
          <t>氏名</t>
        </is>
      </c>
      <c r="C5" s="3" t="inlineStr">
        <is>
          <t>雇用区分</t>
        </is>
      </c>
      <c r="D5" s="3" t="inlineStr">
        <is>
          <t>月額/日当/時給</t>
        </is>
      </c>
      <c r="E5" s="3" t="inlineStr">
        <is>
          <t>月間稼働日数
(入力可)</t>
        </is>
      </c>
      <c r="F5" s="3" t="inlineStr">
        <is>
          <t>月額人件費
(自動計算)</t>
        </is>
      </c>
      <c r="G5" s="3" t="inlineStr">
        <is>
          <t>直間
区分</t>
        </is>
      </c>
      <c r="H5" s="3" t="inlineStr">
        <is>
          <t>備考</t>
        </is>
      </c>
      <c r="I5" s="3" t="inlineStr">
        <is>
          <t>参考:年間</t>
        </is>
      </c>
    </row>
    <row r="6" ht="20" customHeight="1">
      <c r="A6" s="75" t="inlineStr">
        <is>
          <t>■ 本社</t>
        </is>
      </c>
    </row>
    <row r="7" ht="20" customHeight="1">
      <c r="A7" s="76" t="inlineStr">
        <is>
          <t>本社</t>
        </is>
      </c>
      <c r="B7" s="77" t="inlineStr">
        <is>
          <t>横井 哲也</t>
        </is>
      </c>
      <c r="C7" s="78" t="inlineStr">
        <is>
          <t>月給</t>
        </is>
      </c>
      <c r="D7" s="60" t="n">
        <v>269545</v>
      </c>
      <c r="E7" s="79" t="inlineStr">
        <is>
          <t>—</t>
        </is>
      </c>
      <c r="F7" s="32" t="n">
        <v>269545</v>
      </c>
      <c r="G7" s="80" t="inlineStr">
        <is>
          <t>直接</t>
        </is>
      </c>
      <c r="H7" s="81" t="inlineStr"/>
      <c r="I7" s="82" t="n">
        <v>3234540</v>
      </c>
    </row>
    <row r="8" ht="20" customHeight="1">
      <c r="A8" s="76" t="inlineStr">
        <is>
          <t>本社</t>
        </is>
      </c>
      <c r="B8" s="77" t="inlineStr">
        <is>
          <t>上林 幸二</t>
        </is>
      </c>
      <c r="C8" s="78" t="inlineStr">
        <is>
          <t>月給</t>
        </is>
      </c>
      <c r="D8" s="60" t="n">
        <v>254545</v>
      </c>
      <c r="E8" s="79" t="inlineStr">
        <is>
          <t>—</t>
        </is>
      </c>
      <c r="F8" s="32" t="n">
        <v>254545</v>
      </c>
      <c r="G8" s="80" t="inlineStr">
        <is>
          <t>直接</t>
        </is>
      </c>
      <c r="H8" s="81" t="inlineStr"/>
      <c r="I8" s="82" t="n">
        <v>3054540</v>
      </c>
    </row>
    <row r="9" ht="20" customHeight="1">
      <c r="A9" s="76" t="inlineStr">
        <is>
          <t>本社</t>
        </is>
      </c>
      <c r="B9" s="77" t="inlineStr">
        <is>
          <t>加藤 光裕</t>
        </is>
      </c>
      <c r="C9" s="78" t="inlineStr">
        <is>
          <t>月給</t>
        </is>
      </c>
      <c r="D9" s="60" t="n">
        <v>283545</v>
      </c>
      <c r="E9" s="79" t="inlineStr">
        <is>
          <t>—</t>
        </is>
      </c>
      <c r="F9" s="32" t="n">
        <v>283545</v>
      </c>
      <c r="G9" s="80" t="inlineStr">
        <is>
          <t>直接</t>
        </is>
      </c>
      <c r="H9" s="81" t="inlineStr"/>
      <c r="I9" s="82" t="n">
        <v>3402540</v>
      </c>
    </row>
    <row r="10" ht="20" customHeight="1">
      <c r="A10" s="76" t="inlineStr">
        <is>
          <t>本社</t>
        </is>
      </c>
      <c r="B10" s="77" t="inlineStr">
        <is>
          <t>吉田 創</t>
        </is>
      </c>
      <c r="C10" s="78" t="inlineStr">
        <is>
          <t>月給</t>
        </is>
      </c>
      <c r="D10" s="60" t="n">
        <v>249395</v>
      </c>
      <c r="E10" s="79" t="inlineStr">
        <is>
          <t>—</t>
        </is>
      </c>
      <c r="F10" s="32" t="n">
        <v>249395</v>
      </c>
      <c r="G10" s="80" t="inlineStr">
        <is>
          <t>直接</t>
        </is>
      </c>
      <c r="H10" s="81" t="inlineStr"/>
      <c r="I10" s="82" t="n">
        <v>2992740</v>
      </c>
    </row>
    <row r="11" ht="20" customHeight="1">
      <c r="A11" s="76" t="inlineStr">
        <is>
          <t>本社</t>
        </is>
      </c>
      <c r="B11" s="77" t="inlineStr">
        <is>
          <t>原口 陽一</t>
        </is>
      </c>
      <c r="C11" s="78" t="inlineStr">
        <is>
          <t>月給</t>
        </is>
      </c>
      <c r="D11" s="60" t="n">
        <v>243155</v>
      </c>
      <c r="E11" s="79" t="inlineStr">
        <is>
          <t>—</t>
        </is>
      </c>
      <c r="F11" s="32" t="n">
        <v>243155</v>
      </c>
      <c r="G11" s="80" t="inlineStr">
        <is>
          <t>直接</t>
        </is>
      </c>
      <c r="H11" s="81" t="inlineStr"/>
      <c r="I11" s="82" t="n">
        <v>2917860</v>
      </c>
    </row>
    <row r="12" ht="20" customHeight="1">
      <c r="A12" s="76" t="inlineStr">
        <is>
          <t>本社</t>
        </is>
      </c>
      <c r="B12" s="77" t="inlineStr">
        <is>
          <t>北川 善己</t>
        </is>
      </c>
      <c r="C12" s="78" t="inlineStr">
        <is>
          <t>月給</t>
        </is>
      </c>
      <c r="D12" s="60" t="n">
        <v>266955</v>
      </c>
      <c r="E12" s="79" t="inlineStr">
        <is>
          <t>—</t>
        </is>
      </c>
      <c r="F12" s="32" t="n">
        <v>266955</v>
      </c>
      <c r="G12" s="80" t="inlineStr">
        <is>
          <t>直接</t>
        </is>
      </c>
      <c r="H12" s="81" t="inlineStr">
        <is>
          <t>東京発送手当</t>
        </is>
      </c>
      <c r="I12" s="82" t="n">
        <v>3203460</v>
      </c>
    </row>
    <row r="13" ht="20" customHeight="1">
      <c r="A13" s="76" t="inlineStr">
        <is>
          <t>本社</t>
        </is>
      </c>
      <c r="B13" s="77" t="inlineStr">
        <is>
          <t>平野 裕幸</t>
        </is>
      </c>
      <c r="C13" s="78" t="inlineStr">
        <is>
          <t>月給</t>
        </is>
      </c>
      <c r="D13" s="60" t="n">
        <v>263155</v>
      </c>
      <c r="E13" s="79" t="inlineStr">
        <is>
          <t>—</t>
        </is>
      </c>
      <c r="F13" s="32" t="n">
        <v>263155</v>
      </c>
      <c r="G13" s="80" t="inlineStr">
        <is>
          <t>直接</t>
        </is>
      </c>
      <c r="H13" s="81" t="inlineStr">
        <is>
          <t>渡邊ベニヤ</t>
        </is>
      </c>
      <c r="I13" s="82" t="n">
        <v>3157860</v>
      </c>
    </row>
    <row r="14" ht="20" customHeight="1">
      <c r="A14" s="76" t="inlineStr">
        <is>
          <t>本社</t>
        </is>
      </c>
      <c r="B14" s="77" t="inlineStr">
        <is>
          <t>山口 晃司</t>
        </is>
      </c>
      <c r="C14" s="78" t="inlineStr">
        <is>
          <t>月給</t>
        </is>
      </c>
      <c r="D14" s="60" t="n">
        <v>243155</v>
      </c>
      <c r="E14" s="79" t="inlineStr">
        <is>
          <t>—</t>
        </is>
      </c>
      <c r="F14" s="32" t="n">
        <v>243155</v>
      </c>
      <c r="G14" s="80" t="inlineStr">
        <is>
          <t>直接</t>
        </is>
      </c>
      <c r="H14" s="81" t="inlineStr">
        <is>
          <t>いずみ</t>
        </is>
      </c>
      <c r="I14" s="82" t="n">
        <v>2917860</v>
      </c>
    </row>
    <row r="15" ht="20" customHeight="1">
      <c r="A15" s="76" t="inlineStr">
        <is>
          <t>本社</t>
        </is>
      </c>
      <c r="B15" s="77" t="inlineStr">
        <is>
          <t>石垣眞一郎</t>
        </is>
      </c>
      <c r="C15" s="78" t="inlineStr">
        <is>
          <t>月給</t>
        </is>
      </c>
      <c r="D15" s="60" t="n">
        <v>263155</v>
      </c>
      <c r="E15" s="79" t="inlineStr">
        <is>
          <t>—</t>
        </is>
      </c>
      <c r="F15" s="32" t="n">
        <v>263155</v>
      </c>
      <c r="G15" s="80" t="inlineStr">
        <is>
          <t>直接</t>
        </is>
      </c>
      <c r="H15" s="81" t="inlineStr">
        <is>
          <t>菱倉</t>
        </is>
      </c>
      <c r="I15" s="82" t="n">
        <v>3157860</v>
      </c>
    </row>
    <row r="16" ht="20" customHeight="1">
      <c r="A16" s="76" t="inlineStr">
        <is>
          <t>本社</t>
        </is>
      </c>
      <c r="B16" s="77" t="inlineStr">
        <is>
          <t>高島 正人</t>
        </is>
      </c>
      <c r="C16" s="78" t="inlineStr">
        <is>
          <t>月給</t>
        </is>
      </c>
      <c r="D16" s="60" t="n">
        <v>246155</v>
      </c>
      <c r="E16" s="79" t="inlineStr">
        <is>
          <t>—</t>
        </is>
      </c>
      <c r="F16" s="32" t="n">
        <v>246155</v>
      </c>
      <c r="G16" s="80" t="inlineStr">
        <is>
          <t>直接</t>
        </is>
      </c>
      <c r="H16" s="81" t="inlineStr">
        <is>
          <t>いずみ</t>
        </is>
      </c>
      <c r="I16" s="82" t="n">
        <v>2953860</v>
      </c>
    </row>
    <row r="17" ht="20" customHeight="1">
      <c r="A17" s="76" t="inlineStr">
        <is>
          <t>本社</t>
        </is>
      </c>
      <c r="B17" s="77" t="inlineStr">
        <is>
          <t>綱島 博隆</t>
        </is>
      </c>
      <c r="C17" s="78" t="inlineStr">
        <is>
          <t>月給</t>
        </is>
      </c>
      <c r="D17" s="60" t="n">
        <v>268155</v>
      </c>
      <c r="E17" s="79" t="inlineStr">
        <is>
          <t>—</t>
        </is>
      </c>
      <c r="F17" s="32" t="n">
        <v>268155</v>
      </c>
      <c r="G17" s="80" t="inlineStr">
        <is>
          <t>直接</t>
        </is>
      </c>
      <c r="H17" s="81" t="inlineStr">
        <is>
          <t>千代田区</t>
        </is>
      </c>
      <c r="I17" s="82" t="n">
        <v>3217860</v>
      </c>
    </row>
    <row r="18" ht="20" customHeight="1">
      <c r="A18" s="76" t="inlineStr">
        <is>
          <t>本社</t>
        </is>
      </c>
      <c r="B18" s="77" t="inlineStr">
        <is>
          <t>後藤 実</t>
        </is>
      </c>
      <c r="C18" s="78" t="inlineStr">
        <is>
          <t>月給</t>
        </is>
      </c>
      <c r="D18" s="60" t="n">
        <v>243155</v>
      </c>
      <c r="E18" s="79" t="inlineStr">
        <is>
          <t>—</t>
        </is>
      </c>
      <c r="F18" s="32" t="n">
        <v>243155</v>
      </c>
      <c r="G18" s="80" t="inlineStr">
        <is>
          <t>直接</t>
        </is>
      </c>
      <c r="H18" s="81" t="inlineStr"/>
      <c r="I18" s="82" t="n">
        <v>2917860</v>
      </c>
    </row>
    <row r="19" ht="20" customHeight="1">
      <c r="A19" s="76" t="inlineStr">
        <is>
          <t>本社</t>
        </is>
      </c>
      <c r="B19" s="77" t="inlineStr">
        <is>
          <t>嶋村 真実</t>
        </is>
      </c>
      <c r="C19" s="78" t="inlineStr">
        <is>
          <t>月給</t>
        </is>
      </c>
      <c r="D19" s="60" t="n">
        <v>243155</v>
      </c>
      <c r="E19" s="79" t="inlineStr">
        <is>
          <t>—</t>
        </is>
      </c>
      <c r="F19" s="32" t="n">
        <v>243155</v>
      </c>
      <c r="G19" s="80" t="inlineStr">
        <is>
          <t>直接</t>
        </is>
      </c>
      <c r="H19" s="81" t="inlineStr"/>
      <c r="I19" s="82" t="n">
        <v>2917860</v>
      </c>
    </row>
    <row r="20" ht="20" customHeight="1">
      <c r="A20" s="76" t="inlineStr">
        <is>
          <t>本社</t>
        </is>
      </c>
      <c r="B20" s="77" t="inlineStr">
        <is>
          <t>岡田 学</t>
        </is>
      </c>
      <c r="C20" s="78" t="inlineStr">
        <is>
          <t>月給</t>
        </is>
      </c>
      <c r="D20" s="60" t="n">
        <v>243155</v>
      </c>
      <c r="E20" s="79" t="inlineStr">
        <is>
          <t>—</t>
        </is>
      </c>
      <c r="F20" s="32" t="n">
        <v>243155</v>
      </c>
      <c r="G20" s="83" t="inlineStr">
        <is>
          <t>間接</t>
        </is>
      </c>
      <c r="H20" s="81" t="inlineStr">
        <is>
          <t>文書</t>
        </is>
      </c>
      <c r="I20" s="82" t="n">
        <v>2917860</v>
      </c>
    </row>
    <row r="21" ht="20" customHeight="1">
      <c r="A21" s="76" t="inlineStr">
        <is>
          <t>本社</t>
        </is>
      </c>
      <c r="B21" s="77" t="inlineStr">
        <is>
          <t>横山 信廣</t>
        </is>
      </c>
      <c r="C21" s="78" t="inlineStr">
        <is>
          <t>月給</t>
        </is>
      </c>
      <c r="D21" s="60" t="n">
        <v>243155</v>
      </c>
      <c r="E21" s="79" t="inlineStr">
        <is>
          <t>—</t>
        </is>
      </c>
      <c r="F21" s="32" t="n">
        <v>243155</v>
      </c>
      <c r="G21" s="80" t="inlineStr">
        <is>
          <t>直接</t>
        </is>
      </c>
      <c r="H21" s="81" t="inlineStr"/>
      <c r="I21" s="82" t="n">
        <v>2917860</v>
      </c>
    </row>
    <row r="22" ht="20" customHeight="1">
      <c r="A22" s="76" t="inlineStr">
        <is>
          <t>本社</t>
        </is>
      </c>
      <c r="B22" s="77" t="inlineStr">
        <is>
          <t>笹沼 信人</t>
        </is>
      </c>
      <c r="C22" s="78" t="inlineStr">
        <is>
          <t>月給</t>
        </is>
      </c>
      <c r="D22" s="60" t="n">
        <v>263155</v>
      </c>
      <c r="E22" s="79" t="inlineStr">
        <is>
          <t>—</t>
        </is>
      </c>
      <c r="F22" s="32" t="n">
        <v>263155</v>
      </c>
      <c r="G22" s="80" t="inlineStr">
        <is>
          <t>直接</t>
        </is>
      </c>
      <c r="H22" s="81" t="inlineStr">
        <is>
          <t>東京発送手当</t>
        </is>
      </c>
      <c r="I22" s="82" t="n">
        <v>3157860</v>
      </c>
    </row>
    <row r="23" ht="20" customHeight="1">
      <c r="A23" s="76" t="inlineStr">
        <is>
          <t>本社</t>
        </is>
      </c>
      <c r="B23" s="77" t="inlineStr">
        <is>
          <t>諏訪 清行</t>
        </is>
      </c>
      <c r="C23" s="78" t="inlineStr">
        <is>
          <t>月給</t>
        </is>
      </c>
      <c r="D23" s="60" t="n">
        <v>243155</v>
      </c>
      <c r="E23" s="79" t="inlineStr">
        <is>
          <t>—</t>
        </is>
      </c>
      <c r="F23" s="32" t="n">
        <v>243155</v>
      </c>
      <c r="G23" s="80" t="inlineStr">
        <is>
          <t>直接</t>
        </is>
      </c>
      <c r="H23" s="81" t="inlineStr"/>
      <c r="I23" s="82" t="n">
        <v>2917860</v>
      </c>
    </row>
    <row r="24" ht="20" customHeight="1">
      <c r="A24" s="76" t="inlineStr">
        <is>
          <t>本社</t>
        </is>
      </c>
      <c r="B24" s="77" t="inlineStr">
        <is>
          <t>清水 孝之</t>
        </is>
      </c>
      <c r="C24" s="78" t="inlineStr">
        <is>
          <t>月給</t>
        </is>
      </c>
      <c r="D24" s="60" t="n">
        <v>246155</v>
      </c>
      <c r="E24" s="79" t="inlineStr">
        <is>
          <t>—</t>
        </is>
      </c>
      <c r="F24" s="32" t="n">
        <v>246155</v>
      </c>
      <c r="G24" s="80" t="inlineStr">
        <is>
          <t>直接</t>
        </is>
      </c>
      <c r="H24" s="81" t="inlineStr">
        <is>
          <t>いずみ</t>
        </is>
      </c>
      <c r="I24" s="82" t="n">
        <v>2953860</v>
      </c>
    </row>
    <row r="25" ht="20" customHeight="1">
      <c r="A25" s="76" t="inlineStr">
        <is>
          <t>本社</t>
        </is>
      </c>
      <c r="B25" s="77" t="inlineStr">
        <is>
          <t>山下 勝二</t>
        </is>
      </c>
      <c r="C25" s="78" t="inlineStr">
        <is>
          <t>月給</t>
        </is>
      </c>
      <c r="D25" s="60" t="n">
        <v>243155</v>
      </c>
      <c r="E25" s="79" t="inlineStr">
        <is>
          <t>—</t>
        </is>
      </c>
      <c r="F25" s="32" t="n">
        <v>243155</v>
      </c>
      <c r="G25" s="80" t="inlineStr">
        <is>
          <t>直接</t>
        </is>
      </c>
      <c r="H25" s="81" t="inlineStr"/>
      <c r="I25" s="82" t="n">
        <v>2917860</v>
      </c>
    </row>
    <row r="26" ht="20" customHeight="1">
      <c r="A26" s="76" t="inlineStr">
        <is>
          <t>本社</t>
        </is>
      </c>
      <c r="B26" s="77" t="inlineStr">
        <is>
          <t>根本 純一</t>
        </is>
      </c>
      <c r="C26" s="78" t="inlineStr">
        <is>
          <t>月給</t>
        </is>
      </c>
      <c r="D26" s="60" t="n">
        <v>278155</v>
      </c>
      <c r="E26" s="79" t="inlineStr">
        <is>
          <t>—</t>
        </is>
      </c>
      <c r="F26" s="32" t="n">
        <v>278155</v>
      </c>
      <c r="G26" s="80" t="inlineStr">
        <is>
          <t>直接</t>
        </is>
      </c>
      <c r="H26" s="81" t="inlineStr">
        <is>
          <t>自転車撤去</t>
        </is>
      </c>
      <c r="I26" s="82" t="n">
        <v>3337860</v>
      </c>
    </row>
    <row r="27" ht="20" customHeight="1">
      <c r="A27" s="76" t="inlineStr">
        <is>
          <t>本社</t>
        </is>
      </c>
      <c r="B27" s="77" t="inlineStr">
        <is>
          <t>花木 凌</t>
        </is>
      </c>
      <c r="C27" s="78" t="inlineStr">
        <is>
          <t>月給</t>
        </is>
      </c>
      <c r="D27" s="60" t="n">
        <v>243155</v>
      </c>
      <c r="E27" s="79" t="inlineStr">
        <is>
          <t>—</t>
        </is>
      </c>
      <c r="F27" s="32" t="n">
        <v>243155</v>
      </c>
      <c r="G27" s="80" t="inlineStr">
        <is>
          <t>直接</t>
        </is>
      </c>
      <c r="H27" s="81" t="inlineStr"/>
      <c r="I27" s="82" t="n">
        <v>2917860</v>
      </c>
    </row>
    <row r="28" ht="20" customHeight="1">
      <c r="A28" s="76" t="inlineStr">
        <is>
          <t>本社</t>
        </is>
      </c>
      <c r="B28" s="77" t="inlineStr">
        <is>
          <t>川井 良之</t>
        </is>
      </c>
      <c r="C28" s="78" t="inlineStr">
        <is>
          <t>月給</t>
        </is>
      </c>
      <c r="D28" s="60" t="n">
        <v>243155</v>
      </c>
      <c r="E28" s="79" t="inlineStr">
        <is>
          <t>—</t>
        </is>
      </c>
      <c r="F28" s="32" t="n">
        <v>243155</v>
      </c>
      <c r="G28" s="80" t="inlineStr">
        <is>
          <t>直接</t>
        </is>
      </c>
      <c r="H28" s="81" t="inlineStr"/>
      <c r="I28" s="82" t="n">
        <v>2917860</v>
      </c>
    </row>
    <row r="29" ht="20" customHeight="1">
      <c r="A29" s="76" t="inlineStr">
        <is>
          <t>本社</t>
        </is>
      </c>
      <c r="B29" s="77" t="inlineStr">
        <is>
          <t>岡村 栄</t>
        </is>
      </c>
      <c r="C29" s="84" t="inlineStr">
        <is>
          <t>日当</t>
        </is>
      </c>
      <c r="D29" s="12" t="n">
        <v>10000</v>
      </c>
      <c r="E29" s="85">
        <f>$D$3</f>
        <v/>
      </c>
      <c r="F29" s="32">
        <f>D29*$D$3</f>
        <v/>
      </c>
      <c r="G29" s="80" t="inlineStr">
        <is>
          <t>直接</t>
        </is>
      </c>
      <c r="H29" s="81" t="inlineStr"/>
      <c r="I29" s="82">
        <f>F29*12</f>
        <v/>
      </c>
    </row>
    <row r="30" ht="20" customHeight="1">
      <c r="A30" s="76" t="inlineStr">
        <is>
          <t>本社</t>
        </is>
      </c>
      <c r="B30" s="77" t="inlineStr">
        <is>
          <t>川端 保</t>
        </is>
      </c>
      <c r="C30" s="84" t="inlineStr">
        <is>
          <t>日当</t>
        </is>
      </c>
      <c r="D30" s="12" t="n">
        <v>11000</v>
      </c>
      <c r="E30" s="85">
        <f>$D$3</f>
        <v/>
      </c>
      <c r="F30" s="32">
        <f>D30*$D$3</f>
        <v/>
      </c>
      <c r="G30" s="80" t="inlineStr">
        <is>
          <t>直接</t>
        </is>
      </c>
      <c r="H30" s="81" t="inlineStr"/>
      <c r="I30" s="82">
        <f>F30*12</f>
        <v/>
      </c>
    </row>
    <row r="31" ht="20" customHeight="1">
      <c r="A31" s="76" t="inlineStr">
        <is>
          <t>本社</t>
        </is>
      </c>
      <c r="B31" s="77" t="inlineStr">
        <is>
          <t>鈴木 賢二</t>
        </is>
      </c>
      <c r="C31" s="84" t="inlineStr">
        <is>
          <t>日当</t>
        </is>
      </c>
      <c r="D31" s="12" t="n">
        <v>10000</v>
      </c>
      <c r="E31" s="85">
        <f>$D$3</f>
        <v/>
      </c>
      <c r="F31" s="32">
        <f>D31*$D$3</f>
        <v/>
      </c>
      <c r="G31" s="80" t="inlineStr">
        <is>
          <t>直接</t>
        </is>
      </c>
      <c r="H31" s="81" t="inlineStr"/>
      <c r="I31" s="82">
        <f>F31*12</f>
        <v/>
      </c>
    </row>
    <row r="32" ht="20" customHeight="1">
      <c r="A32" s="76" t="inlineStr">
        <is>
          <t>本社</t>
        </is>
      </c>
      <c r="B32" s="77" t="inlineStr">
        <is>
          <t>小西 正悦</t>
        </is>
      </c>
      <c r="C32" s="84" t="inlineStr">
        <is>
          <t>日当</t>
        </is>
      </c>
      <c r="D32" s="12" t="n">
        <v>10000</v>
      </c>
      <c r="E32" s="85">
        <f>$D$3</f>
        <v/>
      </c>
      <c r="F32" s="32">
        <f>D32*$D$3</f>
        <v/>
      </c>
      <c r="G32" s="80" t="inlineStr">
        <is>
          <t>直接</t>
        </is>
      </c>
      <c r="H32" s="81" t="inlineStr"/>
      <c r="I32" s="82">
        <f>F32*12</f>
        <v/>
      </c>
    </row>
    <row r="33" ht="20" customHeight="1">
      <c r="A33" s="76" t="inlineStr">
        <is>
          <t>本社</t>
        </is>
      </c>
      <c r="B33" s="77" t="inlineStr">
        <is>
          <t>西開地良二</t>
        </is>
      </c>
      <c r="C33" s="84" t="inlineStr">
        <is>
          <t>日当</t>
        </is>
      </c>
      <c r="D33" s="12" t="n">
        <v>10000</v>
      </c>
      <c r="E33" s="85">
        <f>$D$3</f>
        <v/>
      </c>
      <c r="F33" s="32">
        <f>D33*$D$3</f>
        <v/>
      </c>
      <c r="G33" s="80" t="inlineStr">
        <is>
          <t>直接</t>
        </is>
      </c>
      <c r="H33" s="81" t="inlineStr">
        <is>
          <t>いずみ手当</t>
        </is>
      </c>
      <c r="I33" s="82">
        <f>F33*12</f>
        <v/>
      </c>
    </row>
    <row r="34" ht="20" customHeight="1">
      <c r="A34" s="76" t="inlineStr">
        <is>
          <t>本社</t>
        </is>
      </c>
      <c r="B34" s="77" t="inlineStr">
        <is>
          <t>四位 宗光</t>
        </is>
      </c>
      <c r="C34" s="84" t="inlineStr">
        <is>
          <t>日当</t>
        </is>
      </c>
      <c r="D34" s="12" t="n">
        <v>9320</v>
      </c>
      <c r="E34" s="85">
        <f>$D$3</f>
        <v/>
      </c>
      <c r="F34" s="32">
        <f>D34*$D$3</f>
        <v/>
      </c>
      <c r="G34" s="80" t="inlineStr">
        <is>
          <t>直接</t>
        </is>
      </c>
      <c r="H34" s="81" t="inlineStr"/>
      <c r="I34" s="82">
        <f>F34*12</f>
        <v/>
      </c>
    </row>
    <row r="35" ht="20" customHeight="1">
      <c r="A35" s="76" t="inlineStr">
        <is>
          <t>本社</t>
        </is>
      </c>
      <c r="B35" s="77" t="inlineStr">
        <is>
          <t>赤崎 博隆</t>
        </is>
      </c>
      <c r="C35" s="84" t="inlineStr">
        <is>
          <t>日当</t>
        </is>
      </c>
      <c r="D35" s="12" t="n">
        <v>10000</v>
      </c>
      <c r="E35" s="85">
        <f>$D$3</f>
        <v/>
      </c>
      <c r="F35" s="32">
        <f>D35*$D$3</f>
        <v/>
      </c>
      <c r="G35" s="80" t="inlineStr">
        <is>
          <t>直接</t>
        </is>
      </c>
      <c r="H35" s="81" t="inlineStr"/>
      <c r="I35" s="82">
        <f>F35*12</f>
        <v/>
      </c>
    </row>
    <row r="36" ht="20" customHeight="1">
      <c r="A36" s="76" t="inlineStr">
        <is>
          <t>本社</t>
        </is>
      </c>
      <c r="B36" s="77" t="inlineStr">
        <is>
          <t>近藤 政夫</t>
        </is>
      </c>
      <c r="C36" s="84" t="inlineStr">
        <is>
          <t>日当</t>
        </is>
      </c>
      <c r="D36" s="12" t="n">
        <v>10000</v>
      </c>
      <c r="E36" s="85">
        <f>$D$3</f>
        <v/>
      </c>
      <c r="F36" s="32">
        <f>D36*$D$3</f>
        <v/>
      </c>
      <c r="G36" s="80" t="inlineStr">
        <is>
          <t>直接</t>
        </is>
      </c>
      <c r="H36" s="81" t="inlineStr"/>
      <c r="I36" s="82">
        <f>F36*12</f>
        <v/>
      </c>
    </row>
    <row r="37" ht="20" customHeight="1">
      <c r="A37" s="76" t="inlineStr">
        <is>
          <t>本社</t>
        </is>
      </c>
      <c r="B37" s="77" t="inlineStr">
        <is>
          <t>佐藤 淳司</t>
        </is>
      </c>
      <c r="C37" s="84" t="inlineStr">
        <is>
          <t>日当</t>
        </is>
      </c>
      <c r="D37" s="12" t="n">
        <v>10000</v>
      </c>
      <c r="E37" s="85">
        <f>$D$3</f>
        <v/>
      </c>
      <c r="F37" s="32">
        <f>D37*$D$3</f>
        <v/>
      </c>
      <c r="G37" s="80" t="inlineStr">
        <is>
          <t>直接</t>
        </is>
      </c>
      <c r="H37" s="81" t="inlineStr">
        <is>
          <t>自転車撤去</t>
        </is>
      </c>
      <c r="I37" s="82">
        <f>F37*12</f>
        <v/>
      </c>
    </row>
    <row r="38" ht="20" customHeight="1">
      <c r="A38" s="76" t="inlineStr">
        <is>
          <t>本社</t>
        </is>
      </c>
      <c r="B38" s="77" t="inlineStr">
        <is>
          <t>門脇 明敏</t>
        </is>
      </c>
      <c r="C38" s="84" t="inlineStr">
        <is>
          <t>日当</t>
        </is>
      </c>
      <c r="D38" s="12" t="n">
        <v>10000</v>
      </c>
      <c r="E38" s="85">
        <f>$D$3</f>
        <v/>
      </c>
      <c r="F38" s="32">
        <f>D38*$D$3</f>
        <v/>
      </c>
      <c r="G38" s="80" t="inlineStr">
        <is>
          <t>直接</t>
        </is>
      </c>
      <c r="H38" s="81" t="inlineStr">
        <is>
          <t>いずみ</t>
        </is>
      </c>
      <c r="I38" s="82">
        <f>F38*12</f>
        <v/>
      </c>
    </row>
    <row r="39" ht="20" customHeight="1">
      <c r="A39" s="76" t="inlineStr">
        <is>
          <t>本社</t>
        </is>
      </c>
      <c r="B39" s="77" t="inlineStr">
        <is>
          <t>小島 一彦</t>
        </is>
      </c>
      <c r="C39" s="84" t="inlineStr">
        <is>
          <t>日当</t>
        </is>
      </c>
      <c r="D39" s="12" t="n">
        <v>10000</v>
      </c>
      <c r="E39" s="85">
        <f>$D$3</f>
        <v/>
      </c>
      <c r="F39" s="32">
        <f>D39*$D$3</f>
        <v/>
      </c>
      <c r="G39" s="80" t="inlineStr">
        <is>
          <t>直接</t>
        </is>
      </c>
      <c r="H39" s="81" t="inlineStr"/>
      <c r="I39" s="82">
        <f>F39*12</f>
        <v/>
      </c>
    </row>
    <row r="40" ht="20" customHeight="1">
      <c r="A40" s="76" t="inlineStr">
        <is>
          <t>本社</t>
        </is>
      </c>
      <c r="B40" s="77" t="inlineStr">
        <is>
          <t>後藤 保幸</t>
        </is>
      </c>
      <c r="C40" s="84" t="inlineStr">
        <is>
          <t>日当</t>
        </is>
      </c>
      <c r="D40" s="12" t="n">
        <v>10000</v>
      </c>
      <c r="E40" s="85">
        <f>$D$3</f>
        <v/>
      </c>
      <c r="F40" s="32">
        <f>D40*$D$3</f>
        <v/>
      </c>
      <c r="G40" s="80" t="inlineStr">
        <is>
          <t>直接</t>
        </is>
      </c>
      <c r="H40" s="81" t="inlineStr"/>
      <c r="I40" s="82">
        <f>F40*12</f>
        <v/>
      </c>
    </row>
    <row r="41" ht="20" customHeight="1">
      <c r="A41" s="76" t="inlineStr">
        <is>
          <t>本社</t>
        </is>
      </c>
      <c r="B41" s="77" t="inlineStr">
        <is>
          <t>昆野 良博</t>
        </is>
      </c>
      <c r="C41" s="84" t="inlineStr">
        <is>
          <t>日当</t>
        </is>
      </c>
      <c r="D41" s="12" t="n">
        <v>10000</v>
      </c>
      <c r="E41" s="85">
        <f>$D$3</f>
        <v/>
      </c>
      <c r="F41" s="32">
        <f>D41*$D$3</f>
        <v/>
      </c>
      <c r="G41" s="80" t="inlineStr">
        <is>
          <t>直接</t>
        </is>
      </c>
      <c r="H41" s="81" t="inlineStr"/>
      <c r="I41" s="82">
        <f>F41*12</f>
        <v/>
      </c>
    </row>
    <row r="42" ht="20" customHeight="1">
      <c r="A42" s="76" t="inlineStr">
        <is>
          <t>本社</t>
        </is>
      </c>
      <c r="B42" s="77" t="inlineStr">
        <is>
          <t>伊藤 敏正</t>
        </is>
      </c>
      <c r="C42" s="84" t="inlineStr">
        <is>
          <t>日当</t>
        </is>
      </c>
      <c r="D42" s="12" t="n">
        <v>10000</v>
      </c>
      <c r="E42" s="85">
        <f>$D$3</f>
        <v/>
      </c>
      <c r="F42" s="32">
        <f>D42*$D$3</f>
        <v/>
      </c>
      <c r="G42" s="80" t="inlineStr">
        <is>
          <t>直接</t>
        </is>
      </c>
      <c r="H42" s="81" t="inlineStr"/>
      <c r="I42" s="82">
        <f>F42*12</f>
        <v/>
      </c>
    </row>
    <row r="43" ht="20" customHeight="1">
      <c r="A43" s="76" t="inlineStr">
        <is>
          <t>本社</t>
        </is>
      </c>
      <c r="B43" s="77" t="inlineStr">
        <is>
          <t>石井 努</t>
        </is>
      </c>
      <c r="C43" s="84" t="inlineStr">
        <is>
          <t>日当</t>
        </is>
      </c>
      <c r="D43" s="12" t="n">
        <v>10000</v>
      </c>
      <c r="E43" s="85">
        <f>$D$3</f>
        <v/>
      </c>
      <c r="F43" s="32">
        <f>D43*$D$3</f>
        <v/>
      </c>
      <c r="G43" s="80" t="inlineStr">
        <is>
          <t>直接</t>
        </is>
      </c>
      <c r="H43" s="81" t="inlineStr">
        <is>
          <t>いずみ</t>
        </is>
      </c>
      <c r="I43" s="82">
        <f>F43*12</f>
        <v/>
      </c>
    </row>
    <row r="44" ht="20" customHeight="1">
      <c r="A44" s="76" t="inlineStr">
        <is>
          <t>本社</t>
        </is>
      </c>
      <c r="B44" s="77" t="inlineStr">
        <is>
          <t>金川 裕</t>
        </is>
      </c>
      <c r="C44" s="84" t="inlineStr">
        <is>
          <t>日当</t>
        </is>
      </c>
      <c r="D44" s="12" t="n">
        <v>10000</v>
      </c>
      <c r="E44" s="85">
        <f>$D$3</f>
        <v/>
      </c>
      <c r="F44" s="32">
        <f>D44*$D$3</f>
        <v/>
      </c>
      <c r="G44" s="80" t="inlineStr">
        <is>
          <t>直接</t>
        </is>
      </c>
      <c r="H44" s="81" t="inlineStr">
        <is>
          <t>文書交換</t>
        </is>
      </c>
      <c r="I44" s="82">
        <f>F44*12</f>
        <v/>
      </c>
    </row>
    <row r="45" ht="20" customHeight="1">
      <c r="A45" s="76" t="inlineStr">
        <is>
          <t>本社</t>
        </is>
      </c>
      <c r="B45" s="77" t="inlineStr">
        <is>
          <t>大澤 弘直</t>
        </is>
      </c>
      <c r="C45" s="84" t="inlineStr">
        <is>
          <t>日当</t>
        </is>
      </c>
      <c r="D45" s="12" t="n">
        <v>8000</v>
      </c>
      <c r="E45" s="85">
        <f>$D$3</f>
        <v/>
      </c>
      <c r="F45" s="32">
        <f>D45*$D$3</f>
        <v/>
      </c>
      <c r="G45" s="80" t="inlineStr">
        <is>
          <t>直接</t>
        </is>
      </c>
      <c r="H45" s="81" t="inlineStr">
        <is>
          <t>6.5h</t>
        </is>
      </c>
      <c r="I45" s="82">
        <f>F45*12</f>
        <v/>
      </c>
    </row>
    <row r="46" ht="20" customHeight="1">
      <c r="A46" s="76" t="inlineStr">
        <is>
          <t>本社</t>
        </is>
      </c>
      <c r="B46" s="77" t="inlineStr">
        <is>
          <t>羽田 美惠</t>
        </is>
      </c>
      <c r="C46" s="84" t="inlineStr">
        <is>
          <t>日当</t>
        </is>
      </c>
      <c r="D46" s="12" t="n">
        <v>10000</v>
      </c>
      <c r="E46" s="85">
        <f>$D$3</f>
        <v/>
      </c>
      <c r="F46" s="32">
        <f>D46*$D$3</f>
        <v/>
      </c>
      <c r="G46" s="83" t="inlineStr">
        <is>
          <t>間接</t>
        </is>
      </c>
      <c r="H46" s="81" t="inlineStr"/>
      <c r="I46" s="82">
        <f>F46*12</f>
        <v/>
      </c>
    </row>
    <row r="47" ht="20" customHeight="1">
      <c r="A47" s="76" t="inlineStr">
        <is>
          <t>本社</t>
        </is>
      </c>
      <c r="B47" s="77" t="inlineStr">
        <is>
          <t>赤石 政春</t>
        </is>
      </c>
      <c r="C47" s="84" t="inlineStr">
        <is>
          <t>日当</t>
        </is>
      </c>
      <c r="D47" s="12" t="n">
        <v>10000</v>
      </c>
      <c r="E47" s="85">
        <f>$D$3</f>
        <v/>
      </c>
      <c r="F47" s="32">
        <f>D47*$D$3</f>
        <v/>
      </c>
      <c r="G47" s="80" t="inlineStr">
        <is>
          <t>直接</t>
        </is>
      </c>
      <c r="H47" s="81" t="inlineStr">
        <is>
          <t>文書交換</t>
        </is>
      </c>
      <c r="I47" s="82">
        <f>F47*12</f>
        <v/>
      </c>
    </row>
    <row r="48" ht="20" customHeight="1">
      <c r="A48" s="76" t="inlineStr">
        <is>
          <t>本社</t>
        </is>
      </c>
      <c r="B48" s="77" t="inlineStr">
        <is>
          <t>小山内文夫</t>
        </is>
      </c>
      <c r="C48" s="84" t="inlineStr">
        <is>
          <t>日当</t>
        </is>
      </c>
      <c r="D48" s="12" t="n">
        <v>10000</v>
      </c>
      <c r="E48" s="85">
        <f>$D$3</f>
        <v/>
      </c>
      <c r="F48" s="32">
        <f>D48*$D$3</f>
        <v/>
      </c>
      <c r="G48" s="80" t="inlineStr">
        <is>
          <t>直接</t>
        </is>
      </c>
      <c r="H48" s="81" t="inlineStr">
        <is>
          <t>千代田区</t>
        </is>
      </c>
      <c r="I48" s="82">
        <f>F48*12</f>
        <v/>
      </c>
    </row>
    <row r="49" ht="20" customHeight="1">
      <c r="A49" s="76" t="inlineStr">
        <is>
          <t>本社</t>
        </is>
      </c>
      <c r="B49" s="77" t="inlineStr">
        <is>
          <t>林 重晴</t>
        </is>
      </c>
      <c r="C49" s="84" t="inlineStr">
        <is>
          <t>日当</t>
        </is>
      </c>
      <c r="D49" s="12" t="n">
        <v>10000</v>
      </c>
      <c r="E49" s="85">
        <f>$D$3</f>
        <v/>
      </c>
      <c r="F49" s="32">
        <f>D49*$D$3</f>
        <v/>
      </c>
      <c r="G49" s="80" t="inlineStr">
        <is>
          <t>直接</t>
        </is>
      </c>
      <c r="H49" s="81" t="inlineStr">
        <is>
          <t>いずみ</t>
        </is>
      </c>
      <c r="I49" s="82">
        <f>F49*12</f>
        <v/>
      </c>
    </row>
    <row r="50" ht="20" customHeight="1">
      <c r="A50" s="76" t="inlineStr">
        <is>
          <t>本社</t>
        </is>
      </c>
      <c r="B50" s="77" t="inlineStr">
        <is>
          <t>中原 健一</t>
        </is>
      </c>
      <c r="C50" s="84" t="inlineStr">
        <is>
          <t>日当</t>
        </is>
      </c>
      <c r="D50" s="12" t="n">
        <v>10000</v>
      </c>
      <c r="E50" s="85">
        <f>$D$3</f>
        <v/>
      </c>
      <c r="F50" s="32">
        <f>D50*$D$3</f>
        <v/>
      </c>
      <c r="G50" s="80" t="inlineStr">
        <is>
          <t>直接</t>
        </is>
      </c>
      <c r="H50" s="81" t="inlineStr">
        <is>
          <t>文書交換</t>
        </is>
      </c>
      <c r="I50" s="82">
        <f>F50*12</f>
        <v/>
      </c>
    </row>
    <row r="51" ht="20" customHeight="1">
      <c r="A51" s="76" t="inlineStr">
        <is>
          <t>本社</t>
        </is>
      </c>
      <c r="B51" s="77" t="inlineStr">
        <is>
          <t>樋口 隆一</t>
        </is>
      </c>
      <c r="C51" s="84" t="inlineStr">
        <is>
          <t>日当</t>
        </is>
      </c>
      <c r="D51" s="12" t="n">
        <v>10000</v>
      </c>
      <c r="E51" s="85">
        <f>$D$3</f>
        <v/>
      </c>
      <c r="F51" s="32">
        <f>D51*$D$3</f>
        <v/>
      </c>
      <c r="G51" s="80" t="inlineStr">
        <is>
          <t>直接</t>
        </is>
      </c>
      <c r="H51" s="81" t="inlineStr">
        <is>
          <t>自転車撤去</t>
        </is>
      </c>
      <c r="I51" s="82">
        <f>F51*12</f>
        <v/>
      </c>
    </row>
    <row r="52" ht="20" customHeight="1">
      <c r="A52" s="76" t="inlineStr">
        <is>
          <t>本社</t>
        </is>
      </c>
      <c r="B52" s="77" t="inlineStr">
        <is>
          <t>中村 史德</t>
        </is>
      </c>
      <c r="C52" s="84" t="inlineStr">
        <is>
          <t>日当</t>
        </is>
      </c>
      <c r="D52" s="12" t="n">
        <v>10000</v>
      </c>
      <c r="E52" s="85">
        <f>$D$3</f>
        <v/>
      </c>
      <c r="F52" s="32">
        <f>D52*$D$3</f>
        <v/>
      </c>
      <c r="G52" s="80" t="inlineStr">
        <is>
          <t>直接</t>
        </is>
      </c>
      <c r="H52" s="81" t="inlineStr">
        <is>
          <t>自転車撤去</t>
        </is>
      </c>
      <c r="I52" s="82">
        <f>F52*12</f>
        <v/>
      </c>
    </row>
    <row r="53" ht="20" customHeight="1">
      <c r="A53" s="76" t="inlineStr">
        <is>
          <t>本社</t>
        </is>
      </c>
      <c r="B53" s="77" t="inlineStr">
        <is>
          <t>金子 豊</t>
        </is>
      </c>
      <c r="C53" s="84" t="inlineStr">
        <is>
          <t>日当</t>
        </is>
      </c>
      <c r="D53" s="12" t="n">
        <v>10000</v>
      </c>
      <c r="E53" s="85">
        <f>$D$3</f>
        <v/>
      </c>
      <c r="F53" s="32">
        <f>D53*$D$3</f>
        <v/>
      </c>
      <c r="G53" s="80" t="inlineStr">
        <is>
          <t>直接</t>
        </is>
      </c>
      <c r="H53" s="81" t="inlineStr">
        <is>
          <t>自転車撤去</t>
        </is>
      </c>
      <c r="I53" s="82">
        <f>F53*12</f>
        <v/>
      </c>
    </row>
    <row r="54" ht="20" customHeight="1">
      <c r="A54" s="76" t="inlineStr">
        <is>
          <t>本社</t>
        </is>
      </c>
      <c r="B54" s="77" t="inlineStr">
        <is>
          <t>斉藤 善</t>
        </is>
      </c>
      <c r="C54" s="84" t="inlineStr">
        <is>
          <t>日当</t>
        </is>
      </c>
      <c r="D54" s="12" t="n">
        <v>10000</v>
      </c>
      <c r="E54" s="85">
        <f>$D$3</f>
        <v/>
      </c>
      <c r="F54" s="32">
        <f>D54*$D$3</f>
        <v/>
      </c>
      <c r="G54" s="80" t="inlineStr">
        <is>
          <t>直接</t>
        </is>
      </c>
      <c r="H54" s="81" t="inlineStr">
        <is>
          <t>自転車撤去</t>
        </is>
      </c>
      <c r="I54" s="82">
        <f>F54*12</f>
        <v/>
      </c>
    </row>
    <row r="55" ht="20" customHeight="1">
      <c r="A55" s="76" t="inlineStr">
        <is>
          <t>本社</t>
        </is>
      </c>
      <c r="B55" s="77" t="inlineStr">
        <is>
          <t>松崎 亨</t>
        </is>
      </c>
      <c r="C55" s="84" t="inlineStr">
        <is>
          <t>日当</t>
        </is>
      </c>
      <c r="D55" s="12" t="n">
        <v>10000</v>
      </c>
      <c r="E55" s="85">
        <f>$D$3</f>
        <v/>
      </c>
      <c r="F55" s="32">
        <f>D55*$D$3</f>
        <v/>
      </c>
      <c r="G55" s="80" t="inlineStr">
        <is>
          <t>直接</t>
        </is>
      </c>
      <c r="H55" s="81" t="inlineStr"/>
      <c r="I55" s="82">
        <f>F55*12</f>
        <v/>
      </c>
    </row>
    <row r="56" ht="20" customHeight="1">
      <c r="A56" s="76" t="inlineStr">
        <is>
          <t>本社</t>
        </is>
      </c>
      <c r="B56" s="77" t="inlineStr">
        <is>
          <t>町田 昌明</t>
        </is>
      </c>
      <c r="C56" s="84" t="inlineStr">
        <is>
          <t>日当</t>
        </is>
      </c>
      <c r="D56" s="12" t="n">
        <v>10000</v>
      </c>
      <c r="E56" s="85">
        <f>$D$3</f>
        <v/>
      </c>
      <c r="F56" s="32">
        <f>D56*$D$3</f>
        <v/>
      </c>
      <c r="G56" s="80" t="inlineStr">
        <is>
          <t>直接</t>
        </is>
      </c>
      <c r="H56" s="81" t="inlineStr"/>
      <c r="I56" s="82">
        <f>F56*12</f>
        <v/>
      </c>
    </row>
    <row r="57" ht="20" customHeight="1">
      <c r="A57" s="76" t="inlineStr">
        <is>
          <t>本社</t>
        </is>
      </c>
      <c r="B57" s="77" t="inlineStr">
        <is>
          <t>堀 富雄</t>
        </is>
      </c>
      <c r="C57" s="84" t="inlineStr">
        <is>
          <t>日当</t>
        </is>
      </c>
      <c r="D57" s="12" t="n">
        <v>10000</v>
      </c>
      <c r="E57" s="85">
        <f>$D$3</f>
        <v/>
      </c>
      <c r="F57" s="32">
        <f>D57*$D$3</f>
        <v/>
      </c>
      <c r="G57" s="80" t="inlineStr">
        <is>
          <t>直接</t>
        </is>
      </c>
      <c r="H57" s="81" t="inlineStr"/>
      <c r="I57" s="82">
        <f>F57*12</f>
        <v/>
      </c>
    </row>
    <row r="58" ht="20" customHeight="1">
      <c r="A58" s="76" t="inlineStr">
        <is>
          <t>本社</t>
        </is>
      </c>
      <c r="B58" s="77" t="inlineStr">
        <is>
          <t>栗原文次郎</t>
        </is>
      </c>
      <c r="C58" s="84" t="inlineStr">
        <is>
          <t>日当</t>
        </is>
      </c>
      <c r="D58" s="12" t="n">
        <v>10000</v>
      </c>
      <c r="E58" s="85">
        <f>$D$3</f>
        <v/>
      </c>
      <c r="F58" s="32">
        <f>D58*$D$3</f>
        <v/>
      </c>
      <c r="G58" s="80" t="inlineStr">
        <is>
          <t>直接</t>
        </is>
      </c>
      <c r="H58" s="81" t="inlineStr"/>
      <c r="I58" s="82">
        <f>F58*12</f>
        <v/>
      </c>
    </row>
    <row r="59" ht="20" customHeight="1">
      <c r="A59" s="76" t="inlineStr">
        <is>
          <t>本社</t>
        </is>
      </c>
      <c r="B59" s="77" t="inlineStr">
        <is>
          <t>高栁 恵州</t>
        </is>
      </c>
      <c r="C59" s="84" t="inlineStr">
        <is>
          <t>日当</t>
        </is>
      </c>
      <c r="D59" s="12" t="n">
        <v>10000</v>
      </c>
      <c r="E59" s="85">
        <f>$D$3</f>
        <v/>
      </c>
      <c r="F59" s="32">
        <f>D59*$D$3</f>
        <v/>
      </c>
      <c r="G59" s="80" t="inlineStr">
        <is>
          <t>直接</t>
        </is>
      </c>
      <c r="H59" s="81" t="inlineStr"/>
      <c r="I59" s="82">
        <f>F59*12</f>
        <v/>
      </c>
    </row>
    <row r="60" ht="20" customHeight="1">
      <c r="A60" s="76" t="inlineStr">
        <is>
          <t>本社</t>
        </is>
      </c>
      <c r="B60" s="77" t="inlineStr">
        <is>
          <t>吉見 之男</t>
        </is>
      </c>
      <c r="C60" s="84" t="inlineStr">
        <is>
          <t>日当</t>
        </is>
      </c>
      <c r="D60" s="12" t="n">
        <v>10000</v>
      </c>
      <c r="E60" s="85">
        <f>$D$3</f>
        <v/>
      </c>
      <c r="F60" s="32">
        <f>D60*$D$3</f>
        <v/>
      </c>
      <c r="G60" s="80" t="inlineStr">
        <is>
          <t>直接</t>
        </is>
      </c>
      <c r="H60" s="81" t="inlineStr"/>
      <c r="I60" s="82">
        <f>F60*12</f>
        <v/>
      </c>
    </row>
    <row r="61" ht="20" customHeight="1">
      <c r="A61" s="76" t="inlineStr">
        <is>
          <t>本社</t>
        </is>
      </c>
      <c r="B61" s="77" t="inlineStr">
        <is>
          <t>坂本 龍男</t>
        </is>
      </c>
      <c r="C61" s="84" t="inlineStr">
        <is>
          <t>日当</t>
        </is>
      </c>
      <c r="D61" s="12" t="n">
        <v>10000</v>
      </c>
      <c r="E61" s="85">
        <f>$D$3</f>
        <v/>
      </c>
      <c r="F61" s="32">
        <f>D61*$D$3</f>
        <v/>
      </c>
      <c r="G61" s="80" t="inlineStr">
        <is>
          <t>直接</t>
        </is>
      </c>
      <c r="H61" s="81" t="inlineStr"/>
      <c r="I61" s="82">
        <f>F61*12</f>
        <v/>
      </c>
    </row>
    <row r="62" ht="20" customHeight="1">
      <c r="A62" s="76" t="inlineStr">
        <is>
          <t>本社</t>
        </is>
      </c>
      <c r="B62" s="77" t="inlineStr">
        <is>
          <t>桃谷 政良</t>
        </is>
      </c>
      <c r="C62" s="84" t="inlineStr">
        <is>
          <t>日当</t>
        </is>
      </c>
      <c r="D62" s="12" t="n">
        <v>10000</v>
      </c>
      <c r="E62" s="85">
        <f>$D$3</f>
        <v/>
      </c>
      <c r="F62" s="32">
        <f>D62*$D$3</f>
        <v/>
      </c>
      <c r="G62" s="80" t="inlineStr">
        <is>
          <t>直接</t>
        </is>
      </c>
      <c r="H62" s="81" t="inlineStr"/>
      <c r="I62" s="82">
        <f>F62*12</f>
        <v/>
      </c>
    </row>
    <row r="63" ht="20" customHeight="1">
      <c r="A63" s="76" t="inlineStr">
        <is>
          <t>本社</t>
        </is>
      </c>
      <c r="B63" s="77" t="inlineStr">
        <is>
          <t>竹内 幸一</t>
        </is>
      </c>
      <c r="C63" s="84" t="inlineStr">
        <is>
          <t>日当</t>
        </is>
      </c>
      <c r="D63" s="12" t="n">
        <v>10000</v>
      </c>
      <c r="E63" s="85">
        <f>$D$3</f>
        <v/>
      </c>
      <c r="F63" s="32">
        <f>D63*$D$3</f>
        <v/>
      </c>
      <c r="G63" s="80" t="inlineStr">
        <is>
          <t>直接</t>
        </is>
      </c>
      <c r="H63" s="81" t="inlineStr"/>
      <c r="I63" s="82">
        <f>F63*12</f>
        <v/>
      </c>
    </row>
    <row r="64" ht="20" customHeight="1">
      <c r="A64" s="76" t="inlineStr">
        <is>
          <t>本社</t>
        </is>
      </c>
      <c r="B64" s="77" t="inlineStr">
        <is>
          <t>林 幸夫</t>
        </is>
      </c>
      <c r="C64" s="84" t="inlineStr">
        <is>
          <t>日当</t>
        </is>
      </c>
      <c r="D64" s="12" t="n">
        <v>10000</v>
      </c>
      <c r="E64" s="85">
        <f>$D$3</f>
        <v/>
      </c>
      <c r="F64" s="32">
        <f>D64*$D$3</f>
        <v/>
      </c>
      <c r="G64" s="80" t="inlineStr">
        <is>
          <t>直接</t>
        </is>
      </c>
      <c r="H64" s="81" t="inlineStr"/>
      <c r="I64" s="82">
        <f>F64*12</f>
        <v/>
      </c>
    </row>
    <row r="65" ht="20" customHeight="1">
      <c r="A65" s="76" t="inlineStr">
        <is>
          <t>本社</t>
        </is>
      </c>
      <c r="B65" s="77" t="inlineStr">
        <is>
          <t>加藤実都代</t>
        </is>
      </c>
      <c r="C65" s="84" t="inlineStr">
        <is>
          <t>時給</t>
        </is>
      </c>
      <c r="D65" s="12" t="n">
        <v>1805</v>
      </c>
      <c r="E65" s="85">
        <f>$D$3</f>
        <v/>
      </c>
      <c r="F65" s="32">
        <f>D65*$D$3*8</f>
        <v/>
      </c>
      <c r="G65" s="83" t="inlineStr">
        <is>
          <t>間接</t>
        </is>
      </c>
      <c r="H65" s="81" t="inlineStr"/>
      <c r="I65" s="82">
        <f>F65*12</f>
        <v/>
      </c>
    </row>
    <row r="66" ht="20" customHeight="1">
      <c r="A66" s="76" t="inlineStr">
        <is>
          <t>本社</t>
        </is>
      </c>
      <c r="B66" s="77" t="inlineStr">
        <is>
          <t>林 典子</t>
        </is>
      </c>
      <c r="C66" s="84" t="inlineStr">
        <is>
          <t>時給</t>
        </is>
      </c>
      <c r="D66" s="12" t="n">
        <v>1165</v>
      </c>
      <c r="E66" s="85">
        <f>$D$3</f>
        <v/>
      </c>
      <c r="F66" s="32">
        <f>D66*$D$3*8</f>
        <v/>
      </c>
      <c r="G66" s="83" t="inlineStr">
        <is>
          <t>間接</t>
        </is>
      </c>
      <c r="H66" s="81" t="inlineStr"/>
      <c r="I66" s="82">
        <f>F66*12</f>
        <v/>
      </c>
    </row>
    <row r="67" ht="20" customHeight="1">
      <c r="A67" s="76" t="inlineStr">
        <is>
          <t>本社</t>
        </is>
      </c>
      <c r="B67" s="77" t="inlineStr">
        <is>
          <t>足立秀次郎</t>
        </is>
      </c>
      <c r="C67" s="84" t="inlineStr">
        <is>
          <t>時給</t>
        </is>
      </c>
      <c r="D67" s="12" t="n">
        <v>1165</v>
      </c>
      <c r="E67" s="85">
        <f>$D$3</f>
        <v/>
      </c>
      <c r="F67" s="32">
        <f>D67*$D$3*8</f>
        <v/>
      </c>
      <c r="G67" s="83" t="inlineStr">
        <is>
          <t>間接</t>
        </is>
      </c>
      <c r="H67" s="81" t="inlineStr">
        <is>
          <t>文書交換室</t>
        </is>
      </c>
      <c r="I67" s="82">
        <f>F67*12</f>
        <v/>
      </c>
    </row>
    <row r="68" ht="20" customHeight="1">
      <c r="A68" s="76" t="inlineStr">
        <is>
          <t>本社</t>
        </is>
      </c>
      <c r="B68" s="77" t="inlineStr">
        <is>
          <t>松原 光年</t>
        </is>
      </c>
      <c r="C68" s="84" t="inlineStr">
        <is>
          <t>時給</t>
        </is>
      </c>
      <c r="D68" s="12" t="n">
        <v>1165</v>
      </c>
      <c r="E68" s="85">
        <f>$D$3</f>
        <v/>
      </c>
      <c r="F68" s="32">
        <f>D68*$D$3*8</f>
        <v/>
      </c>
      <c r="G68" s="83" t="inlineStr">
        <is>
          <t>間接</t>
        </is>
      </c>
      <c r="H68" s="81" t="inlineStr">
        <is>
          <t>文書交換室</t>
        </is>
      </c>
      <c r="I68" s="82">
        <f>F68*12</f>
        <v/>
      </c>
    </row>
    <row r="69" ht="20" customHeight="1">
      <c r="A69" s="76" t="inlineStr">
        <is>
          <t>本社</t>
        </is>
      </c>
      <c r="B69" s="77" t="inlineStr">
        <is>
          <t>吉川 洋平</t>
        </is>
      </c>
      <c r="C69" s="84" t="inlineStr">
        <is>
          <t>時給</t>
        </is>
      </c>
      <c r="D69" s="12" t="n">
        <v>1165</v>
      </c>
      <c r="E69" s="85">
        <f>$D$3</f>
        <v/>
      </c>
      <c r="F69" s="32">
        <f>D69*$D$3*8</f>
        <v/>
      </c>
      <c r="G69" s="83" t="inlineStr">
        <is>
          <t>間接</t>
        </is>
      </c>
      <c r="H69" s="81" t="inlineStr">
        <is>
          <t>文書交換室</t>
        </is>
      </c>
      <c r="I69" s="82">
        <f>F69*12</f>
        <v/>
      </c>
    </row>
    <row r="70" ht="20" customHeight="1">
      <c r="A70" s="76" t="inlineStr">
        <is>
          <t>本社</t>
        </is>
      </c>
      <c r="B70" s="77" t="inlineStr">
        <is>
          <t>野村 正信</t>
        </is>
      </c>
      <c r="C70" s="84" t="inlineStr">
        <is>
          <t>時給</t>
        </is>
      </c>
      <c r="D70" s="12" t="n">
        <v>1165</v>
      </c>
      <c r="E70" s="85">
        <f>$D$3</f>
        <v/>
      </c>
      <c r="F70" s="32">
        <f>D70*$D$3*8</f>
        <v/>
      </c>
      <c r="G70" s="83" t="inlineStr">
        <is>
          <t>間接</t>
        </is>
      </c>
      <c r="H70" s="81" t="inlineStr">
        <is>
          <t>文書交換室</t>
        </is>
      </c>
      <c r="I70" s="82">
        <f>F70*12</f>
        <v/>
      </c>
    </row>
    <row r="71" ht="20" customHeight="1">
      <c r="A71" s="76" t="inlineStr">
        <is>
          <t>本社</t>
        </is>
      </c>
      <c r="B71" s="77" t="inlineStr">
        <is>
          <t>野原 典子</t>
        </is>
      </c>
      <c r="C71" s="84" t="inlineStr">
        <is>
          <t>時給</t>
        </is>
      </c>
      <c r="D71" s="12" t="n">
        <v>1165</v>
      </c>
      <c r="E71" s="85">
        <f>$D$3</f>
        <v/>
      </c>
      <c r="F71" s="32">
        <f>D71*$D$3*8</f>
        <v/>
      </c>
      <c r="G71" s="83" t="inlineStr">
        <is>
          <t>間接</t>
        </is>
      </c>
      <c r="H71" s="81" t="inlineStr">
        <is>
          <t>文書交換室</t>
        </is>
      </c>
      <c r="I71" s="82">
        <f>F71*12</f>
        <v/>
      </c>
    </row>
    <row r="72" ht="20" customHeight="1">
      <c r="A72" s="76" t="inlineStr">
        <is>
          <t>本社</t>
        </is>
      </c>
      <c r="B72" s="77" t="inlineStr">
        <is>
          <t>坂本多枝子</t>
        </is>
      </c>
      <c r="C72" s="84" t="inlineStr">
        <is>
          <t>時給</t>
        </is>
      </c>
      <c r="D72" s="12" t="n">
        <v>1165</v>
      </c>
      <c r="E72" s="85">
        <f>$D$3</f>
        <v/>
      </c>
      <c r="F72" s="32">
        <f>D72*$D$3*8</f>
        <v/>
      </c>
      <c r="G72" s="83" t="inlineStr">
        <is>
          <t>間接</t>
        </is>
      </c>
      <c r="H72" s="81" t="inlineStr">
        <is>
          <t>文書交換室</t>
        </is>
      </c>
      <c r="I72" s="82">
        <f>F72*12</f>
        <v/>
      </c>
    </row>
    <row r="73" ht="20" customHeight="1">
      <c r="A73" s="76" t="inlineStr">
        <is>
          <t>本社</t>
        </is>
      </c>
      <c r="B73" s="77" t="inlineStr">
        <is>
          <t>矢作 明美</t>
        </is>
      </c>
      <c r="C73" s="84" t="inlineStr">
        <is>
          <t>時給</t>
        </is>
      </c>
      <c r="D73" s="12" t="n">
        <v>1165</v>
      </c>
      <c r="E73" s="85">
        <f>$D$3</f>
        <v/>
      </c>
      <c r="F73" s="32">
        <f>D73*$D$3*8</f>
        <v/>
      </c>
      <c r="G73" s="83" t="inlineStr">
        <is>
          <t>間接</t>
        </is>
      </c>
      <c r="H73" s="81" t="inlineStr">
        <is>
          <t>文書交換室</t>
        </is>
      </c>
      <c r="I73" s="82">
        <f>F73*12</f>
        <v/>
      </c>
    </row>
    <row r="74" ht="20" customHeight="1">
      <c r="A74" s="76" t="inlineStr">
        <is>
          <t>本社</t>
        </is>
      </c>
      <c r="B74" s="77" t="inlineStr">
        <is>
          <t>木村 貴子</t>
        </is>
      </c>
      <c r="C74" s="84" t="inlineStr">
        <is>
          <t>時給</t>
        </is>
      </c>
      <c r="D74" s="12" t="n">
        <v>1165</v>
      </c>
      <c r="E74" s="85">
        <f>$D$3</f>
        <v/>
      </c>
      <c r="F74" s="32">
        <f>D74*$D$3*8</f>
        <v/>
      </c>
      <c r="G74" s="83" t="inlineStr">
        <is>
          <t>間接</t>
        </is>
      </c>
      <c r="H74" s="81" t="inlineStr">
        <is>
          <t>文書交換室</t>
        </is>
      </c>
      <c r="I74" s="82">
        <f>F74*12</f>
        <v/>
      </c>
    </row>
    <row r="75" ht="20" customHeight="1">
      <c r="A75" s="76" t="inlineStr">
        <is>
          <t>本社</t>
        </is>
      </c>
      <c r="B75" s="77" t="inlineStr">
        <is>
          <t>稲富 笑子</t>
        </is>
      </c>
      <c r="C75" s="84" t="inlineStr">
        <is>
          <t>時給</t>
        </is>
      </c>
      <c r="D75" s="12" t="n">
        <v>1165</v>
      </c>
      <c r="E75" s="85">
        <f>$D$3</f>
        <v/>
      </c>
      <c r="F75" s="32">
        <f>D75*$D$3*8</f>
        <v/>
      </c>
      <c r="G75" s="83" t="inlineStr">
        <is>
          <t>間接</t>
        </is>
      </c>
      <c r="H75" s="81" t="inlineStr">
        <is>
          <t>文書交換室</t>
        </is>
      </c>
      <c r="I75" s="82">
        <f>F75*12</f>
        <v/>
      </c>
    </row>
    <row r="76" ht="20" customHeight="1">
      <c r="A76" s="76" t="inlineStr">
        <is>
          <t>本社</t>
        </is>
      </c>
      <c r="B76" s="77" t="inlineStr">
        <is>
          <t>芳本 智代</t>
        </is>
      </c>
      <c r="C76" s="84" t="inlineStr">
        <is>
          <t>時給</t>
        </is>
      </c>
      <c r="D76" s="12" t="n">
        <v>1165</v>
      </c>
      <c r="E76" s="85">
        <f>$D$3</f>
        <v/>
      </c>
      <c r="F76" s="32">
        <f>D76*$D$3*8</f>
        <v/>
      </c>
      <c r="G76" s="83" t="inlineStr">
        <is>
          <t>間接</t>
        </is>
      </c>
      <c r="H76" s="81" t="inlineStr">
        <is>
          <t>文書交換室</t>
        </is>
      </c>
      <c r="I76" s="82">
        <f>F76*12</f>
        <v/>
      </c>
    </row>
    <row r="77" ht="20" customHeight="1">
      <c r="A77" s="76" t="inlineStr">
        <is>
          <t>本社</t>
        </is>
      </c>
      <c r="B77" s="77" t="inlineStr">
        <is>
          <t>村上 博美</t>
        </is>
      </c>
      <c r="C77" s="86" t="inlineStr">
        <is>
          <t>自転車</t>
        </is>
      </c>
      <c r="D77" s="87" t="n">
        <v>8447</v>
      </c>
      <c r="E77" s="85">
        <f>$D$3</f>
        <v/>
      </c>
      <c r="F77" s="32">
        <f>D77*$D$3</f>
        <v/>
      </c>
      <c r="G77" s="80" t="inlineStr">
        <is>
          <t>直接</t>
        </is>
      </c>
      <c r="H77" s="81" t="inlineStr">
        <is>
          <t>7.25h</t>
        </is>
      </c>
      <c r="I77" s="82">
        <f>F77*12</f>
        <v/>
      </c>
    </row>
    <row r="78" ht="20" customHeight="1">
      <c r="A78" s="76" t="inlineStr">
        <is>
          <t>本社</t>
        </is>
      </c>
      <c r="B78" s="77" t="inlineStr">
        <is>
          <t>渡邊 茂夫</t>
        </is>
      </c>
      <c r="C78" s="86" t="inlineStr">
        <is>
          <t>自転車</t>
        </is>
      </c>
      <c r="D78" s="87" t="n">
        <v>8447</v>
      </c>
      <c r="E78" s="85">
        <f>$D$3</f>
        <v/>
      </c>
      <c r="F78" s="32">
        <f>D78*$D$3</f>
        <v/>
      </c>
      <c r="G78" s="80" t="inlineStr">
        <is>
          <t>直接</t>
        </is>
      </c>
      <c r="H78" s="81" t="inlineStr">
        <is>
          <t>7.25h</t>
        </is>
      </c>
      <c r="I78" s="82">
        <f>F78*12</f>
        <v/>
      </c>
    </row>
    <row r="79" ht="20" customHeight="1">
      <c r="A79" s="76" t="inlineStr">
        <is>
          <t>本社</t>
        </is>
      </c>
      <c r="B79" s="77" t="inlineStr">
        <is>
          <t>川満 俊一</t>
        </is>
      </c>
      <c r="C79" s="86" t="inlineStr">
        <is>
          <t>自転車</t>
        </is>
      </c>
      <c r="D79" s="87" t="n">
        <v>8447</v>
      </c>
      <c r="E79" s="85">
        <f>$D$3</f>
        <v/>
      </c>
      <c r="F79" s="32">
        <f>D79*$D$3</f>
        <v/>
      </c>
      <c r="G79" s="80" t="inlineStr">
        <is>
          <t>直接</t>
        </is>
      </c>
      <c r="H79" s="81" t="inlineStr">
        <is>
          <t>7.25h</t>
        </is>
      </c>
      <c r="I79" s="82">
        <f>F79*12</f>
        <v/>
      </c>
    </row>
    <row r="80" ht="20" customHeight="1">
      <c r="A80" s="76" t="inlineStr">
        <is>
          <t>本社</t>
        </is>
      </c>
      <c r="B80" s="77" t="inlineStr">
        <is>
          <t>阿久津信介</t>
        </is>
      </c>
      <c r="C80" s="86" t="inlineStr">
        <is>
          <t>自転車</t>
        </is>
      </c>
      <c r="D80" s="87" t="n">
        <v>8447</v>
      </c>
      <c r="E80" s="85">
        <f>$D$3</f>
        <v/>
      </c>
      <c r="F80" s="32">
        <f>D80*$D$3</f>
        <v/>
      </c>
      <c r="G80" s="80" t="inlineStr">
        <is>
          <t>直接</t>
        </is>
      </c>
      <c r="H80" s="81" t="inlineStr">
        <is>
          <t>7.25h 班長手当</t>
        </is>
      </c>
      <c r="I80" s="82">
        <f>F80*12</f>
        <v/>
      </c>
    </row>
    <row r="81" ht="20" customHeight="1">
      <c r="A81" s="76" t="inlineStr">
        <is>
          <t>本社</t>
        </is>
      </c>
      <c r="B81" s="77" t="inlineStr">
        <is>
          <t>竹内 和夫</t>
        </is>
      </c>
      <c r="C81" s="86" t="inlineStr">
        <is>
          <t>自転車</t>
        </is>
      </c>
      <c r="D81" s="87" t="n">
        <v>8447</v>
      </c>
      <c r="E81" s="85">
        <f>$D$3</f>
        <v/>
      </c>
      <c r="F81" s="32">
        <f>D81*$D$3</f>
        <v/>
      </c>
      <c r="G81" s="80" t="inlineStr">
        <is>
          <t>直接</t>
        </is>
      </c>
      <c r="H81" s="81" t="inlineStr">
        <is>
          <t>7.25h</t>
        </is>
      </c>
      <c r="I81" s="82">
        <f>F81*12</f>
        <v/>
      </c>
    </row>
    <row r="82" ht="20" customHeight="1">
      <c r="A82" s="76" t="inlineStr">
        <is>
          <t>本社</t>
        </is>
      </c>
      <c r="B82" s="77" t="inlineStr">
        <is>
          <t>橋本富士夫</t>
        </is>
      </c>
      <c r="C82" s="86" t="inlineStr">
        <is>
          <t>自転車</t>
        </is>
      </c>
      <c r="D82" s="87" t="n">
        <v>8447</v>
      </c>
      <c r="E82" s="85">
        <f>$D$3</f>
        <v/>
      </c>
      <c r="F82" s="32">
        <f>D82*$D$3</f>
        <v/>
      </c>
      <c r="G82" s="80" t="inlineStr">
        <is>
          <t>直接</t>
        </is>
      </c>
      <c r="H82" s="81" t="inlineStr">
        <is>
          <t>7.25h</t>
        </is>
      </c>
      <c r="I82" s="82">
        <f>F82*12</f>
        <v/>
      </c>
    </row>
    <row r="83" ht="20" customHeight="1">
      <c r="A83" s="76" t="inlineStr">
        <is>
          <t>本社</t>
        </is>
      </c>
      <c r="B83" s="77" t="inlineStr">
        <is>
          <t>三浦 勲</t>
        </is>
      </c>
      <c r="C83" s="86" t="inlineStr">
        <is>
          <t>自転車</t>
        </is>
      </c>
      <c r="D83" s="87" t="n">
        <v>8447</v>
      </c>
      <c r="E83" s="85">
        <f>$D$3</f>
        <v/>
      </c>
      <c r="F83" s="32">
        <f>D83*$D$3</f>
        <v/>
      </c>
      <c r="G83" s="80" t="inlineStr">
        <is>
          <t>直接</t>
        </is>
      </c>
      <c r="H83" s="81" t="inlineStr">
        <is>
          <t>7.25h</t>
        </is>
      </c>
      <c r="I83" s="82">
        <f>F83*12</f>
        <v/>
      </c>
    </row>
    <row r="84" ht="20" customHeight="1">
      <c r="A84" s="76" t="inlineStr">
        <is>
          <t>本社</t>
        </is>
      </c>
      <c r="B84" s="77" t="inlineStr">
        <is>
          <t>青木 茂</t>
        </is>
      </c>
      <c r="C84" s="86" t="inlineStr">
        <is>
          <t>自転車</t>
        </is>
      </c>
      <c r="D84" s="87" t="n">
        <v>8447</v>
      </c>
      <c r="E84" s="85">
        <f>$D$3</f>
        <v/>
      </c>
      <c r="F84" s="32">
        <f>D84*$D$3</f>
        <v/>
      </c>
      <c r="G84" s="80" t="inlineStr">
        <is>
          <t>直接</t>
        </is>
      </c>
      <c r="H84" s="81" t="inlineStr">
        <is>
          <t>7.25h</t>
        </is>
      </c>
      <c r="I84" s="82">
        <f>F84*12</f>
        <v/>
      </c>
    </row>
    <row r="85" ht="20" customHeight="1">
      <c r="A85" s="76" t="inlineStr">
        <is>
          <t>本社</t>
        </is>
      </c>
      <c r="B85" s="77" t="inlineStr">
        <is>
          <t>後藤 高広</t>
        </is>
      </c>
      <c r="C85" s="86" t="inlineStr">
        <is>
          <t>自転車</t>
        </is>
      </c>
      <c r="D85" s="87" t="n">
        <v>8447</v>
      </c>
      <c r="E85" s="85">
        <f>$D$3</f>
        <v/>
      </c>
      <c r="F85" s="32">
        <f>D85*$D$3</f>
        <v/>
      </c>
      <c r="G85" s="80" t="inlineStr">
        <is>
          <t>直接</t>
        </is>
      </c>
      <c r="H85" s="81" t="inlineStr">
        <is>
          <t>7.25h</t>
        </is>
      </c>
      <c r="I85" s="82">
        <f>F85*12</f>
        <v/>
      </c>
    </row>
    <row r="86" ht="20" customHeight="1">
      <c r="A86" s="76" t="inlineStr">
        <is>
          <t>本社</t>
        </is>
      </c>
      <c r="B86" s="77" t="inlineStr">
        <is>
          <t>平山 進</t>
        </is>
      </c>
      <c r="C86" s="86" t="inlineStr">
        <is>
          <t>自転車</t>
        </is>
      </c>
      <c r="D86" s="87" t="n">
        <v>8447</v>
      </c>
      <c r="E86" s="85">
        <f>$D$3</f>
        <v/>
      </c>
      <c r="F86" s="32">
        <f>D86*$D$3</f>
        <v/>
      </c>
      <c r="G86" s="80" t="inlineStr">
        <is>
          <t>直接</t>
        </is>
      </c>
      <c r="H86" s="81" t="inlineStr">
        <is>
          <t>7.25h</t>
        </is>
      </c>
      <c r="I86" s="82">
        <f>F86*12</f>
        <v/>
      </c>
    </row>
    <row r="87" ht="20" customHeight="1">
      <c r="A87" s="76" t="inlineStr">
        <is>
          <t>本社</t>
        </is>
      </c>
      <c r="B87" s="77" t="inlineStr">
        <is>
          <t>小松 真裕</t>
        </is>
      </c>
      <c r="C87" s="86" t="inlineStr">
        <is>
          <t>自転車</t>
        </is>
      </c>
      <c r="D87" s="87" t="n">
        <v>8447</v>
      </c>
      <c r="E87" s="85">
        <f>$D$3</f>
        <v/>
      </c>
      <c r="F87" s="32">
        <f>D87*$D$3</f>
        <v/>
      </c>
      <c r="G87" s="80" t="inlineStr">
        <is>
          <t>直接</t>
        </is>
      </c>
      <c r="H87" s="81" t="inlineStr">
        <is>
          <t>7.25h</t>
        </is>
      </c>
      <c r="I87" s="82">
        <f>F87*12</f>
        <v/>
      </c>
    </row>
    <row r="88" ht="20" customHeight="1">
      <c r="A88" s="76" t="inlineStr">
        <is>
          <t>本社</t>
        </is>
      </c>
      <c r="B88" s="77" t="inlineStr">
        <is>
          <t>奥園 達雄</t>
        </is>
      </c>
      <c r="C88" s="86" t="inlineStr">
        <is>
          <t>自転車</t>
        </is>
      </c>
      <c r="D88" s="87" t="n">
        <v>8447</v>
      </c>
      <c r="E88" s="85">
        <f>$D$3</f>
        <v/>
      </c>
      <c r="F88" s="32">
        <f>D88*$D$3</f>
        <v/>
      </c>
      <c r="G88" s="80" t="inlineStr">
        <is>
          <t>直接</t>
        </is>
      </c>
      <c r="H88" s="81" t="inlineStr">
        <is>
          <t>7.25h</t>
        </is>
      </c>
      <c r="I88" s="82">
        <f>F88*12</f>
        <v/>
      </c>
    </row>
    <row r="89" ht="20" customHeight="1">
      <c r="A89" s="76" t="inlineStr">
        <is>
          <t>本社</t>
        </is>
      </c>
      <c r="B89" s="77" t="inlineStr">
        <is>
          <t>伊藤 直道</t>
        </is>
      </c>
      <c r="C89" s="86" t="inlineStr">
        <is>
          <t>自転車</t>
        </is>
      </c>
      <c r="D89" s="87" t="n">
        <v>8447</v>
      </c>
      <c r="E89" s="85">
        <f>$D$3</f>
        <v/>
      </c>
      <c r="F89" s="32">
        <f>D89*$D$3</f>
        <v/>
      </c>
      <c r="G89" s="80" t="inlineStr">
        <is>
          <t>直接</t>
        </is>
      </c>
      <c r="H89" s="81" t="inlineStr">
        <is>
          <t>7.25h</t>
        </is>
      </c>
      <c r="I89" s="82">
        <f>F89*12</f>
        <v/>
      </c>
    </row>
    <row r="90" ht="20" customHeight="1">
      <c r="A90" s="76" t="inlineStr">
        <is>
          <t>本社</t>
        </is>
      </c>
      <c r="B90" s="77" t="inlineStr">
        <is>
          <t>仲眞 栄治</t>
        </is>
      </c>
      <c r="C90" s="86" t="inlineStr">
        <is>
          <t>自転車</t>
        </is>
      </c>
      <c r="D90" s="87" t="n">
        <v>8447</v>
      </c>
      <c r="E90" s="85">
        <f>$D$3</f>
        <v/>
      </c>
      <c r="F90" s="32">
        <f>D90*$D$3</f>
        <v/>
      </c>
      <c r="G90" s="80" t="inlineStr">
        <is>
          <t>直接</t>
        </is>
      </c>
      <c r="H90" s="81" t="inlineStr">
        <is>
          <t>7.25h</t>
        </is>
      </c>
      <c r="I90" s="82">
        <f>F90*12</f>
        <v/>
      </c>
    </row>
    <row r="91" ht="20" customHeight="1">
      <c r="A91" s="76" t="inlineStr">
        <is>
          <t>本社</t>
        </is>
      </c>
      <c r="B91" s="77" t="inlineStr">
        <is>
          <t>白井 久雄</t>
        </is>
      </c>
      <c r="C91" s="86" t="inlineStr">
        <is>
          <t>自転車</t>
        </is>
      </c>
      <c r="D91" s="87" t="n">
        <v>8447</v>
      </c>
      <c r="E91" s="85">
        <f>$D$3</f>
        <v/>
      </c>
      <c r="F91" s="32">
        <f>D91*$D$3</f>
        <v/>
      </c>
      <c r="G91" s="80" t="inlineStr">
        <is>
          <t>直接</t>
        </is>
      </c>
      <c r="H91" s="81" t="inlineStr">
        <is>
          <t>7.25h</t>
        </is>
      </c>
      <c r="I91" s="82">
        <f>F91*12</f>
        <v/>
      </c>
    </row>
    <row r="92" ht="20" customHeight="1">
      <c r="A92" s="76" t="inlineStr">
        <is>
          <t>本社</t>
        </is>
      </c>
      <c r="B92" s="77" t="inlineStr">
        <is>
          <t>仲 宏樹</t>
        </is>
      </c>
      <c r="C92" s="86" t="inlineStr">
        <is>
          <t>自転車</t>
        </is>
      </c>
      <c r="D92" s="87" t="n">
        <v>8447</v>
      </c>
      <c r="E92" s="85">
        <f>$D$3</f>
        <v/>
      </c>
      <c r="F92" s="32">
        <f>D92*$D$3</f>
        <v/>
      </c>
      <c r="G92" s="80" t="inlineStr">
        <is>
          <t>直接</t>
        </is>
      </c>
      <c r="H92" s="81" t="inlineStr">
        <is>
          <t>7.25h 能率2</t>
        </is>
      </c>
      <c r="I92" s="82">
        <f>F92*12</f>
        <v/>
      </c>
    </row>
    <row r="93" ht="20" customHeight="1">
      <c r="A93" s="76" t="inlineStr">
        <is>
          <t>本社</t>
        </is>
      </c>
      <c r="B93" s="77" t="inlineStr">
        <is>
          <t>石井 英明</t>
        </is>
      </c>
      <c r="C93" s="86" t="inlineStr">
        <is>
          <t>自転車</t>
        </is>
      </c>
      <c r="D93" s="87" t="n">
        <v>8447</v>
      </c>
      <c r="E93" s="85">
        <f>$D$3</f>
        <v/>
      </c>
      <c r="F93" s="32">
        <f>D93*$D$3</f>
        <v/>
      </c>
      <c r="G93" s="80" t="inlineStr">
        <is>
          <t>直接</t>
        </is>
      </c>
      <c r="H93" s="81" t="inlineStr">
        <is>
          <t>7.25h</t>
        </is>
      </c>
      <c r="I93" s="82">
        <f>F93*12</f>
        <v/>
      </c>
    </row>
    <row r="94" ht="20" customHeight="1">
      <c r="A94" s="76" t="inlineStr">
        <is>
          <t>本社</t>
        </is>
      </c>
      <c r="B94" s="77" t="inlineStr">
        <is>
          <t>赤間 茂</t>
        </is>
      </c>
      <c r="C94" s="86" t="inlineStr">
        <is>
          <t>自転車</t>
        </is>
      </c>
      <c r="D94" s="87" t="n">
        <v>8447</v>
      </c>
      <c r="E94" s="85">
        <f>$D$3</f>
        <v/>
      </c>
      <c r="F94" s="32">
        <f>D94*$D$3</f>
        <v/>
      </c>
      <c r="G94" s="80" t="inlineStr">
        <is>
          <t>直接</t>
        </is>
      </c>
      <c r="H94" s="81" t="inlineStr">
        <is>
          <t>7.25h</t>
        </is>
      </c>
      <c r="I94" s="82">
        <f>F94*12</f>
        <v/>
      </c>
    </row>
    <row r="95" ht="20" customHeight="1">
      <c r="A95" s="76" t="inlineStr">
        <is>
          <t>本社</t>
        </is>
      </c>
      <c r="B95" s="77" t="inlineStr">
        <is>
          <t>宇田川博之</t>
        </is>
      </c>
      <c r="C95" s="86" t="inlineStr">
        <is>
          <t>自転車</t>
        </is>
      </c>
      <c r="D95" s="87" t="n">
        <v>8447</v>
      </c>
      <c r="E95" s="85">
        <f>$D$3</f>
        <v/>
      </c>
      <c r="F95" s="32">
        <f>D95*$D$3</f>
        <v/>
      </c>
      <c r="G95" s="80" t="inlineStr">
        <is>
          <t>直接</t>
        </is>
      </c>
      <c r="H95" s="81" t="inlineStr">
        <is>
          <t>7.25h</t>
        </is>
      </c>
      <c r="I95" s="82">
        <f>F95*12</f>
        <v/>
      </c>
    </row>
    <row r="96" ht="20" customHeight="1">
      <c r="A96" s="76" t="inlineStr">
        <is>
          <t>本社</t>
        </is>
      </c>
      <c r="B96" s="77" t="inlineStr">
        <is>
          <t>菊池 義一</t>
        </is>
      </c>
      <c r="C96" s="86" t="inlineStr">
        <is>
          <t>自転車</t>
        </is>
      </c>
      <c r="D96" s="87" t="n">
        <v>8447</v>
      </c>
      <c r="E96" s="85">
        <f>$D$3</f>
        <v/>
      </c>
      <c r="F96" s="32">
        <f>D96*$D$3</f>
        <v/>
      </c>
      <c r="G96" s="80" t="inlineStr">
        <is>
          <t>直接</t>
        </is>
      </c>
      <c r="H96" s="81" t="inlineStr">
        <is>
          <t>7.25h</t>
        </is>
      </c>
      <c r="I96" s="82">
        <f>F96*12</f>
        <v/>
      </c>
    </row>
    <row r="97" ht="20" customHeight="1">
      <c r="A97" s="76" t="inlineStr">
        <is>
          <t>本社</t>
        </is>
      </c>
      <c r="B97" s="77" t="inlineStr">
        <is>
          <t>森 涼太</t>
        </is>
      </c>
      <c r="C97" s="86" t="inlineStr">
        <is>
          <t>自転車</t>
        </is>
      </c>
      <c r="D97" s="87" t="n">
        <v>8447</v>
      </c>
      <c r="E97" s="85">
        <f>$D$3</f>
        <v/>
      </c>
      <c r="F97" s="32">
        <f>D97*$D$3</f>
        <v/>
      </c>
      <c r="G97" s="80" t="inlineStr">
        <is>
          <t>直接</t>
        </is>
      </c>
      <c r="H97" s="81" t="inlineStr">
        <is>
          <t>7.25h 能率2</t>
        </is>
      </c>
      <c r="I97" s="82">
        <f>F97*12</f>
        <v/>
      </c>
    </row>
    <row r="98" ht="18" customHeight="1">
      <c r="A98" s="88" t="inlineStr">
        <is>
          <t>本社 合計  (92名)</t>
        </is>
      </c>
      <c r="F98" s="89">
        <f>SUMIF(A6:A97,"本社",F6:F97)</f>
        <v/>
      </c>
      <c r="G98" s="90" t="n"/>
      <c r="H98" s="90" t="n"/>
      <c r="I98" s="90" t="n"/>
    </row>
    <row r="99" ht="20" customHeight="1">
      <c r="A99" s="91" t="inlineStr">
        <is>
          <t>■ 板橋</t>
        </is>
      </c>
    </row>
    <row r="100" ht="20" customHeight="1">
      <c r="A100" s="92" t="inlineStr">
        <is>
          <t>板橋</t>
        </is>
      </c>
      <c r="B100" s="93" t="inlineStr">
        <is>
          <t>舟山 真純</t>
        </is>
      </c>
      <c r="C100" s="78" t="inlineStr">
        <is>
          <t>月給</t>
        </is>
      </c>
      <c r="D100" s="60" t="n">
        <v>278155</v>
      </c>
      <c r="E100" s="94" t="inlineStr">
        <is>
          <t>—</t>
        </is>
      </c>
      <c r="F100" s="32" t="n">
        <v>278155</v>
      </c>
      <c r="G100" s="80" t="inlineStr">
        <is>
          <t>直接</t>
        </is>
      </c>
      <c r="H100" s="95" t="inlineStr">
        <is>
          <t>KC</t>
        </is>
      </c>
      <c r="I100" s="82" t="n">
        <v>3337860</v>
      </c>
    </row>
    <row r="101" ht="20" customHeight="1">
      <c r="A101" s="92" t="inlineStr">
        <is>
          <t>板橋</t>
        </is>
      </c>
      <c r="B101" s="93" t="inlineStr">
        <is>
          <t>真栄城玄昌</t>
        </is>
      </c>
      <c r="C101" s="78" t="inlineStr">
        <is>
          <t>月給</t>
        </is>
      </c>
      <c r="D101" s="60" t="n">
        <v>278545</v>
      </c>
      <c r="E101" s="94" t="inlineStr">
        <is>
          <t>—</t>
        </is>
      </c>
      <c r="F101" s="32" t="n">
        <v>278545</v>
      </c>
      <c r="G101" s="80" t="inlineStr">
        <is>
          <t>直接</t>
        </is>
      </c>
      <c r="H101" s="95" t="inlineStr"/>
      <c r="I101" s="82" t="n">
        <v>3342540</v>
      </c>
    </row>
    <row r="102" ht="20" customHeight="1">
      <c r="A102" s="92" t="inlineStr">
        <is>
          <t>板橋</t>
        </is>
      </c>
      <c r="B102" s="93" t="inlineStr">
        <is>
          <t>長野 義昭</t>
        </is>
      </c>
      <c r="C102" s="78" t="inlineStr">
        <is>
          <t>月給</t>
        </is>
      </c>
      <c r="D102" s="60" t="n">
        <v>269395</v>
      </c>
      <c r="E102" s="94" t="inlineStr">
        <is>
          <t>—</t>
        </is>
      </c>
      <c r="F102" s="32" t="n">
        <v>269395</v>
      </c>
      <c r="G102" s="80" t="inlineStr">
        <is>
          <t>直接</t>
        </is>
      </c>
      <c r="H102" s="95" t="inlineStr">
        <is>
          <t>深夜</t>
        </is>
      </c>
      <c r="I102" s="82" t="n">
        <v>3232740</v>
      </c>
    </row>
    <row r="103" ht="20" customHeight="1">
      <c r="A103" s="92" t="inlineStr">
        <is>
          <t>板橋</t>
        </is>
      </c>
      <c r="B103" s="93" t="inlineStr">
        <is>
          <t>大森 茂</t>
        </is>
      </c>
      <c r="C103" s="78" t="inlineStr">
        <is>
          <t>月給</t>
        </is>
      </c>
      <c r="D103" s="60" t="n">
        <v>276395</v>
      </c>
      <c r="E103" s="94" t="inlineStr">
        <is>
          <t>—</t>
        </is>
      </c>
      <c r="F103" s="32" t="n">
        <v>276395</v>
      </c>
      <c r="G103" s="80" t="inlineStr">
        <is>
          <t>直接</t>
        </is>
      </c>
      <c r="H103" s="95" t="inlineStr">
        <is>
          <t>深夜</t>
        </is>
      </c>
      <c r="I103" s="82" t="n">
        <v>3316740</v>
      </c>
    </row>
    <row r="104" ht="20" customHeight="1">
      <c r="A104" s="92" t="inlineStr">
        <is>
          <t>板橋</t>
        </is>
      </c>
      <c r="B104" s="93" t="inlineStr">
        <is>
          <t>柳沼 清志</t>
        </is>
      </c>
      <c r="C104" s="78" t="inlineStr">
        <is>
          <t>月給</t>
        </is>
      </c>
      <c r="D104" s="60" t="n">
        <v>276395</v>
      </c>
      <c r="E104" s="94" t="inlineStr">
        <is>
          <t>—</t>
        </is>
      </c>
      <c r="F104" s="32" t="n">
        <v>276395</v>
      </c>
      <c r="G104" s="80" t="inlineStr">
        <is>
          <t>直接</t>
        </is>
      </c>
      <c r="H104" s="95" t="inlineStr"/>
      <c r="I104" s="82" t="n">
        <v>3316740</v>
      </c>
    </row>
    <row r="105" ht="20" customHeight="1">
      <c r="A105" s="92" t="inlineStr">
        <is>
          <t>板橋</t>
        </is>
      </c>
      <c r="B105" s="93" t="inlineStr">
        <is>
          <t>内田 温城</t>
        </is>
      </c>
      <c r="C105" s="78" t="inlineStr">
        <is>
          <t>月給</t>
        </is>
      </c>
      <c r="D105" s="60" t="n">
        <v>253155</v>
      </c>
      <c r="E105" s="94" t="inlineStr">
        <is>
          <t>—</t>
        </is>
      </c>
      <c r="F105" s="32" t="n">
        <v>253155</v>
      </c>
      <c r="G105" s="80" t="inlineStr">
        <is>
          <t>直接</t>
        </is>
      </c>
      <c r="H105" s="95" t="inlineStr"/>
      <c r="I105" s="82" t="n">
        <v>3037860</v>
      </c>
    </row>
    <row r="106" ht="20" customHeight="1">
      <c r="A106" s="92" t="inlineStr">
        <is>
          <t>板橋</t>
        </is>
      </c>
      <c r="B106" s="93" t="inlineStr">
        <is>
          <t>大迫 二郎</t>
        </is>
      </c>
      <c r="C106" s="78" t="inlineStr">
        <is>
          <t>月給</t>
        </is>
      </c>
      <c r="D106" s="60" t="n">
        <v>253155</v>
      </c>
      <c r="E106" s="94" t="inlineStr">
        <is>
          <t>—</t>
        </is>
      </c>
      <c r="F106" s="32" t="n">
        <v>253155</v>
      </c>
      <c r="G106" s="80" t="inlineStr">
        <is>
          <t>直接</t>
        </is>
      </c>
      <c r="H106" s="95" t="inlineStr">
        <is>
          <t>深夜</t>
        </is>
      </c>
      <c r="I106" s="82" t="n">
        <v>3037860</v>
      </c>
    </row>
    <row r="107" ht="20" customHeight="1">
      <c r="A107" s="92" t="inlineStr">
        <is>
          <t>板橋</t>
        </is>
      </c>
      <c r="B107" s="93" t="inlineStr">
        <is>
          <t>黒澤栄次郎</t>
        </is>
      </c>
      <c r="C107" s="78" t="inlineStr">
        <is>
          <t>月給</t>
        </is>
      </c>
      <c r="D107" s="60" t="n">
        <v>253155</v>
      </c>
      <c r="E107" s="94" t="inlineStr">
        <is>
          <t>—</t>
        </is>
      </c>
      <c r="F107" s="32" t="n">
        <v>253155</v>
      </c>
      <c r="G107" s="80" t="inlineStr">
        <is>
          <t>直接</t>
        </is>
      </c>
      <c r="H107" s="95" t="inlineStr">
        <is>
          <t>深夜</t>
        </is>
      </c>
      <c r="I107" s="82" t="n">
        <v>3037860</v>
      </c>
    </row>
    <row r="108" ht="20" customHeight="1">
      <c r="A108" s="92" t="inlineStr">
        <is>
          <t>板橋</t>
        </is>
      </c>
      <c r="B108" s="93" t="inlineStr">
        <is>
          <t>千葉 実</t>
        </is>
      </c>
      <c r="C108" s="78" t="inlineStr">
        <is>
          <t>月給</t>
        </is>
      </c>
      <c r="D108" s="60" t="n">
        <v>253155</v>
      </c>
      <c r="E108" s="94" t="inlineStr">
        <is>
          <t>—</t>
        </is>
      </c>
      <c r="F108" s="32" t="n">
        <v>253155</v>
      </c>
      <c r="G108" s="80" t="inlineStr">
        <is>
          <t>直接</t>
        </is>
      </c>
      <c r="H108" s="95" t="inlineStr">
        <is>
          <t>深夜</t>
        </is>
      </c>
      <c r="I108" s="82" t="n">
        <v>3037860</v>
      </c>
    </row>
    <row r="109" ht="20" customHeight="1">
      <c r="A109" s="92" t="inlineStr">
        <is>
          <t>板橋</t>
        </is>
      </c>
      <c r="B109" s="93" t="inlineStr">
        <is>
          <t>宮原 茂</t>
        </is>
      </c>
      <c r="C109" s="78" t="inlineStr">
        <is>
          <t>月給</t>
        </is>
      </c>
      <c r="D109" s="60" t="n">
        <v>253155</v>
      </c>
      <c r="E109" s="94" t="inlineStr">
        <is>
          <t>—</t>
        </is>
      </c>
      <c r="F109" s="32" t="n">
        <v>253155</v>
      </c>
      <c r="G109" s="80" t="inlineStr">
        <is>
          <t>直接</t>
        </is>
      </c>
      <c r="H109" s="95" t="inlineStr">
        <is>
          <t>深夜</t>
        </is>
      </c>
      <c r="I109" s="82" t="n">
        <v>3037860</v>
      </c>
    </row>
    <row r="110" ht="20" customHeight="1">
      <c r="A110" s="92" t="inlineStr">
        <is>
          <t>板橋</t>
        </is>
      </c>
      <c r="B110" s="93" t="inlineStr">
        <is>
          <t>堀 徳源</t>
        </is>
      </c>
      <c r="C110" s="78" t="inlineStr">
        <is>
          <t>月給</t>
        </is>
      </c>
      <c r="D110" s="60" t="n">
        <v>263155</v>
      </c>
      <c r="E110" s="94" t="inlineStr">
        <is>
          <t>—</t>
        </is>
      </c>
      <c r="F110" s="32" t="n">
        <v>263155</v>
      </c>
      <c r="G110" s="80" t="inlineStr">
        <is>
          <t>直接</t>
        </is>
      </c>
      <c r="H110" s="95" t="inlineStr"/>
      <c r="I110" s="82" t="n">
        <v>3157860</v>
      </c>
    </row>
    <row r="111" ht="20" customHeight="1">
      <c r="A111" s="92" t="inlineStr">
        <is>
          <t>板橋</t>
        </is>
      </c>
      <c r="B111" s="93" t="inlineStr">
        <is>
          <t>青木 心一</t>
        </is>
      </c>
      <c r="C111" s="78" t="inlineStr">
        <is>
          <t>月給</t>
        </is>
      </c>
      <c r="D111" s="60" t="n">
        <v>333155</v>
      </c>
      <c r="E111" s="94" t="inlineStr">
        <is>
          <t>—</t>
        </is>
      </c>
      <c r="F111" s="32" t="n">
        <v>333155</v>
      </c>
      <c r="G111" s="80" t="inlineStr">
        <is>
          <t>直接</t>
        </is>
      </c>
      <c r="H111" s="95" t="inlineStr"/>
      <c r="I111" s="82" t="n">
        <v>3997860</v>
      </c>
    </row>
    <row r="112" ht="20" customHeight="1">
      <c r="A112" s="92" t="inlineStr">
        <is>
          <t>板橋</t>
        </is>
      </c>
      <c r="B112" s="93" t="inlineStr">
        <is>
          <t>長谷川岳秀</t>
        </is>
      </c>
      <c r="C112" s="78" t="inlineStr">
        <is>
          <t>月給</t>
        </is>
      </c>
      <c r="D112" s="60" t="n">
        <v>253155</v>
      </c>
      <c r="E112" s="94" t="inlineStr">
        <is>
          <t>—</t>
        </is>
      </c>
      <c r="F112" s="32" t="n">
        <v>253155</v>
      </c>
      <c r="G112" s="80" t="inlineStr">
        <is>
          <t>直接</t>
        </is>
      </c>
      <c r="H112" s="95" t="inlineStr">
        <is>
          <t>深夜</t>
        </is>
      </c>
      <c r="I112" s="82" t="n">
        <v>3037860</v>
      </c>
    </row>
    <row r="113" ht="20" customHeight="1">
      <c r="A113" s="92" t="inlineStr">
        <is>
          <t>板橋</t>
        </is>
      </c>
      <c r="B113" s="93" t="inlineStr">
        <is>
          <t>小林 司</t>
        </is>
      </c>
      <c r="C113" s="78" t="inlineStr">
        <is>
          <t>月給</t>
        </is>
      </c>
      <c r="D113" s="60" t="n">
        <v>253155</v>
      </c>
      <c r="E113" s="94" t="inlineStr">
        <is>
          <t>—</t>
        </is>
      </c>
      <c r="F113" s="32" t="n">
        <v>253155</v>
      </c>
      <c r="G113" s="80" t="inlineStr">
        <is>
          <t>直接</t>
        </is>
      </c>
      <c r="H113" s="95" t="inlineStr">
        <is>
          <t>深夜</t>
        </is>
      </c>
      <c r="I113" s="82" t="n">
        <v>3037860</v>
      </c>
    </row>
    <row r="114" ht="20" customHeight="1">
      <c r="A114" s="92" t="inlineStr">
        <is>
          <t>板橋</t>
        </is>
      </c>
      <c r="B114" s="93" t="inlineStr">
        <is>
          <t>中條 順一</t>
        </is>
      </c>
      <c r="C114" s="78" t="inlineStr">
        <is>
          <t>月給</t>
        </is>
      </c>
      <c r="D114" s="60" t="n">
        <v>253155</v>
      </c>
      <c r="E114" s="94" t="inlineStr">
        <is>
          <t>—</t>
        </is>
      </c>
      <c r="F114" s="32" t="n">
        <v>253155</v>
      </c>
      <c r="G114" s="80" t="inlineStr">
        <is>
          <t>直接</t>
        </is>
      </c>
      <c r="H114" s="95" t="inlineStr">
        <is>
          <t>深夜</t>
        </is>
      </c>
      <c r="I114" s="82" t="n">
        <v>3037860</v>
      </c>
    </row>
    <row r="115" ht="20" customHeight="1">
      <c r="A115" s="92" t="inlineStr">
        <is>
          <t>板橋</t>
        </is>
      </c>
      <c r="B115" s="93" t="inlineStr">
        <is>
          <t>吉橋 清</t>
        </is>
      </c>
      <c r="C115" s="84" t="inlineStr">
        <is>
          <t>日当</t>
        </is>
      </c>
      <c r="D115" s="12" t="n">
        <v>10000</v>
      </c>
      <c r="E115" s="85">
        <f>$D$3</f>
        <v/>
      </c>
      <c r="F115" s="32">
        <f>D115*$D$3</f>
        <v/>
      </c>
      <c r="G115" s="80" t="inlineStr">
        <is>
          <t>直接</t>
        </is>
      </c>
      <c r="H115" s="95" t="inlineStr">
        <is>
          <t>深夜手当</t>
        </is>
      </c>
      <c r="I115" s="82">
        <f>F115*12</f>
        <v/>
      </c>
    </row>
    <row r="116" ht="20" customHeight="1">
      <c r="A116" s="92" t="inlineStr">
        <is>
          <t>板橋</t>
        </is>
      </c>
      <c r="B116" s="93" t="inlineStr">
        <is>
          <t>志村 貴子</t>
        </is>
      </c>
      <c r="C116" s="84" t="inlineStr">
        <is>
          <t>時給</t>
        </is>
      </c>
      <c r="D116" s="12" t="n">
        <v>1165</v>
      </c>
      <c r="E116" s="85">
        <f>$D$3</f>
        <v/>
      </c>
      <c r="F116" s="32">
        <f>D116*$D$3*8</f>
        <v/>
      </c>
      <c r="G116" s="83" t="inlineStr">
        <is>
          <t>間接</t>
        </is>
      </c>
      <c r="H116" s="95" t="inlineStr"/>
      <c r="I116" s="82">
        <f>F116*12</f>
        <v/>
      </c>
    </row>
    <row r="117" ht="20" customHeight="1">
      <c r="A117" s="92" t="inlineStr">
        <is>
          <t>板橋</t>
        </is>
      </c>
      <c r="B117" s="93" t="inlineStr">
        <is>
          <t>加藤 裕子</t>
        </is>
      </c>
      <c r="C117" s="84" t="inlineStr">
        <is>
          <t>時給</t>
        </is>
      </c>
      <c r="D117" s="12" t="n">
        <v>1165</v>
      </c>
      <c r="E117" s="85">
        <f>$D$3</f>
        <v/>
      </c>
      <c r="F117" s="32">
        <f>D117*$D$3*8</f>
        <v/>
      </c>
      <c r="G117" s="83" t="inlineStr">
        <is>
          <t>間接</t>
        </is>
      </c>
      <c r="H117" s="95" t="inlineStr"/>
      <c r="I117" s="82">
        <f>F117*12</f>
        <v/>
      </c>
    </row>
    <row r="118" ht="18" customHeight="1">
      <c r="A118" s="96" t="inlineStr">
        <is>
          <t>板橋 合計  (19名)</t>
        </is>
      </c>
      <c r="F118" s="97">
        <f>SUMIF(A99:A117,"板橋",F99:F117)</f>
        <v/>
      </c>
      <c r="G118" s="98" t="n"/>
      <c r="H118" s="98" t="n"/>
      <c r="I118" s="98" t="n"/>
    </row>
    <row r="119" ht="20" customHeight="1">
      <c r="A119" s="99" t="inlineStr">
        <is>
          <t>■ 新横浜</t>
        </is>
      </c>
    </row>
    <row r="120" ht="20" customHeight="1">
      <c r="A120" s="80" t="inlineStr">
        <is>
          <t>新横浜</t>
        </is>
      </c>
      <c r="B120" s="100" t="inlineStr">
        <is>
          <t>富田 定夫</t>
        </is>
      </c>
      <c r="C120" s="78" t="inlineStr">
        <is>
          <t>月給</t>
        </is>
      </c>
      <c r="D120" s="60" t="n">
        <v>248155</v>
      </c>
      <c r="E120" s="101" t="inlineStr">
        <is>
          <t>—</t>
        </is>
      </c>
      <c r="F120" s="32" t="n">
        <v>248155</v>
      </c>
      <c r="G120" s="80" t="inlineStr">
        <is>
          <t>直接</t>
        </is>
      </c>
      <c r="H120" s="102" t="inlineStr"/>
      <c r="I120" s="82" t="n">
        <v>2977860</v>
      </c>
    </row>
    <row r="121" ht="20" customHeight="1">
      <c r="A121" s="80" t="inlineStr">
        <is>
          <t>新横浜</t>
        </is>
      </c>
      <c r="B121" s="100" t="inlineStr">
        <is>
          <t>細野 篤史</t>
        </is>
      </c>
      <c r="C121" s="78" t="inlineStr">
        <is>
          <t>月給</t>
        </is>
      </c>
      <c r="D121" s="60" t="n">
        <v>293155</v>
      </c>
      <c r="E121" s="101" t="inlineStr">
        <is>
          <t>—</t>
        </is>
      </c>
      <c r="F121" s="32" t="n">
        <v>293155</v>
      </c>
      <c r="G121" s="80" t="inlineStr">
        <is>
          <t>直接</t>
        </is>
      </c>
      <c r="H121" s="102" t="inlineStr">
        <is>
          <t>サッポロ</t>
        </is>
      </c>
      <c r="I121" s="82" t="n">
        <v>3517860</v>
      </c>
    </row>
    <row r="122" ht="20" customHeight="1">
      <c r="A122" s="80" t="inlineStr">
        <is>
          <t>新横浜</t>
        </is>
      </c>
      <c r="B122" s="100" t="inlineStr">
        <is>
          <t>麻生 和義</t>
        </is>
      </c>
      <c r="C122" s="78" t="inlineStr">
        <is>
          <t>月給</t>
        </is>
      </c>
      <c r="D122" s="60" t="n">
        <v>263155</v>
      </c>
      <c r="E122" s="101" t="inlineStr">
        <is>
          <t>—</t>
        </is>
      </c>
      <c r="F122" s="32" t="n">
        <v>263155</v>
      </c>
      <c r="G122" s="80" t="inlineStr">
        <is>
          <t>直接</t>
        </is>
      </c>
      <c r="H122" s="102" t="inlineStr">
        <is>
          <t>サッポロ</t>
        </is>
      </c>
      <c r="I122" s="82" t="n">
        <v>3157860</v>
      </c>
    </row>
    <row r="123" ht="20" customHeight="1">
      <c r="A123" s="80" t="inlineStr">
        <is>
          <t>新横浜</t>
        </is>
      </c>
      <c r="B123" s="100" t="inlineStr">
        <is>
          <t>木幡 信行</t>
        </is>
      </c>
      <c r="C123" s="84" t="inlineStr">
        <is>
          <t>日当</t>
        </is>
      </c>
      <c r="D123" s="12" t="n">
        <v>10000</v>
      </c>
      <c r="E123" s="85">
        <f>$D$3</f>
        <v/>
      </c>
      <c r="F123" s="32">
        <f>D123*$D$3</f>
        <v/>
      </c>
      <c r="G123" s="80" t="inlineStr">
        <is>
          <t>直接</t>
        </is>
      </c>
      <c r="H123" s="102" t="inlineStr"/>
      <c r="I123" s="82">
        <f>F123*12</f>
        <v/>
      </c>
    </row>
    <row r="124" ht="20" customHeight="1">
      <c r="A124" s="80" t="inlineStr">
        <is>
          <t>新横浜</t>
        </is>
      </c>
      <c r="B124" s="100" t="inlineStr">
        <is>
          <t>渡辺 義則</t>
        </is>
      </c>
      <c r="C124" s="84" t="inlineStr">
        <is>
          <t>日当</t>
        </is>
      </c>
      <c r="D124" s="12" t="n">
        <v>10000</v>
      </c>
      <c r="E124" s="85">
        <f>$D$3</f>
        <v/>
      </c>
      <c r="F124" s="32">
        <f>D124*$D$3</f>
        <v/>
      </c>
      <c r="G124" s="80" t="inlineStr">
        <is>
          <t>直接</t>
        </is>
      </c>
      <c r="H124" s="102" t="inlineStr"/>
      <c r="I124" s="82">
        <f>F124*12</f>
        <v/>
      </c>
    </row>
    <row r="125" ht="20" customHeight="1">
      <c r="A125" s="80" t="inlineStr">
        <is>
          <t>新横浜</t>
        </is>
      </c>
      <c r="B125" s="100" t="inlineStr">
        <is>
          <t>府川 正明</t>
        </is>
      </c>
      <c r="C125" s="84" t="inlineStr">
        <is>
          <t>日当</t>
        </is>
      </c>
      <c r="D125" s="12" t="n">
        <v>10000</v>
      </c>
      <c r="E125" s="85">
        <f>$D$3</f>
        <v/>
      </c>
      <c r="F125" s="32">
        <f>D125*$D$3</f>
        <v/>
      </c>
      <c r="G125" s="80" t="inlineStr">
        <is>
          <t>直接</t>
        </is>
      </c>
      <c r="H125" s="102" t="inlineStr"/>
      <c r="I125" s="82">
        <f>F125*12</f>
        <v/>
      </c>
    </row>
    <row r="126" ht="20" customHeight="1">
      <c r="A126" s="80" t="inlineStr">
        <is>
          <t>新横浜</t>
        </is>
      </c>
      <c r="B126" s="100" t="inlineStr">
        <is>
          <t>松尾 雅史</t>
        </is>
      </c>
      <c r="C126" s="84" t="inlineStr">
        <is>
          <t>日当</t>
        </is>
      </c>
      <c r="D126" s="12" t="n">
        <v>10000</v>
      </c>
      <c r="E126" s="85">
        <f>$D$3</f>
        <v/>
      </c>
      <c r="F126" s="32">
        <f>D126*$D$3</f>
        <v/>
      </c>
      <c r="G126" s="80" t="inlineStr">
        <is>
          <t>直接</t>
        </is>
      </c>
      <c r="H126" s="102" t="inlineStr">
        <is>
          <t>サッポロ</t>
        </is>
      </c>
      <c r="I126" s="82">
        <f>F126*12</f>
        <v/>
      </c>
    </row>
    <row r="127" ht="20" customHeight="1">
      <c r="A127" s="80" t="inlineStr">
        <is>
          <t>新横浜</t>
        </is>
      </c>
      <c r="B127" s="100" t="inlineStr">
        <is>
          <t>古川 美光</t>
        </is>
      </c>
      <c r="C127" s="84" t="inlineStr">
        <is>
          <t>日当</t>
        </is>
      </c>
      <c r="D127" s="12" t="n">
        <v>10000</v>
      </c>
      <c r="E127" s="85">
        <f>$D$3</f>
        <v/>
      </c>
      <c r="F127" s="32">
        <f>D127*$D$3</f>
        <v/>
      </c>
      <c r="G127" s="80" t="inlineStr">
        <is>
          <t>直接</t>
        </is>
      </c>
      <c r="H127" s="102" t="inlineStr">
        <is>
          <t>深夜</t>
        </is>
      </c>
      <c r="I127" s="82">
        <f>F127*12</f>
        <v/>
      </c>
    </row>
    <row r="128" ht="20" customHeight="1">
      <c r="A128" s="80" t="inlineStr">
        <is>
          <t>新横浜</t>
        </is>
      </c>
      <c r="B128" s="100" t="inlineStr">
        <is>
          <t>宮崎 守</t>
        </is>
      </c>
      <c r="C128" s="84" t="inlineStr">
        <is>
          <t>日当</t>
        </is>
      </c>
      <c r="D128" s="12" t="n">
        <v>10000</v>
      </c>
      <c r="E128" s="85">
        <f>$D$3</f>
        <v/>
      </c>
      <c r="F128" s="32">
        <f>D128*$D$3</f>
        <v/>
      </c>
      <c r="G128" s="80" t="inlineStr">
        <is>
          <t>直接</t>
        </is>
      </c>
      <c r="H128" s="102" t="inlineStr"/>
      <c r="I128" s="82">
        <f>F128*12</f>
        <v/>
      </c>
    </row>
    <row r="129" ht="20" customHeight="1">
      <c r="A129" s="80" t="inlineStr">
        <is>
          <t>新横浜</t>
        </is>
      </c>
      <c r="B129" s="100" t="inlineStr">
        <is>
          <t>大矢 詔子</t>
        </is>
      </c>
      <c r="C129" s="84" t="inlineStr">
        <is>
          <t>時給</t>
        </is>
      </c>
      <c r="D129" s="12" t="n">
        <v>1165</v>
      </c>
      <c r="E129" s="85">
        <f>$D$3</f>
        <v/>
      </c>
      <c r="F129" s="32">
        <f>D129*$D$3*8</f>
        <v/>
      </c>
      <c r="G129" s="83" t="inlineStr">
        <is>
          <t>間接</t>
        </is>
      </c>
      <c r="H129" s="102" t="inlineStr"/>
      <c r="I129" s="82">
        <f>F129*12</f>
        <v/>
      </c>
    </row>
    <row r="130" ht="18" customHeight="1">
      <c r="A130" s="103" t="inlineStr">
        <is>
          <t>新横浜 合計  (11名)</t>
        </is>
      </c>
      <c r="F130" s="104">
        <f>SUMIF(A119:A129,"新横浜",F119:F129)</f>
        <v/>
      </c>
      <c r="G130" s="105" t="n"/>
      <c r="H130" s="105" t="n"/>
      <c r="I130" s="105" t="n"/>
    </row>
    <row r="131" ht="20" customHeight="1">
      <c r="A131" s="106" t="inlineStr">
        <is>
          <t>■ 埼玉</t>
        </is>
      </c>
    </row>
    <row r="132" ht="20" customHeight="1">
      <c r="A132" s="107" t="inlineStr">
        <is>
          <t>埼玉</t>
        </is>
      </c>
      <c r="B132" s="108" t="inlineStr">
        <is>
          <t>和田 康弘</t>
        </is>
      </c>
      <c r="C132" s="78" t="inlineStr">
        <is>
          <t>月給</t>
        </is>
      </c>
      <c r="D132" s="60" t="n">
        <v>263155</v>
      </c>
      <c r="E132" s="109" t="inlineStr">
        <is>
          <t>—</t>
        </is>
      </c>
      <c r="F132" s="32" t="n">
        <v>263155</v>
      </c>
      <c r="G132" s="80" t="inlineStr">
        <is>
          <t>直接</t>
        </is>
      </c>
      <c r="H132" s="110" t="inlineStr"/>
      <c r="I132" s="82" t="n">
        <v>3157860</v>
      </c>
    </row>
    <row r="133" ht="20" customHeight="1">
      <c r="A133" s="107" t="inlineStr">
        <is>
          <t>埼玉</t>
        </is>
      </c>
      <c r="B133" s="108" t="inlineStr">
        <is>
          <t>藤内 順平</t>
        </is>
      </c>
      <c r="C133" s="78" t="inlineStr">
        <is>
          <t>月給</t>
        </is>
      </c>
      <c r="D133" s="60" t="n">
        <v>253155</v>
      </c>
      <c r="E133" s="109" t="inlineStr">
        <is>
          <t>—</t>
        </is>
      </c>
      <c r="F133" s="32" t="n">
        <v>253155</v>
      </c>
      <c r="G133" s="80" t="inlineStr">
        <is>
          <t>直接</t>
        </is>
      </c>
      <c r="H133" s="110" t="inlineStr">
        <is>
          <t>文京</t>
        </is>
      </c>
      <c r="I133" s="82" t="n">
        <v>3037860</v>
      </c>
    </row>
    <row r="134" ht="20" customHeight="1">
      <c r="A134" s="107" t="inlineStr">
        <is>
          <t>埼玉</t>
        </is>
      </c>
      <c r="B134" s="108" t="inlineStr">
        <is>
          <t>土屋 紀元</t>
        </is>
      </c>
      <c r="C134" s="78" t="inlineStr">
        <is>
          <t>月給</t>
        </is>
      </c>
      <c r="D134" s="60" t="n">
        <v>263155</v>
      </c>
      <c r="E134" s="109" t="inlineStr">
        <is>
          <t>—</t>
        </is>
      </c>
      <c r="F134" s="32" t="n">
        <v>263155</v>
      </c>
      <c r="G134" s="80" t="inlineStr">
        <is>
          <t>直接</t>
        </is>
      </c>
      <c r="H134" s="110" t="inlineStr"/>
      <c r="I134" s="82" t="n">
        <v>3157860</v>
      </c>
    </row>
    <row r="135" ht="20" customHeight="1">
      <c r="A135" s="107" t="inlineStr">
        <is>
          <t>埼玉</t>
        </is>
      </c>
      <c r="B135" s="108" t="inlineStr">
        <is>
          <t>玉山 賢雄</t>
        </is>
      </c>
      <c r="C135" s="78" t="inlineStr">
        <is>
          <t>月給</t>
        </is>
      </c>
      <c r="D135" s="60" t="n">
        <v>243155</v>
      </c>
      <c r="E135" s="109" t="inlineStr">
        <is>
          <t>—</t>
        </is>
      </c>
      <c r="F135" s="32" t="n">
        <v>243155</v>
      </c>
      <c r="G135" s="80" t="inlineStr">
        <is>
          <t>直接</t>
        </is>
      </c>
      <c r="H135" s="110" t="inlineStr"/>
      <c r="I135" s="82" t="n">
        <v>2917860</v>
      </c>
    </row>
    <row r="136" ht="20" customHeight="1">
      <c r="A136" s="107" t="inlineStr">
        <is>
          <t>埼玉</t>
        </is>
      </c>
      <c r="B136" s="108" t="inlineStr">
        <is>
          <t>石橋 雅隆</t>
        </is>
      </c>
      <c r="C136" s="78" t="inlineStr">
        <is>
          <t>月給</t>
        </is>
      </c>
      <c r="D136" s="60" t="n">
        <v>243155</v>
      </c>
      <c r="E136" s="109" t="inlineStr">
        <is>
          <t>—</t>
        </is>
      </c>
      <c r="F136" s="32" t="n">
        <v>243155</v>
      </c>
      <c r="G136" s="80" t="inlineStr">
        <is>
          <t>直接</t>
        </is>
      </c>
      <c r="H136" s="110" t="inlineStr">
        <is>
          <t>ユニマテック</t>
        </is>
      </c>
      <c r="I136" s="82" t="n">
        <v>2917860</v>
      </c>
    </row>
    <row r="137" ht="20" customHeight="1">
      <c r="A137" s="107" t="inlineStr">
        <is>
          <t>埼玉</t>
        </is>
      </c>
      <c r="B137" s="108" t="inlineStr">
        <is>
          <t>佐々木幸治</t>
        </is>
      </c>
      <c r="C137" s="78" t="inlineStr">
        <is>
          <t>月給</t>
        </is>
      </c>
      <c r="D137" s="60" t="n">
        <v>263155</v>
      </c>
      <c r="E137" s="109" t="inlineStr">
        <is>
          <t>—</t>
        </is>
      </c>
      <c r="F137" s="32" t="n">
        <v>263155</v>
      </c>
      <c r="G137" s="80" t="inlineStr">
        <is>
          <t>直接</t>
        </is>
      </c>
      <c r="H137" s="110" t="inlineStr"/>
      <c r="I137" s="82" t="n">
        <v>3157860</v>
      </c>
    </row>
    <row r="138" ht="20" customHeight="1">
      <c r="A138" s="107" t="inlineStr">
        <is>
          <t>埼玉</t>
        </is>
      </c>
      <c r="B138" s="108" t="inlineStr">
        <is>
          <t>小堀 智由</t>
        </is>
      </c>
      <c r="C138" s="78" t="inlineStr">
        <is>
          <t>月給</t>
        </is>
      </c>
      <c r="D138" s="60" t="n">
        <v>253155</v>
      </c>
      <c r="E138" s="109" t="inlineStr">
        <is>
          <t>—</t>
        </is>
      </c>
      <c r="F138" s="32" t="n">
        <v>253155</v>
      </c>
      <c r="G138" s="80" t="inlineStr">
        <is>
          <t>直接</t>
        </is>
      </c>
      <c r="H138" s="110" t="inlineStr">
        <is>
          <t>文京</t>
        </is>
      </c>
      <c r="I138" s="82" t="n">
        <v>3037860</v>
      </c>
    </row>
    <row r="139" ht="20" customHeight="1">
      <c r="A139" s="107" t="inlineStr">
        <is>
          <t>埼玉</t>
        </is>
      </c>
      <c r="B139" s="108" t="inlineStr">
        <is>
          <t>大森 翔太</t>
        </is>
      </c>
      <c r="C139" s="78" t="inlineStr">
        <is>
          <t>月給</t>
        </is>
      </c>
      <c r="D139" s="60" t="n">
        <v>243155</v>
      </c>
      <c r="E139" s="109" t="inlineStr">
        <is>
          <t>—</t>
        </is>
      </c>
      <c r="F139" s="32" t="n">
        <v>243155</v>
      </c>
      <c r="G139" s="80" t="inlineStr">
        <is>
          <t>直接</t>
        </is>
      </c>
      <c r="H139" s="110" t="inlineStr">
        <is>
          <t>ユニマテック</t>
        </is>
      </c>
      <c r="I139" s="82" t="n">
        <v>2917860</v>
      </c>
    </row>
    <row r="140" ht="20" customHeight="1">
      <c r="A140" s="107" t="inlineStr">
        <is>
          <t>埼玉</t>
        </is>
      </c>
      <c r="B140" s="108" t="inlineStr">
        <is>
          <t>根岸 三鶴</t>
        </is>
      </c>
      <c r="C140" s="78" t="inlineStr">
        <is>
          <t>月給</t>
        </is>
      </c>
      <c r="D140" s="60" t="n">
        <v>243155</v>
      </c>
      <c r="E140" s="109" t="inlineStr">
        <is>
          <t>—</t>
        </is>
      </c>
      <c r="F140" s="32" t="n">
        <v>243155</v>
      </c>
      <c r="G140" s="80" t="inlineStr">
        <is>
          <t>直接</t>
        </is>
      </c>
      <c r="H140" s="110" t="inlineStr"/>
      <c r="I140" s="82" t="n">
        <v>2917860</v>
      </c>
    </row>
    <row r="141" ht="20" customHeight="1">
      <c r="A141" s="107" t="inlineStr">
        <is>
          <t>埼玉</t>
        </is>
      </c>
      <c r="B141" s="108" t="inlineStr">
        <is>
          <t>平澤 隼</t>
        </is>
      </c>
      <c r="C141" s="78" t="inlineStr">
        <is>
          <t>月給</t>
        </is>
      </c>
      <c r="D141" s="60" t="n">
        <v>253155</v>
      </c>
      <c r="E141" s="109" t="inlineStr">
        <is>
          <t>—</t>
        </is>
      </c>
      <c r="F141" s="32" t="n">
        <v>253155</v>
      </c>
      <c r="G141" s="80" t="inlineStr">
        <is>
          <t>直接</t>
        </is>
      </c>
      <c r="H141" s="110" t="inlineStr">
        <is>
          <t>文京</t>
        </is>
      </c>
      <c r="I141" s="82" t="n">
        <v>3037860</v>
      </c>
    </row>
    <row r="142" ht="20" customHeight="1">
      <c r="A142" s="107" t="inlineStr">
        <is>
          <t>埼玉</t>
        </is>
      </c>
      <c r="B142" s="108" t="inlineStr">
        <is>
          <t>八峠 知之</t>
        </is>
      </c>
      <c r="C142" s="78" t="inlineStr">
        <is>
          <t>月給</t>
        </is>
      </c>
      <c r="D142" s="60" t="n">
        <v>243155</v>
      </c>
      <c r="E142" s="109" t="inlineStr">
        <is>
          <t>—</t>
        </is>
      </c>
      <c r="F142" s="32" t="n">
        <v>243155</v>
      </c>
      <c r="G142" s="80" t="inlineStr">
        <is>
          <t>直接</t>
        </is>
      </c>
      <c r="H142" s="110" t="inlineStr"/>
      <c r="I142" s="82" t="n">
        <v>2917860</v>
      </c>
    </row>
    <row r="143" ht="20" customHeight="1">
      <c r="A143" s="107" t="inlineStr">
        <is>
          <t>埼玉</t>
        </is>
      </c>
      <c r="B143" s="108" t="inlineStr">
        <is>
          <t>山田 和宏</t>
        </is>
      </c>
      <c r="C143" s="78" t="inlineStr">
        <is>
          <t>月給</t>
        </is>
      </c>
      <c r="D143" s="60" t="n">
        <v>253155</v>
      </c>
      <c r="E143" s="109" t="inlineStr">
        <is>
          <t>—</t>
        </is>
      </c>
      <c r="F143" s="32" t="n">
        <v>253155</v>
      </c>
      <c r="G143" s="80" t="inlineStr">
        <is>
          <t>直接</t>
        </is>
      </c>
      <c r="H143" s="110" t="inlineStr">
        <is>
          <t>文京</t>
        </is>
      </c>
      <c r="I143" s="82" t="n">
        <v>3037860</v>
      </c>
    </row>
    <row r="144" ht="20" customHeight="1">
      <c r="A144" s="107" t="inlineStr">
        <is>
          <t>埼玉</t>
        </is>
      </c>
      <c r="B144" s="108" t="inlineStr">
        <is>
          <t>渡辺 貴之</t>
        </is>
      </c>
      <c r="C144" s="78" t="inlineStr">
        <is>
          <t>月給</t>
        </is>
      </c>
      <c r="D144" s="60" t="n">
        <v>251155</v>
      </c>
      <c r="E144" s="109" t="inlineStr">
        <is>
          <t>—</t>
        </is>
      </c>
      <c r="F144" s="32" t="n">
        <v>251155</v>
      </c>
      <c r="G144" s="80" t="inlineStr">
        <is>
          <t>直接</t>
        </is>
      </c>
      <c r="H144" s="110" t="inlineStr"/>
      <c r="I144" s="82" t="n">
        <v>3013860</v>
      </c>
    </row>
    <row r="145" ht="20" customHeight="1">
      <c r="A145" s="107" t="inlineStr">
        <is>
          <t>埼玉</t>
        </is>
      </c>
      <c r="B145" s="108" t="inlineStr">
        <is>
          <t>大嶋 隆</t>
        </is>
      </c>
      <c r="C145" s="78" t="inlineStr">
        <is>
          <t>月給</t>
        </is>
      </c>
      <c r="D145" s="60" t="n">
        <v>243155</v>
      </c>
      <c r="E145" s="109" t="inlineStr">
        <is>
          <t>—</t>
        </is>
      </c>
      <c r="F145" s="32" t="n">
        <v>243155</v>
      </c>
      <c r="G145" s="80" t="inlineStr">
        <is>
          <t>直接</t>
        </is>
      </c>
      <c r="H145" s="110" t="inlineStr"/>
      <c r="I145" s="82" t="n">
        <v>2917860</v>
      </c>
    </row>
    <row r="146" ht="20" customHeight="1">
      <c r="A146" s="107" t="inlineStr">
        <is>
          <t>埼玉</t>
        </is>
      </c>
      <c r="B146" s="108" t="inlineStr">
        <is>
          <t>日吉 眞次</t>
        </is>
      </c>
      <c r="C146" s="78" t="inlineStr">
        <is>
          <t>月給</t>
        </is>
      </c>
      <c r="D146" s="60" t="n">
        <v>243155</v>
      </c>
      <c r="E146" s="109" t="inlineStr">
        <is>
          <t>—</t>
        </is>
      </c>
      <c r="F146" s="32" t="n">
        <v>243155</v>
      </c>
      <c r="G146" s="80" t="inlineStr">
        <is>
          <t>直接</t>
        </is>
      </c>
      <c r="H146" s="110" t="inlineStr"/>
      <c r="I146" s="82" t="n">
        <v>2917860</v>
      </c>
    </row>
    <row r="147" ht="20" customHeight="1">
      <c r="A147" s="107" t="inlineStr">
        <is>
          <t>埼玉</t>
        </is>
      </c>
      <c r="B147" s="108" t="inlineStr">
        <is>
          <t>西川 一美</t>
        </is>
      </c>
      <c r="C147" s="78" t="inlineStr">
        <is>
          <t>月給</t>
        </is>
      </c>
      <c r="D147" s="60" t="n">
        <v>253155</v>
      </c>
      <c r="E147" s="109" t="inlineStr">
        <is>
          <t>—</t>
        </is>
      </c>
      <c r="F147" s="32" t="n">
        <v>253155</v>
      </c>
      <c r="G147" s="80" t="inlineStr">
        <is>
          <t>直接</t>
        </is>
      </c>
      <c r="H147" s="110" t="inlineStr">
        <is>
          <t>文京</t>
        </is>
      </c>
      <c r="I147" s="82" t="n">
        <v>3037860</v>
      </c>
    </row>
    <row r="148" ht="20" customHeight="1">
      <c r="A148" s="107" t="inlineStr">
        <is>
          <t>埼玉</t>
        </is>
      </c>
      <c r="B148" s="108" t="inlineStr">
        <is>
          <t>篠原 幸一</t>
        </is>
      </c>
      <c r="C148" s="78" t="inlineStr">
        <is>
          <t>月給</t>
        </is>
      </c>
      <c r="D148" s="60" t="n">
        <v>253155</v>
      </c>
      <c r="E148" s="109" t="inlineStr">
        <is>
          <t>—</t>
        </is>
      </c>
      <c r="F148" s="32" t="n">
        <v>253155</v>
      </c>
      <c r="G148" s="80" t="inlineStr">
        <is>
          <t>直接</t>
        </is>
      </c>
      <c r="H148" s="110" t="inlineStr">
        <is>
          <t>文京</t>
        </is>
      </c>
      <c r="I148" s="82" t="n">
        <v>3037860</v>
      </c>
    </row>
    <row r="149" ht="20" customHeight="1">
      <c r="A149" s="107" t="inlineStr">
        <is>
          <t>埼玉</t>
        </is>
      </c>
      <c r="B149" s="108" t="inlineStr">
        <is>
          <t>前崎 厚志</t>
        </is>
      </c>
      <c r="C149" s="78" t="inlineStr">
        <is>
          <t>月給</t>
        </is>
      </c>
      <c r="D149" s="60" t="n">
        <v>253155</v>
      </c>
      <c r="E149" s="109" t="inlineStr">
        <is>
          <t>—</t>
        </is>
      </c>
      <c r="F149" s="32" t="n">
        <v>253155</v>
      </c>
      <c r="G149" s="80" t="inlineStr">
        <is>
          <t>直接</t>
        </is>
      </c>
      <c r="H149" s="110" t="inlineStr">
        <is>
          <t>文京</t>
        </is>
      </c>
      <c r="I149" s="82" t="n">
        <v>3037860</v>
      </c>
    </row>
    <row r="150" ht="20" customHeight="1">
      <c r="A150" s="107" t="inlineStr">
        <is>
          <t>埼玉</t>
        </is>
      </c>
      <c r="B150" s="108" t="inlineStr">
        <is>
          <t>小笠原良孝</t>
        </is>
      </c>
      <c r="C150" s="78" t="inlineStr">
        <is>
          <t>月給</t>
        </is>
      </c>
      <c r="D150" s="60" t="n">
        <v>243155</v>
      </c>
      <c r="E150" s="109" t="inlineStr">
        <is>
          <t>—</t>
        </is>
      </c>
      <c r="F150" s="32" t="n">
        <v>243155</v>
      </c>
      <c r="G150" s="80" t="inlineStr">
        <is>
          <t>直接</t>
        </is>
      </c>
      <c r="H150" s="110" t="inlineStr"/>
      <c r="I150" s="82" t="n">
        <v>2917860</v>
      </c>
    </row>
    <row r="151" ht="20" customHeight="1">
      <c r="A151" s="107" t="inlineStr">
        <is>
          <t>埼玉</t>
        </is>
      </c>
      <c r="B151" s="108" t="inlineStr">
        <is>
          <t>金子 修治</t>
        </is>
      </c>
      <c r="C151" s="78" t="inlineStr">
        <is>
          <t>月給</t>
        </is>
      </c>
      <c r="D151" s="60" t="n">
        <v>243155</v>
      </c>
      <c r="E151" s="109" t="inlineStr">
        <is>
          <t>—</t>
        </is>
      </c>
      <c r="F151" s="32" t="n">
        <v>243155</v>
      </c>
      <c r="G151" s="80" t="inlineStr">
        <is>
          <t>直接</t>
        </is>
      </c>
      <c r="H151" s="110" t="inlineStr"/>
      <c r="I151" s="82" t="n">
        <v>2917860</v>
      </c>
    </row>
    <row r="152" ht="20" customHeight="1">
      <c r="A152" s="107" t="inlineStr">
        <is>
          <t>埼玉</t>
        </is>
      </c>
      <c r="B152" s="108" t="inlineStr">
        <is>
          <t>新海 善光</t>
        </is>
      </c>
      <c r="C152" s="78" t="inlineStr">
        <is>
          <t>月給</t>
        </is>
      </c>
      <c r="D152" s="60" t="n">
        <v>258788</v>
      </c>
      <c r="E152" s="109" t="inlineStr">
        <is>
          <t>—</t>
        </is>
      </c>
      <c r="F152" s="32" t="n">
        <v>258788</v>
      </c>
      <c r="G152" s="80" t="inlineStr">
        <is>
          <t>直接</t>
        </is>
      </c>
      <c r="H152" s="110" t="inlineStr">
        <is>
          <t>千代田区</t>
        </is>
      </c>
      <c r="I152" s="82" t="n">
        <v>3105456</v>
      </c>
    </row>
    <row r="153" ht="20" customHeight="1">
      <c r="A153" s="107" t="inlineStr">
        <is>
          <t>埼玉</t>
        </is>
      </c>
      <c r="B153" s="108" t="inlineStr">
        <is>
          <t>北野 利春</t>
        </is>
      </c>
      <c r="C153" s="78" t="inlineStr">
        <is>
          <t>月給</t>
        </is>
      </c>
      <c r="D153" s="60" t="n">
        <v>279288</v>
      </c>
      <c r="E153" s="109" t="inlineStr">
        <is>
          <t>—</t>
        </is>
      </c>
      <c r="F153" s="32" t="n">
        <v>279288</v>
      </c>
      <c r="G153" s="80" t="inlineStr">
        <is>
          <t>直接</t>
        </is>
      </c>
      <c r="H153" s="110" t="inlineStr">
        <is>
          <t>千代田区</t>
        </is>
      </c>
      <c r="I153" s="82" t="n">
        <v>3351456</v>
      </c>
    </row>
    <row r="154" ht="20" customHeight="1">
      <c r="A154" s="107" t="inlineStr">
        <is>
          <t>埼玉</t>
        </is>
      </c>
      <c r="B154" s="108" t="inlineStr">
        <is>
          <t>近藤 彰二</t>
        </is>
      </c>
      <c r="C154" s="78" t="inlineStr">
        <is>
          <t>月給</t>
        </is>
      </c>
      <c r="D154" s="60" t="n">
        <v>272898</v>
      </c>
      <c r="E154" s="109" t="inlineStr">
        <is>
          <t>—</t>
        </is>
      </c>
      <c r="F154" s="32" t="n">
        <v>272898</v>
      </c>
      <c r="G154" s="80" t="inlineStr">
        <is>
          <t>直接</t>
        </is>
      </c>
      <c r="H154" s="110" t="inlineStr">
        <is>
          <t>千代田区</t>
        </is>
      </c>
      <c r="I154" s="82" t="n">
        <v>3274776</v>
      </c>
    </row>
    <row r="155" ht="20" customHeight="1">
      <c r="A155" s="107" t="inlineStr">
        <is>
          <t>埼玉</t>
        </is>
      </c>
      <c r="B155" s="108" t="inlineStr">
        <is>
          <t>和田 盛樹</t>
        </is>
      </c>
      <c r="C155" s="78" t="inlineStr">
        <is>
          <t>月給</t>
        </is>
      </c>
      <c r="D155" s="60" t="n">
        <v>271898</v>
      </c>
      <c r="E155" s="109" t="inlineStr">
        <is>
          <t>—</t>
        </is>
      </c>
      <c r="F155" s="32" t="n">
        <v>271898</v>
      </c>
      <c r="G155" s="80" t="inlineStr">
        <is>
          <t>直接</t>
        </is>
      </c>
      <c r="H155" s="110" t="inlineStr">
        <is>
          <t>千代田</t>
        </is>
      </c>
      <c r="I155" s="82" t="n">
        <v>3262776</v>
      </c>
    </row>
    <row r="156" ht="20" customHeight="1">
      <c r="A156" s="107" t="inlineStr">
        <is>
          <t>埼玉</t>
        </is>
      </c>
      <c r="B156" s="108" t="inlineStr">
        <is>
          <t>折笠 良一</t>
        </is>
      </c>
      <c r="C156" s="78" t="inlineStr">
        <is>
          <t>月給</t>
        </is>
      </c>
      <c r="D156" s="60" t="n">
        <v>272898</v>
      </c>
      <c r="E156" s="109" t="inlineStr">
        <is>
          <t>—</t>
        </is>
      </c>
      <c r="F156" s="32" t="n">
        <v>272898</v>
      </c>
      <c r="G156" s="80" t="inlineStr">
        <is>
          <t>直接</t>
        </is>
      </c>
      <c r="H156" s="110" t="inlineStr">
        <is>
          <t>千代田区</t>
        </is>
      </c>
      <c r="I156" s="82" t="n">
        <v>3274776</v>
      </c>
    </row>
    <row r="157" ht="20" customHeight="1">
      <c r="A157" s="107" t="inlineStr">
        <is>
          <t>埼玉</t>
        </is>
      </c>
      <c r="B157" s="108" t="inlineStr">
        <is>
          <t>山田 俊和</t>
        </is>
      </c>
      <c r="C157" s="78" t="inlineStr">
        <is>
          <t>月給</t>
        </is>
      </c>
      <c r="D157" s="60" t="n">
        <v>266898</v>
      </c>
      <c r="E157" s="109" t="inlineStr">
        <is>
          <t>—</t>
        </is>
      </c>
      <c r="F157" s="32" t="n">
        <v>266898</v>
      </c>
      <c r="G157" s="80" t="inlineStr">
        <is>
          <t>直接</t>
        </is>
      </c>
      <c r="H157" s="110" t="inlineStr">
        <is>
          <t>文京</t>
        </is>
      </c>
      <c r="I157" s="82" t="n">
        <v>3202776</v>
      </c>
    </row>
    <row r="158" ht="20" customHeight="1">
      <c r="A158" s="107" t="inlineStr">
        <is>
          <t>埼玉</t>
        </is>
      </c>
      <c r="B158" s="108" t="inlineStr">
        <is>
          <t>荻野 泰宏</t>
        </is>
      </c>
      <c r="C158" s="78" t="inlineStr">
        <is>
          <t>月給</t>
        </is>
      </c>
      <c r="D158" s="60" t="n">
        <v>266898</v>
      </c>
      <c r="E158" s="109" t="inlineStr">
        <is>
          <t>—</t>
        </is>
      </c>
      <c r="F158" s="32" t="n">
        <v>266898</v>
      </c>
      <c r="G158" s="80" t="inlineStr">
        <is>
          <t>直接</t>
        </is>
      </c>
      <c r="H158" s="110" t="inlineStr">
        <is>
          <t>文京</t>
        </is>
      </c>
      <c r="I158" s="82" t="n">
        <v>3202776</v>
      </c>
    </row>
    <row r="159" ht="20" customHeight="1">
      <c r="A159" s="107" t="inlineStr">
        <is>
          <t>埼玉</t>
        </is>
      </c>
      <c r="B159" s="108" t="inlineStr">
        <is>
          <t>寺木 達夫</t>
        </is>
      </c>
      <c r="C159" s="78" t="inlineStr">
        <is>
          <t>月給</t>
        </is>
      </c>
      <c r="D159" s="60" t="n">
        <v>266898</v>
      </c>
      <c r="E159" s="109" t="inlineStr">
        <is>
          <t>—</t>
        </is>
      </c>
      <c r="F159" s="32" t="n">
        <v>266898</v>
      </c>
      <c r="G159" s="80" t="inlineStr">
        <is>
          <t>直接</t>
        </is>
      </c>
      <c r="H159" s="110" t="inlineStr">
        <is>
          <t>文京</t>
        </is>
      </c>
      <c r="I159" s="82" t="n">
        <v>3202776</v>
      </c>
    </row>
    <row r="160" ht="20" customHeight="1">
      <c r="A160" s="107" t="inlineStr">
        <is>
          <t>埼玉</t>
        </is>
      </c>
      <c r="B160" s="108" t="inlineStr">
        <is>
          <t>矢口 光春</t>
        </is>
      </c>
      <c r="C160" s="78" t="inlineStr">
        <is>
          <t>月給</t>
        </is>
      </c>
      <c r="D160" s="60" t="n">
        <v>266898</v>
      </c>
      <c r="E160" s="109" t="inlineStr">
        <is>
          <t>—</t>
        </is>
      </c>
      <c r="F160" s="32" t="n">
        <v>266898</v>
      </c>
      <c r="G160" s="80" t="inlineStr">
        <is>
          <t>直接</t>
        </is>
      </c>
      <c r="H160" s="110" t="inlineStr">
        <is>
          <t>文京</t>
        </is>
      </c>
      <c r="I160" s="82" t="n">
        <v>3202776</v>
      </c>
    </row>
    <row r="161" ht="20" customHeight="1">
      <c r="A161" s="107" t="inlineStr">
        <is>
          <t>埼玉</t>
        </is>
      </c>
      <c r="B161" s="108" t="inlineStr">
        <is>
          <t>宇都宮一房</t>
        </is>
      </c>
      <c r="C161" s="84" t="inlineStr">
        <is>
          <t>日当</t>
        </is>
      </c>
      <c r="D161" s="12" t="n">
        <v>10000</v>
      </c>
      <c r="E161" s="85">
        <f>$D$3</f>
        <v/>
      </c>
      <c r="F161" s="32">
        <f>D161*$D$3</f>
        <v/>
      </c>
      <c r="G161" s="80" t="inlineStr">
        <is>
          <t>直接</t>
        </is>
      </c>
      <c r="H161" s="110" t="inlineStr"/>
      <c r="I161" s="82">
        <f>F161*12</f>
        <v/>
      </c>
    </row>
    <row r="162" ht="20" customHeight="1">
      <c r="A162" s="107" t="inlineStr">
        <is>
          <t>埼玉</t>
        </is>
      </c>
      <c r="B162" s="108" t="inlineStr">
        <is>
          <t>大友 正昭</t>
        </is>
      </c>
      <c r="C162" s="84" t="inlineStr">
        <is>
          <t>日当</t>
        </is>
      </c>
      <c r="D162" s="12" t="n">
        <v>10000</v>
      </c>
      <c r="E162" s="85">
        <f>$D$3</f>
        <v/>
      </c>
      <c r="F162" s="32">
        <f>D162*$D$3</f>
        <v/>
      </c>
      <c r="G162" s="80" t="inlineStr">
        <is>
          <t>直接</t>
        </is>
      </c>
      <c r="H162" s="110" t="inlineStr">
        <is>
          <t>ユニマテック</t>
        </is>
      </c>
      <c r="I162" s="82">
        <f>F162*12</f>
        <v/>
      </c>
    </row>
    <row r="163" ht="20" customHeight="1">
      <c r="A163" s="107" t="inlineStr">
        <is>
          <t>埼玉</t>
        </is>
      </c>
      <c r="B163" s="108" t="inlineStr">
        <is>
          <t>高井 孝行</t>
        </is>
      </c>
      <c r="C163" s="84" t="inlineStr">
        <is>
          <t>日当</t>
        </is>
      </c>
      <c r="D163" s="12" t="n">
        <v>9000</v>
      </c>
      <c r="E163" s="85">
        <f>$D$3</f>
        <v/>
      </c>
      <c r="F163" s="32">
        <f>D163*$D$3</f>
        <v/>
      </c>
      <c r="G163" s="80" t="inlineStr">
        <is>
          <t>直接</t>
        </is>
      </c>
      <c r="H163" s="110" t="inlineStr"/>
      <c r="I163" s="82">
        <f>F163*12</f>
        <v/>
      </c>
    </row>
    <row r="164" ht="20" customHeight="1">
      <c r="A164" s="107" t="inlineStr">
        <is>
          <t>埼玉</t>
        </is>
      </c>
      <c r="B164" s="108" t="inlineStr">
        <is>
          <t>水野 敦夫</t>
        </is>
      </c>
      <c r="C164" s="84" t="inlineStr">
        <is>
          <t>日当</t>
        </is>
      </c>
      <c r="D164" s="12" t="n">
        <v>9000</v>
      </c>
      <c r="E164" s="85">
        <f>$D$3</f>
        <v/>
      </c>
      <c r="F164" s="32">
        <f>D164*$D$3</f>
        <v/>
      </c>
      <c r="G164" s="80" t="inlineStr">
        <is>
          <t>直接</t>
        </is>
      </c>
      <c r="H164" s="110" t="inlineStr"/>
      <c r="I164" s="82">
        <f>F164*12</f>
        <v/>
      </c>
    </row>
    <row r="165" ht="20" customHeight="1">
      <c r="A165" s="107" t="inlineStr">
        <is>
          <t>埼玉</t>
        </is>
      </c>
      <c r="B165" s="108" t="inlineStr">
        <is>
          <t>岩波 孝</t>
        </is>
      </c>
      <c r="C165" s="84" t="inlineStr">
        <is>
          <t>日当</t>
        </is>
      </c>
      <c r="D165" s="12" t="n">
        <v>10000</v>
      </c>
      <c r="E165" s="85">
        <f>$D$3</f>
        <v/>
      </c>
      <c r="F165" s="32">
        <f>D165*$D$3</f>
        <v/>
      </c>
      <c r="G165" s="80" t="inlineStr">
        <is>
          <t>直接</t>
        </is>
      </c>
      <c r="H165" s="110" t="inlineStr"/>
      <c r="I165" s="82">
        <f>F165*12</f>
        <v/>
      </c>
    </row>
    <row r="166" ht="20" customHeight="1">
      <c r="A166" s="107" t="inlineStr">
        <is>
          <t>埼玉</t>
        </is>
      </c>
      <c r="B166" s="108" t="inlineStr">
        <is>
          <t>河野 大地</t>
        </is>
      </c>
      <c r="C166" s="84" t="inlineStr">
        <is>
          <t>日当</t>
        </is>
      </c>
      <c r="D166" s="12" t="n">
        <v>10000</v>
      </c>
      <c r="E166" s="85">
        <f>$D$3</f>
        <v/>
      </c>
      <c r="F166" s="32">
        <f>D166*$D$3</f>
        <v/>
      </c>
      <c r="G166" s="80" t="inlineStr">
        <is>
          <t>直接</t>
        </is>
      </c>
      <c r="H166" s="110" t="inlineStr"/>
      <c r="I166" s="82">
        <f>F166*12</f>
        <v/>
      </c>
    </row>
    <row r="167" ht="20" customHeight="1">
      <c r="A167" s="107" t="inlineStr">
        <is>
          <t>埼玉</t>
        </is>
      </c>
      <c r="B167" s="108" t="inlineStr">
        <is>
          <t>本田 智彦</t>
        </is>
      </c>
      <c r="C167" s="84" t="inlineStr">
        <is>
          <t>日当</t>
        </is>
      </c>
      <c r="D167" s="12" t="n">
        <v>7500</v>
      </c>
      <c r="E167" s="85">
        <f>$D$3</f>
        <v/>
      </c>
      <c r="F167" s="32">
        <f>D167*$D$3</f>
        <v/>
      </c>
      <c r="G167" s="80" t="inlineStr">
        <is>
          <t>直接</t>
        </is>
      </c>
      <c r="H167" s="110" t="inlineStr">
        <is>
          <t>点呼</t>
        </is>
      </c>
      <c r="I167" s="82">
        <f>F167*12</f>
        <v/>
      </c>
    </row>
    <row r="168" ht="20" customHeight="1">
      <c r="A168" s="107" t="inlineStr">
        <is>
          <t>埼玉</t>
        </is>
      </c>
      <c r="B168" s="108" t="inlineStr">
        <is>
          <t>磐城 孝司</t>
        </is>
      </c>
      <c r="C168" s="84" t="inlineStr">
        <is>
          <t>日当</t>
        </is>
      </c>
      <c r="D168" s="12" t="n">
        <v>7500</v>
      </c>
      <c r="E168" s="85">
        <f>$D$3</f>
        <v/>
      </c>
      <c r="F168" s="32">
        <f>D168*$D$3</f>
        <v/>
      </c>
      <c r="G168" s="80" t="inlineStr">
        <is>
          <t>直接</t>
        </is>
      </c>
      <c r="H168" s="110" t="inlineStr">
        <is>
          <t>点呼</t>
        </is>
      </c>
      <c r="I168" s="82">
        <f>F168*12</f>
        <v/>
      </c>
    </row>
    <row r="169" ht="20" customHeight="1">
      <c r="A169" s="107" t="inlineStr">
        <is>
          <t>埼玉</t>
        </is>
      </c>
      <c r="B169" s="108" t="inlineStr">
        <is>
          <t>石塚 正海</t>
        </is>
      </c>
      <c r="C169" s="84" t="inlineStr">
        <is>
          <t>日当</t>
        </is>
      </c>
      <c r="D169" s="12" t="n">
        <v>7500</v>
      </c>
      <c r="E169" s="85">
        <f>$D$3</f>
        <v/>
      </c>
      <c r="F169" s="32">
        <f>D169*$D$3</f>
        <v/>
      </c>
      <c r="G169" s="80" t="inlineStr">
        <is>
          <t>直接</t>
        </is>
      </c>
      <c r="H169" s="110" t="inlineStr">
        <is>
          <t>点呼</t>
        </is>
      </c>
      <c r="I169" s="82">
        <f>F169*12</f>
        <v/>
      </c>
    </row>
    <row r="170" ht="20" customHeight="1">
      <c r="A170" s="107" t="inlineStr">
        <is>
          <t>埼玉</t>
        </is>
      </c>
      <c r="B170" s="108" t="inlineStr">
        <is>
          <t>佐藤 芳治</t>
        </is>
      </c>
      <c r="C170" s="84" t="inlineStr">
        <is>
          <t>日当</t>
        </is>
      </c>
      <c r="D170" s="12" t="n">
        <v>7500</v>
      </c>
      <c r="E170" s="85">
        <f>$D$3</f>
        <v/>
      </c>
      <c r="F170" s="32">
        <f>D170*$D$3</f>
        <v/>
      </c>
      <c r="G170" s="80" t="inlineStr">
        <is>
          <t>直接</t>
        </is>
      </c>
      <c r="H170" s="110" t="inlineStr"/>
      <c r="I170" s="82">
        <f>F170*12</f>
        <v/>
      </c>
    </row>
    <row r="171" ht="18" customHeight="1">
      <c r="A171" s="111" t="inlineStr">
        <is>
          <t>埼玉 合計  (40名)</t>
        </is>
      </c>
      <c r="F171" s="112">
        <f>SUMIF(A131:A170,"埼玉",F131:F170)</f>
        <v/>
      </c>
      <c r="G171" s="113" t="n"/>
      <c r="H171" s="113" t="n"/>
      <c r="I171" s="113" t="n"/>
    </row>
    <row r="172" ht="20" customHeight="1">
      <c r="A172" s="114" t="inlineStr">
        <is>
          <t>■ 管理</t>
        </is>
      </c>
    </row>
    <row r="173" ht="20" customHeight="1">
      <c r="A173" s="115" t="inlineStr">
        <is>
          <t>管理</t>
        </is>
      </c>
      <c r="B173" s="116" t="inlineStr">
        <is>
          <t>宇都宮 寛</t>
        </is>
      </c>
      <c r="C173" s="78" t="inlineStr">
        <is>
          <t>月給</t>
        </is>
      </c>
      <c r="D173" s="60" t="n">
        <v>537000</v>
      </c>
      <c r="E173" s="117" t="inlineStr">
        <is>
          <t>—</t>
        </is>
      </c>
      <c r="F173" s="32" t="n">
        <v>537000</v>
      </c>
      <c r="G173" s="83" t="inlineStr">
        <is>
          <t>間接</t>
        </is>
      </c>
      <c r="H173" s="118" t="inlineStr"/>
      <c r="I173" s="82" t="n">
        <v>6444000</v>
      </c>
    </row>
    <row r="174" ht="20" customHeight="1">
      <c r="A174" s="115" t="inlineStr">
        <is>
          <t>管理</t>
        </is>
      </c>
      <c r="B174" s="116" t="inlineStr">
        <is>
          <t>遠藤 一栄</t>
        </is>
      </c>
      <c r="C174" s="78" t="inlineStr">
        <is>
          <t>月給</t>
        </is>
      </c>
      <c r="D174" s="60" t="n">
        <v>337000</v>
      </c>
      <c r="E174" s="117" t="inlineStr">
        <is>
          <t>—</t>
        </is>
      </c>
      <c r="F174" s="32" t="n">
        <v>337000</v>
      </c>
      <c r="G174" s="83" t="inlineStr">
        <is>
          <t>間接</t>
        </is>
      </c>
      <c r="H174" s="118" t="inlineStr"/>
      <c r="I174" s="82" t="n">
        <v>4044000</v>
      </c>
    </row>
    <row r="175" ht="20" customHeight="1">
      <c r="A175" s="115" t="inlineStr">
        <is>
          <t>管理</t>
        </is>
      </c>
      <c r="B175" s="116" t="inlineStr">
        <is>
          <t>足立 孝子</t>
        </is>
      </c>
      <c r="C175" s="78" t="inlineStr">
        <is>
          <t>月給</t>
        </is>
      </c>
      <c r="D175" s="60" t="n">
        <v>257993</v>
      </c>
      <c r="E175" s="117" t="inlineStr">
        <is>
          <t>—</t>
        </is>
      </c>
      <c r="F175" s="32" t="n">
        <v>257993</v>
      </c>
      <c r="G175" s="83" t="inlineStr">
        <is>
          <t>間接</t>
        </is>
      </c>
      <c r="H175" s="118" t="inlineStr"/>
      <c r="I175" s="82" t="n">
        <v>3095916</v>
      </c>
    </row>
    <row r="176" ht="20" customHeight="1">
      <c r="A176" s="115" t="inlineStr">
        <is>
          <t>管理</t>
        </is>
      </c>
      <c r="B176" s="116" t="inlineStr">
        <is>
          <t>滝田 豪</t>
        </is>
      </c>
      <c r="C176" s="78" t="inlineStr">
        <is>
          <t>月給</t>
        </is>
      </c>
      <c r="D176" s="60" t="n">
        <v>307830</v>
      </c>
      <c r="E176" s="117" t="inlineStr">
        <is>
          <t>—</t>
        </is>
      </c>
      <c r="F176" s="32" t="n">
        <v>307830</v>
      </c>
      <c r="G176" s="83" t="inlineStr">
        <is>
          <t>間接</t>
        </is>
      </c>
      <c r="H176" s="118" t="inlineStr"/>
      <c r="I176" s="82" t="n">
        <v>3693960</v>
      </c>
    </row>
    <row r="177" ht="20" customHeight="1">
      <c r="A177" s="115" t="inlineStr">
        <is>
          <t>管理</t>
        </is>
      </c>
      <c r="B177" s="116" t="inlineStr">
        <is>
          <t>加藤 千明</t>
        </is>
      </c>
      <c r="C177" s="78" t="inlineStr">
        <is>
          <t>月給</t>
        </is>
      </c>
      <c r="D177" s="60" t="n">
        <v>269601</v>
      </c>
      <c r="E177" s="117" t="inlineStr">
        <is>
          <t>—</t>
        </is>
      </c>
      <c r="F177" s="32" t="n">
        <v>269601</v>
      </c>
      <c r="G177" s="83" t="inlineStr">
        <is>
          <t>間接</t>
        </is>
      </c>
      <c r="H177" s="118" t="inlineStr"/>
      <c r="I177" s="82" t="n">
        <v>3235212</v>
      </c>
    </row>
    <row r="178" ht="20" customHeight="1">
      <c r="A178" s="115" t="inlineStr">
        <is>
          <t>管理</t>
        </is>
      </c>
      <c r="B178" s="116" t="inlineStr">
        <is>
          <t>山口 博文</t>
        </is>
      </c>
      <c r="C178" s="78" t="inlineStr">
        <is>
          <t>月給</t>
        </is>
      </c>
      <c r="D178" s="60" t="n">
        <v>250500</v>
      </c>
      <c r="E178" s="117" t="inlineStr">
        <is>
          <t>—</t>
        </is>
      </c>
      <c r="F178" s="32" t="n">
        <v>250500</v>
      </c>
      <c r="G178" s="83" t="inlineStr">
        <is>
          <t>間接</t>
        </is>
      </c>
      <c r="H178" s="118" t="inlineStr"/>
      <c r="I178" s="82" t="n">
        <v>3006000</v>
      </c>
    </row>
    <row r="179" ht="20" customHeight="1">
      <c r="A179" s="115" t="inlineStr">
        <is>
          <t>管理</t>
        </is>
      </c>
      <c r="B179" s="116" t="inlineStr">
        <is>
          <t>佐藤 正美</t>
        </is>
      </c>
      <c r="C179" s="78" t="inlineStr">
        <is>
          <t>月給</t>
        </is>
      </c>
      <c r="D179" s="60" t="n">
        <v>264500</v>
      </c>
      <c r="E179" s="117" t="inlineStr">
        <is>
          <t>—</t>
        </is>
      </c>
      <c r="F179" s="32" t="n">
        <v>264500</v>
      </c>
      <c r="G179" s="83" t="inlineStr">
        <is>
          <t>間接</t>
        </is>
      </c>
      <c r="H179" s="118" t="inlineStr"/>
      <c r="I179" s="82" t="n">
        <v>3174000</v>
      </c>
    </row>
    <row r="180" ht="20" customHeight="1">
      <c r="A180" s="115" t="inlineStr">
        <is>
          <t>管理</t>
        </is>
      </c>
      <c r="B180" s="116" t="inlineStr">
        <is>
          <t>戸塚 秀喜</t>
        </is>
      </c>
      <c r="C180" s="78" t="inlineStr">
        <is>
          <t>月給</t>
        </is>
      </c>
      <c r="D180" s="60" t="n">
        <v>260600</v>
      </c>
      <c r="E180" s="117" t="inlineStr">
        <is>
          <t>—</t>
        </is>
      </c>
      <c r="F180" s="32" t="n">
        <v>260600</v>
      </c>
      <c r="G180" s="83" t="inlineStr">
        <is>
          <t>間接</t>
        </is>
      </c>
      <c r="H180" s="118" t="inlineStr"/>
      <c r="I180" s="82" t="n">
        <v>3127200</v>
      </c>
    </row>
    <row r="181" ht="20" customHeight="1">
      <c r="A181" s="115" t="inlineStr">
        <is>
          <t>管理</t>
        </is>
      </c>
      <c r="B181" s="116" t="inlineStr">
        <is>
          <t>落合 秋夫</t>
        </is>
      </c>
      <c r="C181" s="78" t="inlineStr">
        <is>
          <t>月給</t>
        </is>
      </c>
      <c r="D181" s="60" t="n">
        <v>306298</v>
      </c>
      <c r="E181" s="117" t="inlineStr">
        <is>
          <t>—</t>
        </is>
      </c>
      <c r="F181" s="32" t="n">
        <v>306298</v>
      </c>
      <c r="G181" s="83" t="inlineStr">
        <is>
          <t>間接</t>
        </is>
      </c>
      <c r="H181" s="118" t="inlineStr"/>
      <c r="I181" s="82" t="n">
        <v>3675576</v>
      </c>
    </row>
    <row r="182" ht="18" customHeight="1">
      <c r="A182" s="119" t="inlineStr">
        <is>
          <t>管理 合計  (10名)</t>
        </is>
      </c>
      <c r="F182" s="120">
        <f>SUMIF(A172:A181,"管理",F172:F181)</f>
        <v/>
      </c>
      <c r="G182" s="121" t="n"/>
      <c r="H182" s="121" t="n"/>
      <c r="I182" s="121" t="n"/>
    </row>
    <row r="183"/>
    <row r="184" ht="10" customHeight="1"/>
    <row r="185">
      <c r="A185" s="122" t="n"/>
    </row>
    <row r="186" ht="28" customHeight="1">
      <c r="A186" s="123" t="inlineStr">
        <is>
          <t>▶ 月額人件費 総合計（全拠点）</t>
        </is>
      </c>
      <c r="F186" s="124">
        <f>SUMIF(A6:A184,"&lt;&gt;管理",F6:F184)</f>
        <v/>
      </c>
      <c r="G186" s="122" t="n"/>
      <c r="H186" s="122" t="n"/>
      <c r="I186" s="125">
        <f>F186*12</f>
        <v/>
      </c>
    </row>
    <row r="187" ht="18" customHeight="1">
      <c r="A187" s="126" t="inlineStr">
        <is>
          <t>※ 上記は月額固定部分のみ。社会保険料（会社負担・約15%）・賞与・退職積立等は別途加算が必要です。</t>
        </is>
      </c>
    </row>
  </sheetData>
  <mergeCells count="17">
    <mergeCell ref="E3:I3"/>
    <mergeCell ref="A186:E186"/>
    <mergeCell ref="A172:I172"/>
    <mergeCell ref="A2:I2"/>
    <mergeCell ref="A171:E171"/>
    <mergeCell ref="A99:I99"/>
    <mergeCell ref="A98:E98"/>
    <mergeCell ref="A185:I185"/>
    <mergeCell ref="A1:I1"/>
    <mergeCell ref="A182:E182"/>
    <mergeCell ref="A118:E118"/>
    <mergeCell ref="A3:C3"/>
    <mergeCell ref="A6:I6"/>
    <mergeCell ref="A119:I119"/>
    <mergeCell ref="A131:I131"/>
    <mergeCell ref="A187:I187"/>
    <mergeCell ref="A130:E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2026-05-29T07:01:48Z</dcterms:created>
  <dcterms:modified xmlns:dcterms="http://purl.org/dc/terms/" xmlns:xsi="http://www.w3.org/2001/XMLSchema-instance" xsi:type="dcterms:W3CDTF">2026-05-29T07:01:49Z</dcterms:modified>
</cp:coreProperties>
</file>