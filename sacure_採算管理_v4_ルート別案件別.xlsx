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案件別採算" sheetId="1" state="visible" r:id="rId1"/>
    <sheet xmlns:r="http://schemas.openxmlformats.org/officeDocument/2006/relationships" name="ルート別採算" sheetId="2" state="visible" r:id="rId2"/>
    <sheet xmlns:r="http://schemas.openxmlformats.org/officeDocument/2006/relationships" name="▼売上原票" sheetId="3" state="visible" r:id="rId3"/>
    <sheet xmlns:r="http://schemas.openxmlformats.org/officeDocument/2006/relationships" name="▼マッピング設定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.0%;-0.0%;0.0%"/>
  </numFmts>
  <fonts count="16">
    <font>
      <name val="Calibri"/>
      <family val="2"/>
      <color theme="1"/>
      <sz val="11"/>
      <scheme val="minor"/>
    </font>
    <font>
      <name val="Yu Gothic UI"/>
      <b val="1"/>
      <color rgb="00FFFFFF"/>
      <sz val="14"/>
    </font>
    <font>
      <name val="Yu Gothic UI"/>
      <color rgb="0055657A"/>
      <sz val="9"/>
    </font>
    <font>
      <name val="Yu Gothic UI"/>
      <b val="1"/>
      <color rgb="00FFFFFF"/>
      <sz val="9"/>
    </font>
    <font>
      <name val="Yu Gothic UI"/>
      <b val="1"/>
      <color rgb="000D2B5E"/>
      <sz val="11"/>
    </font>
    <font>
      <name val="Yu Gothic UI"/>
      <color rgb="000D2B5E"/>
      <sz val="11"/>
    </font>
    <font>
      <name val="Yu Gothic UI"/>
      <b val="1"/>
      <color rgb="00FFFFFF"/>
      <sz val="11"/>
    </font>
    <font>
      <name val="Yu Gothic UI"/>
      <color rgb="000D2B5E"/>
      <sz val="10"/>
    </font>
    <font>
      <name val="Yu Gothic UI"/>
      <b val="1"/>
      <color rgb="000D2B5E"/>
      <sz val="12"/>
    </font>
    <font>
      <name val="Yu Gothic UI"/>
      <b val="1"/>
      <color rgb="000D2B5E"/>
      <sz val="10"/>
    </font>
    <font>
      <name val="Yu Gothic UI"/>
      <b val="1"/>
      <color rgb="00FFFFFF"/>
      <sz val="10"/>
    </font>
    <font>
      <name val="Yu Gothic UI"/>
      <color rgb="0055657A"/>
      <sz val="10"/>
    </font>
    <font>
      <name val="Yu Gothic UI"/>
      <b val="1"/>
      <color rgb="00FFFFFF"/>
      <sz val="13"/>
    </font>
    <font>
      <name val="Yu Gothic UI"/>
      <color rgb="00856404"/>
      <sz val="9"/>
    </font>
    <font>
      <name val="Yu Gothic UI"/>
      <b val="1"/>
      <color rgb="000D2B5E"/>
      <sz val="13"/>
    </font>
    <font>
      <name val="Yu Gothic UI"/>
      <b val="1"/>
      <sz val="13"/>
    </font>
  </fonts>
  <fills count="24">
    <fill>
      <patternFill/>
    </fill>
    <fill>
      <patternFill patternType="gray125"/>
    </fill>
    <fill>
      <patternFill patternType="solid">
        <fgColor rgb="000D2B5E"/>
      </patternFill>
    </fill>
    <fill>
      <patternFill patternType="solid">
        <fgColor rgb="00F2F6FC"/>
      </patternFill>
    </fill>
    <fill>
      <patternFill patternType="solid">
        <fgColor rgb="00155A00"/>
      </patternFill>
    </fill>
    <fill>
      <patternFill patternType="solid">
        <fgColor rgb="007B3F00"/>
      </patternFill>
    </fill>
    <fill>
      <patternFill patternType="solid">
        <fgColor rgb="001A6B2E"/>
      </patternFill>
    </fill>
    <fill>
      <patternFill patternType="solid">
        <fgColor rgb="00D0E8FF"/>
      </patternFill>
    </fill>
    <fill>
      <patternFill patternType="solid">
        <fgColor rgb="001565A8"/>
      </patternFill>
    </fill>
    <fill>
      <patternFill patternType="solid">
        <fgColor rgb="00E8F5E9"/>
      </patternFill>
    </fill>
    <fill>
      <patternFill patternType="solid">
        <fgColor rgb="00C8F7D4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EDE7F6"/>
      </patternFill>
    </fill>
    <fill>
      <patternFill patternType="solid">
        <fgColor rgb="005B2D8E"/>
      </patternFill>
    </fill>
    <fill>
      <patternFill patternType="solid">
        <fgColor rgb="00FFFFFF"/>
      </patternFill>
    </fill>
    <fill>
      <patternFill patternType="solid">
        <fgColor rgb="0055657A"/>
      </patternFill>
    </fill>
    <fill>
      <patternFill patternType="solid">
        <fgColor rgb="00CCDDEE"/>
      </patternFill>
    </fill>
    <fill>
      <patternFill patternType="solid">
        <fgColor rgb="00FFF9C4"/>
      </patternFill>
    </fill>
    <fill>
      <patternFill patternType="solid">
        <fgColor rgb="00335577"/>
      </patternFill>
    </fill>
    <fill>
      <patternFill patternType="solid">
        <fgColor rgb="001A5FC8"/>
      </patternFill>
    </fill>
    <fill>
      <patternFill patternType="solid">
        <fgColor rgb="00FFFDE7"/>
      </patternFill>
    </fill>
    <fill>
      <patternFill patternType="solid">
        <fgColor rgb="00F3E5F5"/>
      </patternFill>
    </fill>
    <fill>
      <patternFill patternType="solid">
        <fgColor rgb="00E0F2F1"/>
      </patternFill>
    </fill>
  </fills>
  <borders count="2">
    <border>
      <left/>
      <right/>
      <top/>
      <bottom/>
      <diagonal/>
    </border>
    <border>
      <left style="thin">
        <color rgb="00C5D5E8"/>
      </left>
      <right style="thin">
        <color rgb="00C5D5E8"/>
      </right>
      <top style="thin">
        <color rgb="00C5D5E8"/>
      </top>
      <bottom style="thin">
        <color rgb="00C5D5E8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3" fontId="7" fillId="9" borderId="1" applyAlignment="1" pivotButton="0" quotePrefix="0" xfId="0">
      <alignment horizontal="right" vertical="center"/>
    </xf>
    <xf numFmtId="3" fontId="8" fillId="10" borderId="1" applyAlignment="1" pivotButton="0" quotePrefix="0" xfId="0">
      <alignment horizontal="right" vertical="center"/>
    </xf>
    <xf numFmtId="3" fontId="7" fillId="11" borderId="1" applyAlignment="1" pivotButton="0" quotePrefix="0" xfId="0">
      <alignment horizontal="right" vertical="center"/>
    </xf>
    <xf numFmtId="3" fontId="4" fillId="11" borderId="1" applyAlignment="1" pivotButton="0" quotePrefix="0" xfId="0">
      <alignment horizontal="right" vertical="center"/>
    </xf>
    <xf numFmtId="3" fontId="8" fillId="12" borderId="1" applyAlignment="1" pivotButton="0" quotePrefix="0" xfId="0">
      <alignment horizontal="right" vertical="center"/>
    </xf>
    <xf numFmtId="164" fontId="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165" fontId="7" fillId="7" borderId="1" applyAlignment="1" pivotButton="0" quotePrefix="0" xfId="0">
      <alignment horizontal="center" vertical="center"/>
    </xf>
    <xf numFmtId="0" fontId="0" fillId="2" borderId="0" pivotButton="0" quotePrefix="0" xfId="0"/>
    <xf numFmtId="0" fontId="4" fillId="13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165" fontId="7" fillId="13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right" vertical="center"/>
    </xf>
    <xf numFmtId="3" fontId="9" fillId="12" borderId="1" applyAlignment="1" pivotButton="0" quotePrefix="0" xfId="0">
      <alignment horizontal="right" vertical="center"/>
    </xf>
    <xf numFmtId="3" fontId="4" fillId="12" borderId="1" applyAlignment="1" pivotButton="0" quotePrefix="0" xfId="0">
      <alignment horizontal="right" vertical="center"/>
    </xf>
    <xf numFmtId="164" fontId="4" fillId="12" borderId="1" applyAlignment="1" pivotButton="0" quotePrefix="0" xfId="0">
      <alignment horizontal="right" vertical="center"/>
    </xf>
    <xf numFmtId="49" fontId="7" fillId="12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/>
    </xf>
    <xf numFmtId="3" fontId="4" fillId="15" borderId="1" applyAlignment="1" pivotButton="0" quotePrefix="0" xfId="0">
      <alignment horizontal="right" vertical="center"/>
    </xf>
    <xf numFmtId="0" fontId="3" fillId="16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3" fontId="4" fillId="9" borderId="1" applyAlignment="1" pivotButton="0" quotePrefix="0" xfId="0">
      <alignment horizontal="right" vertical="center"/>
    </xf>
    <xf numFmtId="0" fontId="9" fillId="12" borderId="1" applyAlignment="1" pivotButton="0" quotePrefix="0" xfId="0">
      <alignment horizontal="center" vertical="center"/>
    </xf>
    <xf numFmtId="3" fontId="11" fillId="7" borderId="1" applyAlignment="1" pivotButton="0" quotePrefix="0" xfId="0">
      <alignment horizontal="right" vertical="center"/>
    </xf>
    <xf numFmtId="0" fontId="0" fillId="17" borderId="0" pivotButton="0" quotePrefix="0" xfId="0"/>
    <xf numFmtId="3" fontId="11" fillId="13" borderId="1" applyAlignment="1" pivotButton="0" quotePrefix="0" xfId="0">
      <alignment horizontal="right" vertical="center"/>
    </xf>
    <xf numFmtId="3" fontId="11" fillId="12" borderId="1" applyAlignment="1" pivotButton="0" quotePrefix="0" xfId="0">
      <alignment horizontal="right" vertical="center"/>
    </xf>
    <xf numFmtId="0" fontId="4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left" vertical="center"/>
    </xf>
    <xf numFmtId="0" fontId="7" fillId="18" borderId="1" applyAlignment="1" pivotButton="0" quotePrefix="0" xfId="0">
      <alignment horizontal="center" vertical="center"/>
    </xf>
    <xf numFmtId="3" fontId="11" fillId="18" borderId="1" applyAlignment="1" pivotButton="0" quotePrefix="0" xfId="0">
      <alignment horizontal="right" vertical="center"/>
    </xf>
    <xf numFmtId="165" fontId="7" fillId="18" borderId="1" applyAlignment="1" pivotButton="0" quotePrefix="0" xfId="0">
      <alignment horizontal="center" vertical="center"/>
    </xf>
    <xf numFmtId="0" fontId="12" fillId="19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right" vertical="center"/>
    </xf>
    <xf numFmtId="3" fontId="9" fillId="3" borderId="1" applyAlignment="1" pivotButton="0" quotePrefix="0" xfId="0">
      <alignment horizontal="right" vertical="center"/>
    </xf>
    <xf numFmtId="0" fontId="9" fillId="15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3" fontId="7" fillId="15" borderId="1" applyAlignment="1" pivotButton="0" quotePrefix="0" xfId="0">
      <alignment horizontal="right" vertical="center"/>
    </xf>
    <xf numFmtId="3" fontId="9" fillId="15" borderId="1" applyAlignment="1" pivotButton="0" quotePrefix="0" xfId="0">
      <alignment horizontal="right" vertical="center"/>
    </xf>
    <xf numFmtId="0" fontId="13" fillId="21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" fontId="14" fillId="9" borderId="1" applyAlignment="1" pivotButton="0" quotePrefix="0" xfId="0">
      <alignment horizontal="center" vertical="center"/>
    </xf>
    <xf numFmtId="1" fontId="14" fillId="22" borderId="1" applyAlignment="1" pivotButton="0" quotePrefix="0" xfId="0">
      <alignment horizontal="center" vertical="center"/>
    </xf>
    <xf numFmtId="1" fontId="14" fillId="23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b val="1"/>
        <color rgb="00145A32"/>
      </font>
      <fill>
        <patternFill patternType="solid">
          <fgColor rgb="00C8F7D4"/>
        </patternFill>
      </fill>
    </dxf>
    <dxf>
      <font>
        <b val="1"/>
        <color rgb="001A6B2E"/>
      </font>
      <fill>
        <patternFill patternType="solid">
          <fgColor rgb="00D4EDDA"/>
        </patternFill>
      </fill>
    </dxf>
    <dxf>
      <font>
        <b val="1"/>
        <color rgb="00856404"/>
      </font>
      <fill>
        <patternFill patternType="solid">
          <fgColor rgb="00FFF3CD"/>
        </patternFill>
      </fill>
    </dxf>
    <dxf>
      <font>
        <b val="1"/>
        <color rgb="008B0000"/>
      </font>
      <fill>
        <patternFill patternType="solid">
          <fgColor rgb="00FF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2B5E"/>
    <outlinePr summaryBelow="1" summaryRight="1"/>
    <pageSetUpPr/>
  </sheetPr>
  <dimension ref="A1:T6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11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1" customWidth="1" min="12" max="12"/>
    <col width="11" customWidth="1" min="13" max="13"/>
    <col width="16" customWidth="1" min="14" max="14"/>
    <col width="14" customWidth="1" min="15" max="15"/>
    <col width="10" customWidth="1" min="16" max="16"/>
    <col width="12" customWidth="1" min="17" max="17"/>
    <col width="12" customWidth="1" min="18" max="18"/>
    <col width="16" customWidth="1" min="19" max="19"/>
    <col width="16" customWidth="1" min="20" max="20"/>
  </cols>
  <sheetData>
    <row r="1" ht="34" customHeight="1">
      <c r="A1" s="1" t="inlineStr">
        <is>
          <t>案件別 採算管理　（★黄色セル＝入力　緑セル＝自動計算）</t>
        </is>
      </c>
    </row>
    <row r="2" ht="16" customHeight="1">
      <c r="A2" s="2" t="inlineStr">
        <is>
          <t>【売上】⑤売上原票シートをVLOOKUPで参照（D列=集計月 YYYY-MM を入力すると自動セット）　【原価】黄色セルに毎月入力してください</t>
        </is>
      </c>
    </row>
    <row r="3" ht="16" customHeight="1">
      <c r="A3" s="3" t="inlineStr">
        <is>
          <t>案件ID</t>
        </is>
      </c>
      <c r="B3" s="3" t="inlineStr">
        <is>
          <t>案件名</t>
        </is>
      </c>
      <c r="C3" s="3" t="inlineStr">
        <is>
          <t>集計月
(YYYY-MM)</t>
        </is>
      </c>
      <c r="D3" s="4" t="inlineStr">
        <is>
          <t>売上（VLOOKUPで自動参照）</t>
        </is>
      </c>
      <c r="G3" s="4" t="inlineStr">
        <is>
          <t>その他
売上合計</t>
        </is>
      </c>
      <c r="H3" s="4" t="inlineStr">
        <is>
          <t>売上
合計</t>
        </is>
      </c>
      <c r="I3" s="5" t="inlineStr">
        <is>
          <t>原価　（黄色セルに入力）</t>
        </is>
      </c>
      <c r="P3" s="5" t="inlineStr">
        <is>
          <t>原価
合計</t>
        </is>
      </c>
      <c r="Q3" s="6" t="inlineStr">
        <is>
          <t>粗利益</t>
        </is>
      </c>
      <c r="R3" s="6" t="inlineStr">
        <is>
          <t>粗利率</t>
        </is>
      </c>
      <c r="S3" s="6" t="inlineStr">
        <is>
          <t>採算
判定</t>
        </is>
      </c>
      <c r="T3" s="6" t="inlineStr">
        <is>
          <t>前月比
売上</t>
        </is>
      </c>
    </row>
    <row r="4" ht="38" customHeight="1">
      <c r="D4" s="4" t="inlineStr">
        <is>
          <t>運送
612-1</t>
        </is>
      </c>
      <c r="E4" s="4" t="inlineStr">
        <is>
          <t>入札
612-2</t>
        </is>
      </c>
      <c r="F4" s="4" t="inlineStr">
        <is>
          <t>板橋
615-1</t>
        </is>
      </c>
      <c r="I4" s="5" t="inlineStr">
        <is>
          <t>人件費</t>
        </is>
      </c>
      <c r="J4" s="5" t="inlineStr">
        <is>
          <t>燃料費</t>
        </is>
      </c>
      <c r="K4" s="5" t="inlineStr">
        <is>
          <t>車両
維持費</t>
        </is>
      </c>
      <c r="L4" s="5" t="inlineStr">
        <is>
          <t>中間
処理費</t>
        </is>
      </c>
      <c r="M4" s="5" t="inlineStr">
        <is>
          <t>搬入
運搬費</t>
        </is>
      </c>
      <c r="N4" s="5" t="inlineStr">
        <is>
          <t>電子M
代行費</t>
        </is>
      </c>
      <c r="O4" s="5" t="inlineStr">
        <is>
          <t>管理費</t>
        </is>
      </c>
    </row>
    <row r="5" ht="22" customHeight="1">
      <c r="A5" s="7" t="inlineStr">
        <is>
          <t>C001</t>
        </is>
      </c>
      <c r="B5" s="8" t="inlineStr">
        <is>
          <t>東急グループ案件</t>
        </is>
      </c>
      <c r="C5" s="9" t="inlineStr">
        <is>
          <t>2024-07</t>
        </is>
      </c>
      <c r="D5" s="10">
        <f>IFERROR(VLOOKUP(C5,▼売上原票!$A:$P,3,0)*VLOOKUP("612-1",▼マッピング!$A:$G,4,0)/100,0)</f>
        <v/>
      </c>
      <c r="E5" s="10">
        <f>IFERROR(VLOOKUP(C5,▼売上原票!$A:$P,4,0)*VLOOKUP("612-2",▼マッピング!$A:$G,4,0)/100,0)</f>
        <v/>
      </c>
      <c r="F5" s="10">
        <f>IFERROR(VLOOKUP(C5,▼売上原票!$A:$P,10,0)*VLOOKUP("615-1",▼マッピング!$A:$G,4,0)/100,0)</f>
        <v/>
      </c>
      <c r="G5" s="10">
        <f>IFERROR(VLOOKUP(C5,▼売上原票!$A:$P,5,0)*VLOOKUP("613-1",▼マッピング!$A:$G,4,0)/100,0)+IFERROR(VLOOKUP(C5,▼売上原票!$A:$P,6,0)*VLOOKUP("613-2",▼マッピング!$A:$G,4,0)/100,0)+IFERROR(VLOOKUP(C5,▼売上原票!$A:$P,7,0)*VLOOKUP("614-1",▼マッピング!$A:$G,4,0)/100,0)+IFERROR(VLOOKUP(C5,▼売上原票!$A:$P,8,0)*VLOOKUP("614-2",▼マッピング!$A:$G,4,0)/100,0)+IFERROR(VLOOKUP(C5,▼売上原票!$A:$P,9,0)*VLOOKUP("614-3",▼マッピング!$A:$G,4,0)/100,0)+IFERROR(VLOOKUP(C5,▼売上原票!$A:$P,11,0)*VLOOKUP("615-2",▼マッピング!$A:$G,4,0)/100,0)+IFERROR(VLOOKUP(C5,▼売上原票!$A:$P,12,0)*VLOOKUP("615-3",▼マッピング!$A:$G,4,0)/100,0)+IFERROR(VLOOKUP(C5,▼売上原票!$A:$P,13,0)*VLOOKUP("615-4",▼マッピング!$A:$G,4,0)/100,0)</f>
        <v/>
      </c>
      <c r="H5" s="11">
        <f>D5+E5+F5+G5</f>
        <v/>
      </c>
      <c r="I5" s="12" t="n">
        <v>680000</v>
      </c>
      <c r="J5" s="12" t="n">
        <v>185000</v>
      </c>
      <c r="K5" s="12" t="n">
        <v>95000</v>
      </c>
      <c r="L5" s="12" t="n">
        <v>620000</v>
      </c>
      <c r="M5" s="12" t="n">
        <v>85000</v>
      </c>
      <c r="N5" s="12" t="n">
        <v>45000</v>
      </c>
      <c r="O5" s="12" t="n">
        <v>120000</v>
      </c>
      <c r="P5" s="13">
        <f>I5+J5+K5+L5+M5+N5+O5</f>
        <v/>
      </c>
      <c r="Q5" s="14">
        <f>H5-P5</f>
        <v/>
      </c>
      <c r="R5" s="15">
        <f>IF(H5&lt;&gt;0,Q5/H5,0)</f>
        <v/>
      </c>
      <c r="S5" s="16">
        <f>IF(R5&gt;=0.25,"◎ 優良",IF(R5&gt;=0.15,"○ 良好",IF(R5&gt;=0.05,"△ 要注意","× 赤字")))</f>
        <v/>
      </c>
      <c r="T5" s="17" t="inlineStr">
        <is>
          <t>—</t>
        </is>
      </c>
    </row>
    <row r="6" ht="22" customHeight="1">
      <c r="A6" s="7" t="inlineStr">
        <is>
          <t>C001</t>
        </is>
      </c>
      <c r="B6" s="8" t="inlineStr">
        <is>
          <t>東急グループ案件</t>
        </is>
      </c>
      <c r="C6" s="9" t="inlineStr">
        <is>
          <t>2024-08</t>
        </is>
      </c>
      <c r="D6" s="10">
        <f>IFERROR(VLOOKUP(C6,▼売上原票!$A:$P,3,0)*VLOOKUP("612-1",▼マッピング!$A:$G,4,0)/100,0)</f>
        <v/>
      </c>
      <c r="E6" s="10">
        <f>IFERROR(VLOOKUP(C6,▼売上原票!$A:$P,4,0)*VLOOKUP("612-2",▼マッピング!$A:$G,4,0)/100,0)</f>
        <v/>
      </c>
      <c r="F6" s="10">
        <f>IFERROR(VLOOKUP(C6,▼売上原票!$A:$P,10,0)*VLOOKUP("615-1",▼マッピング!$A:$G,4,0)/100,0)</f>
        <v/>
      </c>
      <c r="G6" s="10">
        <f>IFERROR(VLOOKUP(C6,▼売上原票!$A:$P,5,0)*VLOOKUP("613-1",▼マッピング!$A:$G,4,0)/100,0)+IFERROR(VLOOKUP(C6,▼売上原票!$A:$P,6,0)*VLOOKUP("613-2",▼マッピング!$A:$G,4,0)/100,0)+IFERROR(VLOOKUP(C6,▼売上原票!$A:$P,7,0)*VLOOKUP("614-1",▼マッピング!$A:$G,4,0)/100,0)+IFERROR(VLOOKUP(C6,▼売上原票!$A:$P,8,0)*VLOOKUP("614-2",▼マッピング!$A:$G,4,0)/100,0)+IFERROR(VLOOKUP(C6,▼売上原票!$A:$P,9,0)*VLOOKUP("614-3",▼マッピング!$A:$G,4,0)/100,0)+IFERROR(VLOOKUP(C6,▼売上原票!$A:$P,11,0)*VLOOKUP("615-2",▼マッピング!$A:$G,4,0)/100,0)+IFERROR(VLOOKUP(C6,▼売上原票!$A:$P,12,0)*VLOOKUP("615-3",▼マッピング!$A:$G,4,0)/100,0)+IFERROR(VLOOKUP(C6,▼売上原票!$A:$P,13,0)*VLOOKUP("615-4",▼マッピング!$A:$G,4,0)/100,0)</f>
        <v/>
      </c>
      <c r="H6" s="11">
        <f>D6+E6+F6+G6</f>
        <v/>
      </c>
      <c r="I6" s="12" t="n">
        <v>680000</v>
      </c>
      <c r="J6" s="12" t="n">
        <v>185000</v>
      </c>
      <c r="K6" s="12" t="n">
        <v>95000</v>
      </c>
      <c r="L6" s="12" t="n">
        <v>620000</v>
      </c>
      <c r="M6" s="12" t="n">
        <v>85000</v>
      </c>
      <c r="N6" s="12" t="n">
        <v>45000</v>
      </c>
      <c r="O6" s="12" t="n">
        <v>120000</v>
      </c>
      <c r="P6" s="13">
        <f>I6+J6+K6+L6+M6+N6+O6</f>
        <v/>
      </c>
      <c r="Q6" s="14">
        <f>H6-P6</f>
        <v/>
      </c>
      <c r="R6" s="15">
        <f>IF(H6&lt;&gt;0,Q6/H6,0)</f>
        <v/>
      </c>
      <c r="S6" s="16">
        <f>IF(R6&gt;=0.25,"◎ 優良",IF(R6&gt;=0.15,"○ 良好",IF(R6&gt;=0.05,"△ 要注意","× 赤字")))</f>
        <v/>
      </c>
      <c r="T6" s="18">
        <f>IF(H5&lt;&gt;0,H6/H5-1,"")</f>
        <v/>
      </c>
    </row>
    <row r="7" ht="22" customHeight="1">
      <c r="A7" s="7" t="inlineStr">
        <is>
          <t>C001</t>
        </is>
      </c>
      <c r="B7" s="8" t="inlineStr">
        <is>
          <t>東急グループ案件</t>
        </is>
      </c>
      <c r="C7" s="9" t="inlineStr">
        <is>
          <t>2024-09</t>
        </is>
      </c>
      <c r="D7" s="10">
        <f>IFERROR(VLOOKUP(C7,▼売上原票!$A:$P,3,0)*VLOOKUP("612-1",▼マッピング!$A:$G,4,0)/100,0)</f>
        <v/>
      </c>
      <c r="E7" s="10">
        <f>IFERROR(VLOOKUP(C7,▼売上原票!$A:$P,4,0)*VLOOKUP("612-2",▼マッピング!$A:$G,4,0)/100,0)</f>
        <v/>
      </c>
      <c r="F7" s="10">
        <f>IFERROR(VLOOKUP(C7,▼売上原票!$A:$P,10,0)*VLOOKUP("615-1",▼マッピング!$A:$G,4,0)/100,0)</f>
        <v/>
      </c>
      <c r="G7" s="10">
        <f>IFERROR(VLOOKUP(C7,▼売上原票!$A:$P,5,0)*VLOOKUP("613-1",▼マッピング!$A:$G,4,0)/100,0)+IFERROR(VLOOKUP(C7,▼売上原票!$A:$P,6,0)*VLOOKUP("613-2",▼マッピング!$A:$G,4,0)/100,0)+IFERROR(VLOOKUP(C7,▼売上原票!$A:$P,7,0)*VLOOKUP("614-1",▼マッピング!$A:$G,4,0)/100,0)+IFERROR(VLOOKUP(C7,▼売上原票!$A:$P,8,0)*VLOOKUP("614-2",▼マッピング!$A:$G,4,0)/100,0)+IFERROR(VLOOKUP(C7,▼売上原票!$A:$P,9,0)*VLOOKUP("614-3",▼マッピング!$A:$G,4,0)/100,0)+IFERROR(VLOOKUP(C7,▼売上原票!$A:$P,11,0)*VLOOKUP("615-2",▼マッピング!$A:$G,4,0)/100,0)+IFERROR(VLOOKUP(C7,▼売上原票!$A:$P,12,0)*VLOOKUP("615-3",▼マッピング!$A:$G,4,0)/100,0)+IFERROR(VLOOKUP(C7,▼売上原票!$A:$P,13,0)*VLOOKUP("615-4",▼マッピング!$A:$G,4,0)/100,0)</f>
        <v/>
      </c>
      <c r="H7" s="11">
        <f>D7+E7+F7+G7</f>
        <v/>
      </c>
      <c r="I7" s="12" t="n">
        <v>680000</v>
      </c>
      <c r="J7" s="12" t="n">
        <v>185000</v>
      </c>
      <c r="K7" s="12" t="n">
        <v>95000</v>
      </c>
      <c r="L7" s="12" t="n">
        <v>620000</v>
      </c>
      <c r="M7" s="12" t="n">
        <v>85000</v>
      </c>
      <c r="N7" s="12" t="n">
        <v>45000</v>
      </c>
      <c r="O7" s="12" t="n">
        <v>120000</v>
      </c>
      <c r="P7" s="13">
        <f>I7+J7+K7+L7+M7+N7+O7</f>
        <v/>
      </c>
      <c r="Q7" s="14">
        <f>H7-P7</f>
        <v/>
      </c>
      <c r="R7" s="15">
        <f>IF(H7&lt;&gt;0,Q7/H7,0)</f>
        <v/>
      </c>
      <c r="S7" s="16">
        <f>IF(R7&gt;=0.25,"◎ 優良",IF(R7&gt;=0.15,"○ 良好",IF(R7&gt;=0.05,"△ 要注意","× 赤字")))</f>
        <v/>
      </c>
      <c r="T7" s="18">
        <f>IF(H6&lt;&gt;0,H7/H6-1,"")</f>
        <v/>
      </c>
    </row>
    <row r="8" ht="22" customHeight="1">
      <c r="A8" s="7" t="inlineStr">
        <is>
          <t>C001</t>
        </is>
      </c>
      <c r="B8" s="8" t="inlineStr">
        <is>
          <t>東急グループ案件</t>
        </is>
      </c>
      <c r="C8" s="9" t="inlineStr">
        <is>
          <t>2024-10</t>
        </is>
      </c>
      <c r="D8" s="10">
        <f>IFERROR(VLOOKUP(C8,▼売上原票!$A:$P,3,0)*VLOOKUP("612-1",▼マッピング!$A:$G,4,0)/100,0)</f>
        <v/>
      </c>
      <c r="E8" s="10">
        <f>IFERROR(VLOOKUP(C8,▼売上原票!$A:$P,4,0)*VLOOKUP("612-2",▼マッピング!$A:$G,4,0)/100,0)</f>
        <v/>
      </c>
      <c r="F8" s="10">
        <f>IFERROR(VLOOKUP(C8,▼売上原票!$A:$P,10,0)*VLOOKUP("615-1",▼マッピング!$A:$G,4,0)/100,0)</f>
        <v/>
      </c>
      <c r="G8" s="10">
        <f>IFERROR(VLOOKUP(C8,▼売上原票!$A:$P,5,0)*VLOOKUP("613-1",▼マッピング!$A:$G,4,0)/100,0)+IFERROR(VLOOKUP(C8,▼売上原票!$A:$P,6,0)*VLOOKUP("613-2",▼マッピング!$A:$G,4,0)/100,0)+IFERROR(VLOOKUP(C8,▼売上原票!$A:$P,7,0)*VLOOKUP("614-1",▼マッピング!$A:$G,4,0)/100,0)+IFERROR(VLOOKUP(C8,▼売上原票!$A:$P,8,0)*VLOOKUP("614-2",▼マッピング!$A:$G,4,0)/100,0)+IFERROR(VLOOKUP(C8,▼売上原票!$A:$P,9,0)*VLOOKUP("614-3",▼マッピング!$A:$G,4,0)/100,0)+IFERROR(VLOOKUP(C8,▼売上原票!$A:$P,11,0)*VLOOKUP("615-2",▼マッピング!$A:$G,4,0)/100,0)+IFERROR(VLOOKUP(C8,▼売上原票!$A:$P,12,0)*VLOOKUP("615-3",▼マッピング!$A:$G,4,0)/100,0)+IFERROR(VLOOKUP(C8,▼売上原票!$A:$P,13,0)*VLOOKUP("615-4",▼マッピング!$A:$G,4,0)/100,0)</f>
        <v/>
      </c>
      <c r="H8" s="11">
        <f>D8+E8+F8+G8</f>
        <v/>
      </c>
      <c r="I8" s="12" t="n">
        <v>680000</v>
      </c>
      <c r="J8" s="12" t="n">
        <v>185000</v>
      </c>
      <c r="K8" s="12" t="n">
        <v>95000</v>
      </c>
      <c r="L8" s="12" t="n">
        <v>620000</v>
      </c>
      <c r="M8" s="12" t="n">
        <v>85000</v>
      </c>
      <c r="N8" s="12" t="n">
        <v>45000</v>
      </c>
      <c r="O8" s="12" t="n">
        <v>120000</v>
      </c>
      <c r="P8" s="13">
        <f>I8+J8+K8+L8+M8+N8+O8</f>
        <v/>
      </c>
      <c r="Q8" s="14">
        <f>H8-P8</f>
        <v/>
      </c>
      <c r="R8" s="15">
        <f>IF(H8&lt;&gt;0,Q8/H8,0)</f>
        <v/>
      </c>
      <c r="S8" s="16">
        <f>IF(R8&gt;=0.25,"◎ 優良",IF(R8&gt;=0.15,"○ 良好",IF(R8&gt;=0.05,"△ 要注意","× 赤字")))</f>
        <v/>
      </c>
      <c r="T8" s="18">
        <f>IF(H7&lt;&gt;0,H8/H7-1,"")</f>
        <v/>
      </c>
    </row>
    <row r="9" ht="22" customHeight="1">
      <c r="A9" s="7" t="inlineStr">
        <is>
          <t>C001</t>
        </is>
      </c>
      <c r="B9" s="8" t="inlineStr">
        <is>
          <t>東急グループ案件</t>
        </is>
      </c>
      <c r="C9" s="9" t="inlineStr">
        <is>
          <t>2024-11</t>
        </is>
      </c>
      <c r="D9" s="10">
        <f>IFERROR(VLOOKUP(C9,▼売上原票!$A:$P,3,0)*VLOOKUP("612-1",▼マッピング!$A:$G,4,0)/100,0)</f>
        <v/>
      </c>
      <c r="E9" s="10">
        <f>IFERROR(VLOOKUP(C9,▼売上原票!$A:$P,4,0)*VLOOKUP("612-2",▼マッピング!$A:$G,4,0)/100,0)</f>
        <v/>
      </c>
      <c r="F9" s="10">
        <f>IFERROR(VLOOKUP(C9,▼売上原票!$A:$P,10,0)*VLOOKUP("615-1",▼マッピング!$A:$G,4,0)/100,0)</f>
        <v/>
      </c>
      <c r="G9" s="10">
        <f>IFERROR(VLOOKUP(C9,▼売上原票!$A:$P,5,0)*VLOOKUP("613-1",▼マッピング!$A:$G,4,0)/100,0)+IFERROR(VLOOKUP(C9,▼売上原票!$A:$P,6,0)*VLOOKUP("613-2",▼マッピング!$A:$G,4,0)/100,0)+IFERROR(VLOOKUP(C9,▼売上原票!$A:$P,7,0)*VLOOKUP("614-1",▼マッピング!$A:$G,4,0)/100,0)+IFERROR(VLOOKUP(C9,▼売上原票!$A:$P,8,0)*VLOOKUP("614-2",▼マッピング!$A:$G,4,0)/100,0)+IFERROR(VLOOKUP(C9,▼売上原票!$A:$P,9,0)*VLOOKUP("614-3",▼マッピング!$A:$G,4,0)/100,0)+IFERROR(VLOOKUP(C9,▼売上原票!$A:$P,11,0)*VLOOKUP("615-2",▼マッピング!$A:$G,4,0)/100,0)+IFERROR(VLOOKUP(C9,▼売上原票!$A:$P,12,0)*VLOOKUP("615-3",▼マッピング!$A:$G,4,0)/100,0)+IFERROR(VLOOKUP(C9,▼売上原票!$A:$P,13,0)*VLOOKUP("615-4",▼マッピング!$A:$G,4,0)/100,0)</f>
        <v/>
      </c>
      <c r="H9" s="11">
        <f>D9+E9+F9+G9</f>
        <v/>
      </c>
      <c r="I9" s="12" t="n">
        <v>680000</v>
      </c>
      <c r="J9" s="12" t="n">
        <v>185000</v>
      </c>
      <c r="K9" s="12" t="n">
        <v>95000</v>
      </c>
      <c r="L9" s="12" t="n">
        <v>620000</v>
      </c>
      <c r="M9" s="12" t="n">
        <v>85000</v>
      </c>
      <c r="N9" s="12" t="n">
        <v>45000</v>
      </c>
      <c r="O9" s="12" t="n">
        <v>120000</v>
      </c>
      <c r="P9" s="13">
        <f>I9+J9+K9+L9+M9+N9+O9</f>
        <v/>
      </c>
      <c r="Q9" s="14">
        <f>H9-P9</f>
        <v/>
      </c>
      <c r="R9" s="15">
        <f>IF(H9&lt;&gt;0,Q9/H9,0)</f>
        <v/>
      </c>
      <c r="S9" s="16">
        <f>IF(R9&gt;=0.25,"◎ 優良",IF(R9&gt;=0.15,"○ 良好",IF(R9&gt;=0.05,"△ 要注意","× 赤字")))</f>
        <v/>
      </c>
      <c r="T9" s="18">
        <f>IF(H8&lt;&gt;0,H9/H8-1,"")</f>
        <v/>
      </c>
    </row>
    <row r="10" ht="22" customHeight="1">
      <c r="A10" s="7" t="inlineStr">
        <is>
          <t>C001</t>
        </is>
      </c>
      <c r="B10" s="8" t="inlineStr">
        <is>
          <t>東急グループ案件</t>
        </is>
      </c>
      <c r="C10" s="9" t="inlineStr">
        <is>
          <t>2024-12</t>
        </is>
      </c>
      <c r="D10" s="10">
        <f>IFERROR(VLOOKUP(C10,▼売上原票!$A:$P,3,0)*VLOOKUP("612-1",▼マッピング!$A:$G,4,0)/100,0)</f>
        <v/>
      </c>
      <c r="E10" s="10">
        <f>IFERROR(VLOOKUP(C10,▼売上原票!$A:$P,4,0)*VLOOKUP("612-2",▼マッピング!$A:$G,4,0)/100,0)</f>
        <v/>
      </c>
      <c r="F10" s="10">
        <f>IFERROR(VLOOKUP(C10,▼売上原票!$A:$P,10,0)*VLOOKUP("615-1",▼マッピング!$A:$G,4,0)/100,0)</f>
        <v/>
      </c>
      <c r="G10" s="10">
        <f>IFERROR(VLOOKUP(C10,▼売上原票!$A:$P,5,0)*VLOOKUP("613-1",▼マッピング!$A:$G,4,0)/100,0)+IFERROR(VLOOKUP(C10,▼売上原票!$A:$P,6,0)*VLOOKUP("613-2",▼マッピング!$A:$G,4,0)/100,0)+IFERROR(VLOOKUP(C10,▼売上原票!$A:$P,7,0)*VLOOKUP("614-1",▼マッピング!$A:$G,4,0)/100,0)+IFERROR(VLOOKUP(C10,▼売上原票!$A:$P,8,0)*VLOOKUP("614-2",▼マッピング!$A:$G,4,0)/100,0)+IFERROR(VLOOKUP(C10,▼売上原票!$A:$P,9,0)*VLOOKUP("614-3",▼マッピング!$A:$G,4,0)/100,0)+IFERROR(VLOOKUP(C10,▼売上原票!$A:$P,11,0)*VLOOKUP("615-2",▼マッピング!$A:$G,4,0)/100,0)+IFERROR(VLOOKUP(C10,▼売上原票!$A:$P,12,0)*VLOOKUP("615-3",▼マッピング!$A:$G,4,0)/100,0)+IFERROR(VLOOKUP(C10,▼売上原票!$A:$P,13,0)*VLOOKUP("615-4",▼マッピング!$A:$G,4,0)/100,0)</f>
        <v/>
      </c>
      <c r="H10" s="11">
        <f>D10+E10+F10+G10</f>
        <v/>
      </c>
      <c r="I10" s="12" t="n">
        <v>680000</v>
      </c>
      <c r="J10" s="12" t="n">
        <v>185000</v>
      </c>
      <c r="K10" s="12" t="n">
        <v>95000</v>
      </c>
      <c r="L10" s="12" t="n">
        <v>620000</v>
      </c>
      <c r="M10" s="12" t="n">
        <v>85000</v>
      </c>
      <c r="N10" s="12" t="n">
        <v>45000</v>
      </c>
      <c r="O10" s="12" t="n">
        <v>120000</v>
      </c>
      <c r="P10" s="13">
        <f>I10+J10+K10+L10+M10+N10+O10</f>
        <v/>
      </c>
      <c r="Q10" s="14">
        <f>H10-P10</f>
        <v/>
      </c>
      <c r="R10" s="15">
        <f>IF(H10&lt;&gt;0,Q10/H10,0)</f>
        <v/>
      </c>
      <c r="S10" s="16">
        <f>IF(R10&gt;=0.25,"◎ 優良",IF(R10&gt;=0.15,"○ 良好",IF(R10&gt;=0.05,"△ 要注意","× 赤字")))</f>
        <v/>
      </c>
      <c r="T10" s="18">
        <f>IF(H9&lt;&gt;0,H10/H9-1,"")</f>
        <v/>
      </c>
    </row>
    <row r="11" ht="22" customHeight="1">
      <c r="A11" s="7" t="inlineStr">
        <is>
          <t>C001</t>
        </is>
      </c>
      <c r="B11" s="8" t="inlineStr">
        <is>
          <t>東急グループ案件</t>
        </is>
      </c>
      <c r="C11" s="9" t="inlineStr">
        <is>
          <t>2025-01</t>
        </is>
      </c>
      <c r="D11" s="10">
        <f>IFERROR(VLOOKUP(C11,▼売上原票!$A:$P,3,0)*VLOOKUP("612-1",▼マッピング!$A:$G,4,0)/100,0)</f>
        <v/>
      </c>
      <c r="E11" s="10">
        <f>IFERROR(VLOOKUP(C11,▼売上原票!$A:$P,4,0)*VLOOKUP("612-2",▼マッピング!$A:$G,4,0)/100,0)</f>
        <v/>
      </c>
      <c r="F11" s="10">
        <f>IFERROR(VLOOKUP(C11,▼売上原票!$A:$P,10,0)*VLOOKUP("615-1",▼マッピング!$A:$G,4,0)/100,0)</f>
        <v/>
      </c>
      <c r="G11" s="10">
        <f>IFERROR(VLOOKUP(C11,▼売上原票!$A:$P,5,0)*VLOOKUP("613-1",▼マッピング!$A:$G,4,0)/100,0)+IFERROR(VLOOKUP(C11,▼売上原票!$A:$P,6,0)*VLOOKUP("613-2",▼マッピング!$A:$G,4,0)/100,0)+IFERROR(VLOOKUP(C11,▼売上原票!$A:$P,7,0)*VLOOKUP("614-1",▼マッピング!$A:$G,4,0)/100,0)+IFERROR(VLOOKUP(C11,▼売上原票!$A:$P,8,0)*VLOOKUP("614-2",▼マッピング!$A:$G,4,0)/100,0)+IFERROR(VLOOKUP(C11,▼売上原票!$A:$P,9,0)*VLOOKUP("614-3",▼マッピング!$A:$G,4,0)/100,0)+IFERROR(VLOOKUP(C11,▼売上原票!$A:$P,11,0)*VLOOKUP("615-2",▼マッピング!$A:$G,4,0)/100,0)+IFERROR(VLOOKUP(C11,▼売上原票!$A:$P,12,0)*VLOOKUP("615-3",▼マッピング!$A:$G,4,0)/100,0)+IFERROR(VLOOKUP(C11,▼売上原票!$A:$P,13,0)*VLOOKUP("615-4",▼マッピング!$A:$G,4,0)/100,0)</f>
        <v/>
      </c>
      <c r="H11" s="11">
        <f>D11+E11+F11+G11</f>
        <v/>
      </c>
      <c r="I11" s="12" t="n">
        <v>680000</v>
      </c>
      <c r="J11" s="12" t="n">
        <v>185000</v>
      </c>
      <c r="K11" s="12" t="n">
        <v>95000</v>
      </c>
      <c r="L11" s="12" t="n">
        <v>620000</v>
      </c>
      <c r="M11" s="12" t="n">
        <v>85000</v>
      </c>
      <c r="N11" s="12" t="n">
        <v>45000</v>
      </c>
      <c r="O11" s="12" t="n">
        <v>120000</v>
      </c>
      <c r="P11" s="13">
        <f>I11+J11+K11+L11+M11+N11+O11</f>
        <v/>
      </c>
      <c r="Q11" s="14">
        <f>H11-P11</f>
        <v/>
      </c>
      <c r="R11" s="15">
        <f>IF(H11&lt;&gt;0,Q11/H11,0)</f>
        <v/>
      </c>
      <c r="S11" s="16">
        <f>IF(R11&gt;=0.25,"◎ 優良",IF(R11&gt;=0.15,"○ 良好",IF(R11&gt;=0.05,"△ 要注意","× 赤字")))</f>
        <v/>
      </c>
      <c r="T11" s="18">
        <f>IF(H10&lt;&gt;0,H11/H10-1,"")</f>
        <v/>
      </c>
    </row>
    <row r="12" ht="22" customHeight="1">
      <c r="A12" s="7" t="inlineStr">
        <is>
          <t>C001</t>
        </is>
      </c>
      <c r="B12" s="8" t="inlineStr">
        <is>
          <t>東急グループ案件</t>
        </is>
      </c>
      <c r="C12" s="9" t="inlineStr">
        <is>
          <t>2025-02</t>
        </is>
      </c>
      <c r="D12" s="10">
        <f>IFERROR(VLOOKUP(C12,▼売上原票!$A:$P,3,0)*VLOOKUP("612-1",▼マッピング!$A:$G,4,0)/100,0)</f>
        <v/>
      </c>
      <c r="E12" s="10">
        <f>IFERROR(VLOOKUP(C12,▼売上原票!$A:$P,4,0)*VLOOKUP("612-2",▼マッピング!$A:$G,4,0)/100,0)</f>
        <v/>
      </c>
      <c r="F12" s="10">
        <f>IFERROR(VLOOKUP(C12,▼売上原票!$A:$P,10,0)*VLOOKUP("615-1",▼マッピング!$A:$G,4,0)/100,0)</f>
        <v/>
      </c>
      <c r="G12" s="10">
        <f>IFERROR(VLOOKUP(C12,▼売上原票!$A:$P,5,0)*VLOOKUP("613-1",▼マッピング!$A:$G,4,0)/100,0)+IFERROR(VLOOKUP(C12,▼売上原票!$A:$P,6,0)*VLOOKUP("613-2",▼マッピング!$A:$G,4,0)/100,0)+IFERROR(VLOOKUP(C12,▼売上原票!$A:$P,7,0)*VLOOKUP("614-1",▼マッピング!$A:$G,4,0)/100,0)+IFERROR(VLOOKUP(C12,▼売上原票!$A:$P,8,0)*VLOOKUP("614-2",▼マッピング!$A:$G,4,0)/100,0)+IFERROR(VLOOKUP(C12,▼売上原票!$A:$P,9,0)*VLOOKUP("614-3",▼マッピング!$A:$G,4,0)/100,0)+IFERROR(VLOOKUP(C12,▼売上原票!$A:$P,11,0)*VLOOKUP("615-2",▼マッピング!$A:$G,4,0)/100,0)+IFERROR(VLOOKUP(C12,▼売上原票!$A:$P,12,0)*VLOOKUP("615-3",▼マッピング!$A:$G,4,0)/100,0)+IFERROR(VLOOKUP(C12,▼売上原票!$A:$P,13,0)*VLOOKUP("615-4",▼マッピング!$A:$G,4,0)/100,0)</f>
        <v/>
      </c>
      <c r="H12" s="11">
        <f>D12+E12+F12+G12</f>
        <v/>
      </c>
      <c r="I12" s="12" t="n">
        <v>680000</v>
      </c>
      <c r="J12" s="12" t="n">
        <v>185000</v>
      </c>
      <c r="K12" s="12" t="n">
        <v>95000</v>
      </c>
      <c r="L12" s="12" t="n">
        <v>620000</v>
      </c>
      <c r="M12" s="12" t="n">
        <v>85000</v>
      </c>
      <c r="N12" s="12" t="n">
        <v>45000</v>
      </c>
      <c r="O12" s="12" t="n">
        <v>120000</v>
      </c>
      <c r="P12" s="13">
        <f>I12+J12+K12+L12+M12+N12+O12</f>
        <v/>
      </c>
      <c r="Q12" s="14">
        <f>H12-P12</f>
        <v/>
      </c>
      <c r="R12" s="15">
        <f>IF(H12&lt;&gt;0,Q12/H12,0)</f>
        <v/>
      </c>
      <c r="S12" s="16">
        <f>IF(R12&gt;=0.25,"◎ 優良",IF(R12&gt;=0.15,"○ 良好",IF(R12&gt;=0.05,"△ 要注意","× 赤字")))</f>
        <v/>
      </c>
      <c r="T12" s="18">
        <f>IF(H11&lt;&gt;0,H12/H11-1,"")</f>
        <v/>
      </c>
    </row>
    <row r="13" ht="22" customHeight="1">
      <c r="A13" s="7" t="inlineStr">
        <is>
          <t>C001</t>
        </is>
      </c>
      <c r="B13" s="8" t="inlineStr">
        <is>
          <t>東急グループ案件</t>
        </is>
      </c>
      <c r="C13" s="9" t="inlineStr">
        <is>
          <t>2025-03</t>
        </is>
      </c>
      <c r="D13" s="10">
        <f>IFERROR(VLOOKUP(C13,▼売上原票!$A:$P,3,0)*VLOOKUP("612-1",▼マッピング!$A:$G,4,0)/100,0)</f>
        <v/>
      </c>
      <c r="E13" s="10">
        <f>IFERROR(VLOOKUP(C13,▼売上原票!$A:$P,4,0)*VLOOKUP("612-2",▼マッピング!$A:$G,4,0)/100,0)</f>
        <v/>
      </c>
      <c r="F13" s="10">
        <f>IFERROR(VLOOKUP(C13,▼売上原票!$A:$P,10,0)*VLOOKUP("615-1",▼マッピング!$A:$G,4,0)/100,0)</f>
        <v/>
      </c>
      <c r="G13" s="10">
        <f>IFERROR(VLOOKUP(C13,▼売上原票!$A:$P,5,0)*VLOOKUP("613-1",▼マッピング!$A:$G,4,0)/100,0)+IFERROR(VLOOKUP(C13,▼売上原票!$A:$P,6,0)*VLOOKUP("613-2",▼マッピング!$A:$G,4,0)/100,0)+IFERROR(VLOOKUP(C13,▼売上原票!$A:$P,7,0)*VLOOKUP("614-1",▼マッピング!$A:$G,4,0)/100,0)+IFERROR(VLOOKUP(C13,▼売上原票!$A:$P,8,0)*VLOOKUP("614-2",▼マッピング!$A:$G,4,0)/100,0)+IFERROR(VLOOKUP(C13,▼売上原票!$A:$P,9,0)*VLOOKUP("614-3",▼マッピング!$A:$G,4,0)/100,0)+IFERROR(VLOOKUP(C13,▼売上原票!$A:$P,11,0)*VLOOKUP("615-2",▼マッピング!$A:$G,4,0)/100,0)+IFERROR(VLOOKUP(C13,▼売上原票!$A:$P,12,0)*VLOOKUP("615-3",▼マッピング!$A:$G,4,0)/100,0)+IFERROR(VLOOKUP(C13,▼売上原票!$A:$P,13,0)*VLOOKUP("615-4",▼マッピング!$A:$G,4,0)/100,0)</f>
        <v/>
      </c>
      <c r="H13" s="11">
        <f>D13+E13+F13+G13</f>
        <v/>
      </c>
      <c r="I13" s="12" t="n">
        <v>680000</v>
      </c>
      <c r="J13" s="12" t="n">
        <v>185000</v>
      </c>
      <c r="K13" s="12" t="n">
        <v>95000</v>
      </c>
      <c r="L13" s="12" t="n">
        <v>620000</v>
      </c>
      <c r="M13" s="12" t="n">
        <v>85000</v>
      </c>
      <c r="N13" s="12" t="n">
        <v>45000</v>
      </c>
      <c r="O13" s="12" t="n">
        <v>120000</v>
      </c>
      <c r="P13" s="13">
        <f>I13+J13+K13+L13+M13+N13+O13</f>
        <v/>
      </c>
      <c r="Q13" s="14">
        <f>H13-P13</f>
        <v/>
      </c>
      <c r="R13" s="15">
        <f>IF(H13&lt;&gt;0,Q13/H13,0)</f>
        <v/>
      </c>
      <c r="S13" s="16">
        <f>IF(R13&gt;=0.25,"◎ 優良",IF(R13&gt;=0.15,"○ 良好",IF(R13&gt;=0.05,"△ 要注意","× 赤字")))</f>
        <v/>
      </c>
      <c r="T13" s="18">
        <f>IF(H12&lt;&gt;0,H13/H12-1,"")</f>
        <v/>
      </c>
    </row>
    <row r="14" ht="22" customHeight="1">
      <c r="A14" s="7" t="inlineStr">
        <is>
          <t>C001</t>
        </is>
      </c>
      <c r="B14" s="8" t="inlineStr">
        <is>
          <t>東急グループ案件</t>
        </is>
      </c>
      <c r="C14" s="9" t="inlineStr">
        <is>
          <t>2025-04</t>
        </is>
      </c>
      <c r="D14" s="10">
        <f>IFERROR(VLOOKUP(C14,▼売上原票!$A:$P,3,0)*VLOOKUP("612-1",▼マッピング!$A:$G,4,0)/100,0)</f>
        <v/>
      </c>
      <c r="E14" s="10">
        <f>IFERROR(VLOOKUP(C14,▼売上原票!$A:$P,4,0)*VLOOKUP("612-2",▼マッピング!$A:$G,4,0)/100,0)</f>
        <v/>
      </c>
      <c r="F14" s="10">
        <f>IFERROR(VLOOKUP(C14,▼売上原票!$A:$P,10,0)*VLOOKUP("615-1",▼マッピング!$A:$G,4,0)/100,0)</f>
        <v/>
      </c>
      <c r="G14" s="10">
        <f>IFERROR(VLOOKUP(C14,▼売上原票!$A:$P,5,0)*VLOOKUP("613-1",▼マッピング!$A:$G,4,0)/100,0)+IFERROR(VLOOKUP(C14,▼売上原票!$A:$P,6,0)*VLOOKUP("613-2",▼マッピング!$A:$G,4,0)/100,0)+IFERROR(VLOOKUP(C14,▼売上原票!$A:$P,7,0)*VLOOKUP("614-1",▼マッピング!$A:$G,4,0)/100,0)+IFERROR(VLOOKUP(C14,▼売上原票!$A:$P,8,0)*VLOOKUP("614-2",▼マッピング!$A:$G,4,0)/100,0)+IFERROR(VLOOKUP(C14,▼売上原票!$A:$P,9,0)*VLOOKUP("614-3",▼マッピング!$A:$G,4,0)/100,0)+IFERROR(VLOOKUP(C14,▼売上原票!$A:$P,11,0)*VLOOKUP("615-2",▼マッピング!$A:$G,4,0)/100,0)+IFERROR(VLOOKUP(C14,▼売上原票!$A:$P,12,0)*VLOOKUP("615-3",▼マッピング!$A:$G,4,0)/100,0)+IFERROR(VLOOKUP(C14,▼売上原票!$A:$P,13,0)*VLOOKUP("615-4",▼マッピング!$A:$G,4,0)/100,0)</f>
        <v/>
      </c>
      <c r="H14" s="11">
        <f>D14+E14+F14+G14</f>
        <v/>
      </c>
      <c r="I14" s="12" t="n">
        <v>680000</v>
      </c>
      <c r="J14" s="12" t="n">
        <v>185000</v>
      </c>
      <c r="K14" s="12" t="n">
        <v>95000</v>
      </c>
      <c r="L14" s="12" t="n">
        <v>620000</v>
      </c>
      <c r="M14" s="12" t="n">
        <v>85000</v>
      </c>
      <c r="N14" s="12" t="n">
        <v>45000</v>
      </c>
      <c r="O14" s="12" t="n">
        <v>120000</v>
      </c>
      <c r="P14" s="13">
        <f>I14+J14+K14+L14+M14+N14+O14</f>
        <v/>
      </c>
      <c r="Q14" s="14">
        <f>H14-P14</f>
        <v/>
      </c>
      <c r="R14" s="15">
        <f>IF(H14&lt;&gt;0,Q14/H14,0)</f>
        <v/>
      </c>
      <c r="S14" s="16">
        <f>IF(R14&gt;=0.25,"◎ 優良",IF(R14&gt;=0.15,"○ 良好",IF(R14&gt;=0.05,"△ 要注意","× 赤字")))</f>
        <v/>
      </c>
      <c r="T14" s="18">
        <f>IF(H13&lt;&gt;0,H14/H13-1,"")</f>
        <v/>
      </c>
    </row>
    <row r="15" ht="22" customHeight="1">
      <c r="A15" s="7" t="inlineStr">
        <is>
          <t>C001</t>
        </is>
      </c>
      <c r="B15" s="8" t="inlineStr">
        <is>
          <t>東急グループ案件</t>
        </is>
      </c>
      <c r="C15" s="9" t="inlineStr">
        <is>
          <t>2025-05</t>
        </is>
      </c>
      <c r="D15" s="10">
        <f>IFERROR(VLOOKUP(C15,▼売上原票!$A:$P,3,0)*VLOOKUP("612-1",▼マッピング!$A:$G,4,0)/100,0)</f>
        <v/>
      </c>
      <c r="E15" s="10">
        <f>IFERROR(VLOOKUP(C15,▼売上原票!$A:$P,4,0)*VLOOKUP("612-2",▼マッピング!$A:$G,4,0)/100,0)</f>
        <v/>
      </c>
      <c r="F15" s="10">
        <f>IFERROR(VLOOKUP(C15,▼売上原票!$A:$P,10,0)*VLOOKUP("615-1",▼マッピング!$A:$G,4,0)/100,0)</f>
        <v/>
      </c>
      <c r="G15" s="10">
        <f>IFERROR(VLOOKUP(C15,▼売上原票!$A:$P,5,0)*VLOOKUP("613-1",▼マッピング!$A:$G,4,0)/100,0)+IFERROR(VLOOKUP(C15,▼売上原票!$A:$P,6,0)*VLOOKUP("613-2",▼マッピング!$A:$G,4,0)/100,0)+IFERROR(VLOOKUP(C15,▼売上原票!$A:$P,7,0)*VLOOKUP("614-1",▼マッピング!$A:$G,4,0)/100,0)+IFERROR(VLOOKUP(C15,▼売上原票!$A:$P,8,0)*VLOOKUP("614-2",▼マッピング!$A:$G,4,0)/100,0)+IFERROR(VLOOKUP(C15,▼売上原票!$A:$P,9,0)*VLOOKUP("614-3",▼マッピング!$A:$G,4,0)/100,0)+IFERROR(VLOOKUP(C15,▼売上原票!$A:$P,11,0)*VLOOKUP("615-2",▼マッピング!$A:$G,4,0)/100,0)+IFERROR(VLOOKUP(C15,▼売上原票!$A:$P,12,0)*VLOOKUP("615-3",▼マッピング!$A:$G,4,0)/100,0)+IFERROR(VLOOKUP(C15,▼売上原票!$A:$P,13,0)*VLOOKUP("615-4",▼マッピング!$A:$G,4,0)/100,0)</f>
        <v/>
      </c>
      <c r="H15" s="11">
        <f>D15+E15+F15+G15</f>
        <v/>
      </c>
      <c r="I15" s="12" t="n">
        <v>680000</v>
      </c>
      <c r="J15" s="12" t="n">
        <v>185000</v>
      </c>
      <c r="K15" s="12" t="n">
        <v>95000</v>
      </c>
      <c r="L15" s="12" t="n">
        <v>620000</v>
      </c>
      <c r="M15" s="12" t="n">
        <v>85000</v>
      </c>
      <c r="N15" s="12" t="n">
        <v>45000</v>
      </c>
      <c r="O15" s="12" t="n">
        <v>120000</v>
      </c>
      <c r="P15" s="13">
        <f>I15+J15+K15+L15+M15+N15+O15</f>
        <v/>
      </c>
      <c r="Q15" s="14">
        <f>H15-P15</f>
        <v/>
      </c>
      <c r="R15" s="15">
        <f>IF(H15&lt;&gt;0,Q15/H15,0)</f>
        <v/>
      </c>
      <c r="S15" s="16">
        <f>IF(R15&gt;=0.25,"◎ 優良",IF(R15&gt;=0.15,"○ 良好",IF(R15&gt;=0.05,"△ 要注意","× 赤字")))</f>
        <v/>
      </c>
      <c r="T15" s="18">
        <f>IF(H14&lt;&gt;0,H15/H14-1,"")</f>
        <v/>
      </c>
    </row>
    <row r="16" ht="22" customHeight="1">
      <c r="A16" s="7" t="inlineStr">
        <is>
          <t>C001</t>
        </is>
      </c>
      <c r="B16" s="8" t="inlineStr">
        <is>
          <t>東急グループ案件</t>
        </is>
      </c>
      <c r="C16" s="9" t="inlineStr">
        <is>
          <t>2025-06</t>
        </is>
      </c>
      <c r="D16" s="10">
        <f>IFERROR(VLOOKUP(C16,▼売上原票!$A:$P,3,0)*VLOOKUP("612-1",▼マッピング!$A:$G,4,0)/100,0)</f>
        <v/>
      </c>
      <c r="E16" s="10">
        <f>IFERROR(VLOOKUP(C16,▼売上原票!$A:$P,4,0)*VLOOKUP("612-2",▼マッピング!$A:$G,4,0)/100,0)</f>
        <v/>
      </c>
      <c r="F16" s="10">
        <f>IFERROR(VLOOKUP(C16,▼売上原票!$A:$P,10,0)*VLOOKUP("615-1",▼マッピング!$A:$G,4,0)/100,0)</f>
        <v/>
      </c>
      <c r="G16" s="10">
        <f>IFERROR(VLOOKUP(C16,▼売上原票!$A:$P,5,0)*VLOOKUP("613-1",▼マッピング!$A:$G,4,0)/100,0)+IFERROR(VLOOKUP(C16,▼売上原票!$A:$P,6,0)*VLOOKUP("613-2",▼マッピング!$A:$G,4,0)/100,0)+IFERROR(VLOOKUP(C16,▼売上原票!$A:$P,7,0)*VLOOKUP("614-1",▼マッピング!$A:$G,4,0)/100,0)+IFERROR(VLOOKUP(C16,▼売上原票!$A:$P,8,0)*VLOOKUP("614-2",▼マッピング!$A:$G,4,0)/100,0)+IFERROR(VLOOKUP(C16,▼売上原票!$A:$P,9,0)*VLOOKUP("614-3",▼マッピング!$A:$G,4,0)/100,0)+IFERROR(VLOOKUP(C16,▼売上原票!$A:$P,11,0)*VLOOKUP("615-2",▼マッピング!$A:$G,4,0)/100,0)+IFERROR(VLOOKUP(C16,▼売上原票!$A:$P,12,0)*VLOOKUP("615-3",▼マッピング!$A:$G,4,0)/100,0)+IFERROR(VLOOKUP(C16,▼売上原票!$A:$P,13,0)*VLOOKUP("615-4",▼マッピング!$A:$G,4,0)/100,0)</f>
        <v/>
      </c>
      <c r="H16" s="11">
        <f>D16+E16+F16+G16</f>
        <v/>
      </c>
      <c r="I16" s="12" t="n">
        <v>680000</v>
      </c>
      <c r="J16" s="12" t="n">
        <v>185000</v>
      </c>
      <c r="K16" s="12" t="n">
        <v>95000</v>
      </c>
      <c r="L16" s="12" t="n">
        <v>620000</v>
      </c>
      <c r="M16" s="12" t="n">
        <v>85000</v>
      </c>
      <c r="N16" s="12" t="n">
        <v>45000</v>
      </c>
      <c r="O16" s="12" t="n">
        <v>120000</v>
      </c>
      <c r="P16" s="13">
        <f>I16+J16+K16+L16+M16+N16+O16</f>
        <v/>
      </c>
      <c r="Q16" s="14">
        <f>H16-P16</f>
        <v/>
      </c>
      <c r="R16" s="15">
        <f>IF(H16&lt;&gt;0,Q16/H16,0)</f>
        <v/>
      </c>
      <c r="S16" s="16">
        <f>IF(R16&gt;=0.25,"◎ 優良",IF(R16&gt;=0.15,"○ 良好",IF(R16&gt;=0.05,"△ 要注意","× 赤字")))</f>
        <v/>
      </c>
      <c r="T16" s="18">
        <f>IF(H15&lt;&gt;0,H16/H15-1,"")</f>
        <v/>
      </c>
    </row>
    <row r="17" ht="22" customHeight="1">
      <c r="A17" s="7" t="inlineStr">
        <is>
          <t>C001</t>
        </is>
      </c>
      <c r="B17" s="8" t="inlineStr">
        <is>
          <t>東急グループ案件</t>
        </is>
      </c>
      <c r="C17" s="9" t="inlineStr">
        <is>
          <t>2025-07</t>
        </is>
      </c>
      <c r="D17" s="10">
        <f>IFERROR(VLOOKUP(C17,▼売上原票!$A:$P,3,0)*VLOOKUP("612-1",▼マッピング!$A:$G,4,0)/100,0)</f>
        <v/>
      </c>
      <c r="E17" s="10">
        <f>IFERROR(VLOOKUP(C17,▼売上原票!$A:$P,4,0)*VLOOKUP("612-2",▼マッピング!$A:$G,4,0)/100,0)</f>
        <v/>
      </c>
      <c r="F17" s="10">
        <f>IFERROR(VLOOKUP(C17,▼売上原票!$A:$P,10,0)*VLOOKUP("615-1",▼マッピング!$A:$G,4,0)/100,0)</f>
        <v/>
      </c>
      <c r="G17" s="10">
        <f>IFERROR(VLOOKUP(C17,▼売上原票!$A:$P,5,0)*VLOOKUP("613-1",▼マッピング!$A:$G,4,0)/100,0)+IFERROR(VLOOKUP(C17,▼売上原票!$A:$P,6,0)*VLOOKUP("613-2",▼マッピング!$A:$G,4,0)/100,0)+IFERROR(VLOOKUP(C17,▼売上原票!$A:$P,7,0)*VLOOKUP("614-1",▼マッピング!$A:$G,4,0)/100,0)+IFERROR(VLOOKUP(C17,▼売上原票!$A:$P,8,0)*VLOOKUP("614-2",▼マッピング!$A:$G,4,0)/100,0)+IFERROR(VLOOKUP(C17,▼売上原票!$A:$P,9,0)*VLOOKUP("614-3",▼マッピング!$A:$G,4,0)/100,0)+IFERROR(VLOOKUP(C17,▼売上原票!$A:$P,11,0)*VLOOKUP("615-2",▼マッピング!$A:$G,4,0)/100,0)+IFERROR(VLOOKUP(C17,▼売上原票!$A:$P,12,0)*VLOOKUP("615-3",▼マッピング!$A:$G,4,0)/100,0)+IFERROR(VLOOKUP(C17,▼売上原票!$A:$P,13,0)*VLOOKUP("615-4",▼マッピング!$A:$G,4,0)/100,0)</f>
        <v/>
      </c>
      <c r="H17" s="11">
        <f>D17+E17+F17+G17</f>
        <v/>
      </c>
      <c r="I17" s="12" t="n">
        <v>680000</v>
      </c>
      <c r="J17" s="12" t="n">
        <v>185000</v>
      </c>
      <c r="K17" s="12" t="n">
        <v>95000</v>
      </c>
      <c r="L17" s="12" t="n">
        <v>620000</v>
      </c>
      <c r="M17" s="12" t="n">
        <v>85000</v>
      </c>
      <c r="N17" s="12" t="n">
        <v>45000</v>
      </c>
      <c r="O17" s="12" t="n">
        <v>120000</v>
      </c>
      <c r="P17" s="13">
        <f>I17+J17+K17+L17+M17+N17+O17</f>
        <v/>
      </c>
      <c r="Q17" s="14">
        <f>H17-P17</f>
        <v/>
      </c>
      <c r="R17" s="15">
        <f>IF(H17&lt;&gt;0,Q17/H17,0)</f>
        <v/>
      </c>
      <c r="S17" s="16">
        <f>IF(R17&gt;=0.25,"◎ 優良",IF(R17&gt;=0.15,"○ 良好",IF(R17&gt;=0.05,"△ 要注意","× 赤字")))</f>
        <v/>
      </c>
      <c r="T17" s="18">
        <f>IF(H16&lt;&gt;0,H17/H16-1,"")</f>
        <v/>
      </c>
    </row>
    <row r="18" ht="22" customHeight="1">
      <c r="A18" s="7" t="inlineStr">
        <is>
          <t>C001</t>
        </is>
      </c>
      <c r="B18" s="8" t="inlineStr">
        <is>
          <t>東急グループ案件</t>
        </is>
      </c>
      <c r="C18" s="9" t="inlineStr">
        <is>
          <t>2025-08</t>
        </is>
      </c>
      <c r="D18" s="10">
        <f>IFERROR(VLOOKUP(C18,▼売上原票!$A:$P,3,0)*VLOOKUP("612-1",▼マッピング!$A:$G,4,0)/100,0)</f>
        <v/>
      </c>
      <c r="E18" s="10">
        <f>IFERROR(VLOOKUP(C18,▼売上原票!$A:$P,4,0)*VLOOKUP("612-2",▼マッピング!$A:$G,4,0)/100,0)</f>
        <v/>
      </c>
      <c r="F18" s="10">
        <f>IFERROR(VLOOKUP(C18,▼売上原票!$A:$P,10,0)*VLOOKUP("615-1",▼マッピング!$A:$G,4,0)/100,0)</f>
        <v/>
      </c>
      <c r="G18" s="10">
        <f>IFERROR(VLOOKUP(C18,▼売上原票!$A:$P,5,0)*VLOOKUP("613-1",▼マッピング!$A:$G,4,0)/100,0)+IFERROR(VLOOKUP(C18,▼売上原票!$A:$P,6,0)*VLOOKUP("613-2",▼マッピング!$A:$G,4,0)/100,0)+IFERROR(VLOOKUP(C18,▼売上原票!$A:$P,7,0)*VLOOKUP("614-1",▼マッピング!$A:$G,4,0)/100,0)+IFERROR(VLOOKUP(C18,▼売上原票!$A:$P,8,0)*VLOOKUP("614-2",▼マッピング!$A:$G,4,0)/100,0)+IFERROR(VLOOKUP(C18,▼売上原票!$A:$P,9,0)*VLOOKUP("614-3",▼マッピング!$A:$G,4,0)/100,0)+IFERROR(VLOOKUP(C18,▼売上原票!$A:$P,11,0)*VLOOKUP("615-2",▼マッピング!$A:$G,4,0)/100,0)+IFERROR(VLOOKUP(C18,▼売上原票!$A:$P,12,0)*VLOOKUP("615-3",▼マッピング!$A:$G,4,0)/100,0)+IFERROR(VLOOKUP(C18,▼売上原票!$A:$P,13,0)*VLOOKUP("615-4",▼マッピング!$A:$G,4,0)/100,0)</f>
        <v/>
      </c>
      <c r="H18" s="11">
        <f>D18+E18+F18+G18</f>
        <v/>
      </c>
      <c r="I18" s="12" t="n">
        <v>680000</v>
      </c>
      <c r="J18" s="12" t="n">
        <v>185000</v>
      </c>
      <c r="K18" s="12" t="n">
        <v>95000</v>
      </c>
      <c r="L18" s="12" t="n">
        <v>620000</v>
      </c>
      <c r="M18" s="12" t="n">
        <v>85000</v>
      </c>
      <c r="N18" s="12" t="n">
        <v>45000</v>
      </c>
      <c r="O18" s="12" t="n">
        <v>120000</v>
      </c>
      <c r="P18" s="13">
        <f>I18+J18+K18+L18+M18+N18+O18</f>
        <v/>
      </c>
      <c r="Q18" s="14">
        <f>H18-P18</f>
        <v/>
      </c>
      <c r="R18" s="15">
        <f>IF(H18&lt;&gt;0,Q18/H18,0)</f>
        <v/>
      </c>
      <c r="S18" s="16">
        <f>IF(R18&gt;=0.25,"◎ 優良",IF(R18&gt;=0.15,"○ 良好",IF(R18&gt;=0.05,"△ 要注意","× 赤字")))</f>
        <v/>
      </c>
      <c r="T18" s="18">
        <f>IF(H17&lt;&gt;0,H18/H17-1,"")</f>
        <v/>
      </c>
    </row>
    <row r="19" ht="8" customHeight="1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</row>
    <row r="20" ht="22" customHeight="1">
      <c r="A20" s="20" t="inlineStr">
        <is>
          <t>C002</t>
        </is>
      </c>
      <c r="B20" s="21" t="inlineStr">
        <is>
          <t>都営地下鉄案件</t>
        </is>
      </c>
      <c r="C20" s="22" t="inlineStr">
        <is>
          <t>2024-07</t>
        </is>
      </c>
      <c r="D20" s="10">
        <f>IFERROR(VLOOKUP(C20,▼売上原票!$A:$P,3,0)*VLOOKUP("612-1",▼マッピング!$A:$G,5,0)/100,0)</f>
        <v/>
      </c>
      <c r="E20" s="10">
        <f>IFERROR(VLOOKUP(C20,▼売上原票!$A:$P,4,0)*VLOOKUP("612-2",▼マッピング!$A:$G,5,0)/100,0)</f>
        <v/>
      </c>
      <c r="F20" s="10">
        <f>IFERROR(VLOOKUP(C20,▼売上原票!$A:$P,10,0)*VLOOKUP("615-1",▼マッピング!$A:$G,5,0)/100,0)</f>
        <v/>
      </c>
      <c r="G20" s="10">
        <f>IFERROR(VLOOKUP(C20,▼売上原票!$A:$P,5,0)*VLOOKUP("613-1",▼マッピング!$A:$G,5,0)/100,0)+IFERROR(VLOOKUP(C20,▼売上原票!$A:$P,6,0)*VLOOKUP("613-2",▼マッピング!$A:$G,5,0)/100,0)+IFERROR(VLOOKUP(C20,▼売上原票!$A:$P,7,0)*VLOOKUP("614-1",▼マッピング!$A:$G,5,0)/100,0)+IFERROR(VLOOKUP(C20,▼売上原票!$A:$P,8,0)*VLOOKUP("614-2",▼マッピング!$A:$G,5,0)/100,0)+IFERROR(VLOOKUP(C20,▼売上原票!$A:$P,9,0)*VLOOKUP("614-3",▼マッピング!$A:$G,5,0)/100,0)+IFERROR(VLOOKUP(C20,▼売上原票!$A:$P,11,0)*VLOOKUP("615-2",▼マッピング!$A:$G,5,0)/100,0)+IFERROR(VLOOKUP(C20,▼売上原票!$A:$P,12,0)*VLOOKUP("615-3",▼マッピング!$A:$G,5,0)/100,0)+IFERROR(VLOOKUP(C20,▼売上原票!$A:$P,13,0)*VLOOKUP("615-4",▼マッピング!$A:$G,5,0)/100,0)</f>
        <v/>
      </c>
      <c r="H20" s="11">
        <f>D20+E20+F20+G20</f>
        <v/>
      </c>
      <c r="I20" s="12" t="n">
        <v>430000</v>
      </c>
      <c r="J20" s="12" t="n">
        <v>125000</v>
      </c>
      <c r="K20" s="12" t="n">
        <v>67000</v>
      </c>
      <c r="L20" s="12" t="n">
        <v>385000</v>
      </c>
      <c r="M20" s="12" t="n">
        <v>43000</v>
      </c>
      <c r="N20" s="12" t="n">
        <v>29000</v>
      </c>
      <c r="O20" s="12" t="n">
        <v>85000</v>
      </c>
      <c r="P20" s="13">
        <f>I20+J20+K20+L20+M20+N20+O20</f>
        <v/>
      </c>
      <c r="Q20" s="14">
        <f>H20-P20</f>
        <v/>
      </c>
      <c r="R20" s="15">
        <f>IF(H20&lt;&gt;0,Q20/H20,0)</f>
        <v/>
      </c>
      <c r="S20" s="16">
        <f>IF(R20&gt;=0.25,"◎ 優良",IF(R20&gt;=0.15,"○ 良好",IF(R20&gt;=0.05,"△ 要注意","× 赤字")))</f>
        <v/>
      </c>
      <c r="T20" s="23" t="inlineStr">
        <is>
          <t>—</t>
        </is>
      </c>
    </row>
    <row r="21" ht="22" customHeight="1">
      <c r="A21" s="20" t="inlineStr">
        <is>
          <t>C002</t>
        </is>
      </c>
      <c r="B21" s="21" t="inlineStr">
        <is>
          <t>都営地下鉄案件</t>
        </is>
      </c>
      <c r="C21" s="22" t="inlineStr">
        <is>
          <t>2024-08</t>
        </is>
      </c>
      <c r="D21" s="10">
        <f>IFERROR(VLOOKUP(C21,▼売上原票!$A:$P,3,0)*VLOOKUP("612-1",▼マッピング!$A:$G,5,0)/100,0)</f>
        <v/>
      </c>
      <c r="E21" s="10">
        <f>IFERROR(VLOOKUP(C21,▼売上原票!$A:$P,4,0)*VLOOKUP("612-2",▼マッピング!$A:$G,5,0)/100,0)</f>
        <v/>
      </c>
      <c r="F21" s="10">
        <f>IFERROR(VLOOKUP(C21,▼売上原票!$A:$P,10,0)*VLOOKUP("615-1",▼マッピング!$A:$G,5,0)/100,0)</f>
        <v/>
      </c>
      <c r="G21" s="10">
        <f>IFERROR(VLOOKUP(C21,▼売上原票!$A:$P,5,0)*VLOOKUP("613-1",▼マッピング!$A:$G,5,0)/100,0)+IFERROR(VLOOKUP(C21,▼売上原票!$A:$P,6,0)*VLOOKUP("613-2",▼マッピング!$A:$G,5,0)/100,0)+IFERROR(VLOOKUP(C21,▼売上原票!$A:$P,7,0)*VLOOKUP("614-1",▼マッピング!$A:$G,5,0)/100,0)+IFERROR(VLOOKUP(C21,▼売上原票!$A:$P,8,0)*VLOOKUP("614-2",▼マッピング!$A:$G,5,0)/100,0)+IFERROR(VLOOKUP(C21,▼売上原票!$A:$P,9,0)*VLOOKUP("614-3",▼マッピング!$A:$G,5,0)/100,0)+IFERROR(VLOOKUP(C21,▼売上原票!$A:$P,11,0)*VLOOKUP("615-2",▼マッピング!$A:$G,5,0)/100,0)+IFERROR(VLOOKUP(C21,▼売上原票!$A:$P,12,0)*VLOOKUP("615-3",▼マッピング!$A:$G,5,0)/100,0)+IFERROR(VLOOKUP(C21,▼売上原票!$A:$P,13,0)*VLOOKUP("615-4",▼マッピング!$A:$G,5,0)/100,0)</f>
        <v/>
      </c>
      <c r="H21" s="11">
        <f>D21+E21+F21+G21</f>
        <v/>
      </c>
      <c r="I21" s="12" t="n">
        <v>430000</v>
      </c>
      <c r="J21" s="12" t="n">
        <v>125000</v>
      </c>
      <c r="K21" s="12" t="n">
        <v>67000</v>
      </c>
      <c r="L21" s="12" t="n">
        <v>385000</v>
      </c>
      <c r="M21" s="12" t="n">
        <v>43000</v>
      </c>
      <c r="N21" s="12" t="n">
        <v>29000</v>
      </c>
      <c r="O21" s="12" t="n">
        <v>85000</v>
      </c>
      <c r="P21" s="13">
        <f>I21+J21+K21+L21+M21+N21+O21</f>
        <v/>
      </c>
      <c r="Q21" s="14">
        <f>H21-P21</f>
        <v/>
      </c>
      <c r="R21" s="15">
        <f>IF(H21&lt;&gt;0,Q21/H21,0)</f>
        <v/>
      </c>
      <c r="S21" s="16">
        <f>IF(R21&gt;=0.25,"◎ 優良",IF(R21&gt;=0.15,"○ 良好",IF(R21&gt;=0.05,"△ 要注意","× 赤字")))</f>
        <v/>
      </c>
      <c r="T21" s="24">
        <f>IF(H20&lt;&gt;0,H21/H20-1,"")</f>
        <v/>
      </c>
    </row>
    <row r="22" ht="22" customHeight="1">
      <c r="A22" s="20" t="inlineStr">
        <is>
          <t>C002</t>
        </is>
      </c>
      <c r="B22" s="21" t="inlineStr">
        <is>
          <t>都営地下鉄案件</t>
        </is>
      </c>
      <c r="C22" s="22" t="inlineStr">
        <is>
          <t>2024-09</t>
        </is>
      </c>
      <c r="D22" s="10">
        <f>IFERROR(VLOOKUP(C22,▼売上原票!$A:$P,3,0)*VLOOKUP("612-1",▼マッピング!$A:$G,5,0)/100,0)</f>
        <v/>
      </c>
      <c r="E22" s="10">
        <f>IFERROR(VLOOKUP(C22,▼売上原票!$A:$P,4,0)*VLOOKUP("612-2",▼マッピング!$A:$G,5,0)/100,0)</f>
        <v/>
      </c>
      <c r="F22" s="10">
        <f>IFERROR(VLOOKUP(C22,▼売上原票!$A:$P,10,0)*VLOOKUP("615-1",▼マッピング!$A:$G,5,0)/100,0)</f>
        <v/>
      </c>
      <c r="G22" s="10">
        <f>IFERROR(VLOOKUP(C22,▼売上原票!$A:$P,5,0)*VLOOKUP("613-1",▼マッピング!$A:$G,5,0)/100,0)+IFERROR(VLOOKUP(C22,▼売上原票!$A:$P,6,0)*VLOOKUP("613-2",▼マッピング!$A:$G,5,0)/100,0)+IFERROR(VLOOKUP(C22,▼売上原票!$A:$P,7,0)*VLOOKUP("614-1",▼マッピング!$A:$G,5,0)/100,0)+IFERROR(VLOOKUP(C22,▼売上原票!$A:$P,8,0)*VLOOKUP("614-2",▼マッピング!$A:$G,5,0)/100,0)+IFERROR(VLOOKUP(C22,▼売上原票!$A:$P,9,0)*VLOOKUP("614-3",▼マッピング!$A:$G,5,0)/100,0)+IFERROR(VLOOKUP(C22,▼売上原票!$A:$P,11,0)*VLOOKUP("615-2",▼マッピング!$A:$G,5,0)/100,0)+IFERROR(VLOOKUP(C22,▼売上原票!$A:$P,12,0)*VLOOKUP("615-3",▼マッピング!$A:$G,5,0)/100,0)+IFERROR(VLOOKUP(C22,▼売上原票!$A:$P,13,0)*VLOOKUP("615-4",▼マッピング!$A:$G,5,0)/100,0)</f>
        <v/>
      </c>
      <c r="H22" s="11">
        <f>D22+E22+F22+G22</f>
        <v/>
      </c>
      <c r="I22" s="12" t="n">
        <v>430000</v>
      </c>
      <c r="J22" s="12" t="n">
        <v>125000</v>
      </c>
      <c r="K22" s="12" t="n">
        <v>67000</v>
      </c>
      <c r="L22" s="12" t="n">
        <v>385000</v>
      </c>
      <c r="M22" s="12" t="n">
        <v>43000</v>
      </c>
      <c r="N22" s="12" t="n">
        <v>29000</v>
      </c>
      <c r="O22" s="12" t="n">
        <v>85000</v>
      </c>
      <c r="P22" s="13">
        <f>I22+J22+K22+L22+M22+N22+O22</f>
        <v/>
      </c>
      <c r="Q22" s="14">
        <f>H22-P22</f>
        <v/>
      </c>
      <c r="R22" s="15">
        <f>IF(H22&lt;&gt;0,Q22/H22,0)</f>
        <v/>
      </c>
      <c r="S22" s="16">
        <f>IF(R22&gt;=0.25,"◎ 優良",IF(R22&gt;=0.15,"○ 良好",IF(R22&gt;=0.05,"△ 要注意","× 赤字")))</f>
        <v/>
      </c>
      <c r="T22" s="24">
        <f>IF(H21&lt;&gt;0,H22/H21-1,"")</f>
        <v/>
      </c>
    </row>
    <row r="23" ht="22" customHeight="1">
      <c r="A23" s="20" t="inlineStr">
        <is>
          <t>C002</t>
        </is>
      </c>
      <c r="B23" s="21" t="inlineStr">
        <is>
          <t>都営地下鉄案件</t>
        </is>
      </c>
      <c r="C23" s="22" t="inlineStr">
        <is>
          <t>2024-10</t>
        </is>
      </c>
      <c r="D23" s="10">
        <f>IFERROR(VLOOKUP(C23,▼売上原票!$A:$P,3,0)*VLOOKUP("612-1",▼マッピング!$A:$G,5,0)/100,0)</f>
        <v/>
      </c>
      <c r="E23" s="10">
        <f>IFERROR(VLOOKUP(C23,▼売上原票!$A:$P,4,0)*VLOOKUP("612-2",▼マッピング!$A:$G,5,0)/100,0)</f>
        <v/>
      </c>
      <c r="F23" s="10">
        <f>IFERROR(VLOOKUP(C23,▼売上原票!$A:$P,10,0)*VLOOKUP("615-1",▼マッピング!$A:$G,5,0)/100,0)</f>
        <v/>
      </c>
      <c r="G23" s="10">
        <f>IFERROR(VLOOKUP(C23,▼売上原票!$A:$P,5,0)*VLOOKUP("613-1",▼マッピング!$A:$G,5,0)/100,0)+IFERROR(VLOOKUP(C23,▼売上原票!$A:$P,6,0)*VLOOKUP("613-2",▼マッピング!$A:$G,5,0)/100,0)+IFERROR(VLOOKUP(C23,▼売上原票!$A:$P,7,0)*VLOOKUP("614-1",▼マッピング!$A:$G,5,0)/100,0)+IFERROR(VLOOKUP(C23,▼売上原票!$A:$P,8,0)*VLOOKUP("614-2",▼マッピング!$A:$G,5,0)/100,0)+IFERROR(VLOOKUP(C23,▼売上原票!$A:$P,9,0)*VLOOKUP("614-3",▼マッピング!$A:$G,5,0)/100,0)+IFERROR(VLOOKUP(C23,▼売上原票!$A:$P,11,0)*VLOOKUP("615-2",▼マッピング!$A:$G,5,0)/100,0)+IFERROR(VLOOKUP(C23,▼売上原票!$A:$P,12,0)*VLOOKUP("615-3",▼マッピング!$A:$G,5,0)/100,0)+IFERROR(VLOOKUP(C23,▼売上原票!$A:$P,13,0)*VLOOKUP("615-4",▼マッピング!$A:$G,5,0)/100,0)</f>
        <v/>
      </c>
      <c r="H23" s="11">
        <f>D23+E23+F23+G23</f>
        <v/>
      </c>
      <c r="I23" s="12" t="n">
        <v>430000</v>
      </c>
      <c r="J23" s="12" t="n">
        <v>125000</v>
      </c>
      <c r="K23" s="12" t="n">
        <v>67000</v>
      </c>
      <c r="L23" s="12" t="n">
        <v>385000</v>
      </c>
      <c r="M23" s="12" t="n">
        <v>43000</v>
      </c>
      <c r="N23" s="12" t="n">
        <v>29000</v>
      </c>
      <c r="O23" s="12" t="n">
        <v>85000</v>
      </c>
      <c r="P23" s="13">
        <f>I23+J23+K23+L23+M23+N23+O23</f>
        <v/>
      </c>
      <c r="Q23" s="14">
        <f>H23-P23</f>
        <v/>
      </c>
      <c r="R23" s="15">
        <f>IF(H23&lt;&gt;0,Q23/H23,0)</f>
        <v/>
      </c>
      <c r="S23" s="16">
        <f>IF(R23&gt;=0.25,"◎ 優良",IF(R23&gt;=0.15,"○ 良好",IF(R23&gt;=0.05,"△ 要注意","× 赤字")))</f>
        <v/>
      </c>
      <c r="T23" s="24">
        <f>IF(H22&lt;&gt;0,H23/H22-1,"")</f>
        <v/>
      </c>
    </row>
    <row r="24" ht="22" customHeight="1">
      <c r="A24" s="20" t="inlineStr">
        <is>
          <t>C002</t>
        </is>
      </c>
      <c r="B24" s="21" t="inlineStr">
        <is>
          <t>都営地下鉄案件</t>
        </is>
      </c>
      <c r="C24" s="22" t="inlineStr">
        <is>
          <t>2024-11</t>
        </is>
      </c>
      <c r="D24" s="10">
        <f>IFERROR(VLOOKUP(C24,▼売上原票!$A:$P,3,0)*VLOOKUP("612-1",▼マッピング!$A:$G,5,0)/100,0)</f>
        <v/>
      </c>
      <c r="E24" s="10">
        <f>IFERROR(VLOOKUP(C24,▼売上原票!$A:$P,4,0)*VLOOKUP("612-2",▼マッピング!$A:$G,5,0)/100,0)</f>
        <v/>
      </c>
      <c r="F24" s="10">
        <f>IFERROR(VLOOKUP(C24,▼売上原票!$A:$P,10,0)*VLOOKUP("615-1",▼マッピング!$A:$G,5,0)/100,0)</f>
        <v/>
      </c>
      <c r="G24" s="10">
        <f>IFERROR(VLOOKUP(C24,▼売上原票!$A:$P,5,0)*VLOOKUP("613-1",▼マッピング!$A:$G,5,0)/100,0)+IFERROR(VLOOKUP(C24,▼売上原票!$A:$P,6,0)*VLOOKUP("613-2",▼マッピング!$A:$G,5,0)/100,0)+IFERROR(VLOOKUP(C24,▼売上原票!$A:$P,7,0)*VLOOKUP("614-1",▼マッピング!$A:$G,5,0)/100,0)+IFERROR(VLOOKUP(C24,▼売上原票!$A:$P,8,0)*VLOOKUP("614-2",▼マッピング!$A:$G,5,0)/100,0)+IFERROR(VLOOKUP(C24,▼売上原票!$A:$P,9,0)*VLOOKUP("614-3",▼マッピング!$A:$G,5,0)/100,0)+IFERROR(VLOOKUP(C24,▼売上原票!$A:$P,11,0)*VLOOKUP("615-2",▼マッピング!$A:$G,5,0)/100,0)+IFERROR(VLOOKUP(C24,▼売上原票!$A:$P,12,0)*VLOOKUP("615-3",▼マッピング!$A:$G,5,0)/100,0)+IFERROR(VLOOKUP(C24,▼売上原票!$A:$P,13,0)*VLOOKUP("615-4",▼マッピング!$A:$G,5,0)/100,0)</f>
        <v/>
      </c>
      <c r="H24" s="11">
        <f>D24+E24+F24+G24</f>
        <v/>
      </c>
      <c r="I24" s="12" t="n">
        <v>430000</v>
      </c>
      <c r="J24" s="12" t="n">
        <v>125000</v>
      </c>
      <c r="K24" s="12" t="n">
        <v>67000</v>
      </c>
      <c r="L24" s="12" t="n">
        <v>385000</v>
      </c>
      <c r="M24" s="12" t="n">
        <v>43000</v>
      </c>
      <c r="N24" s="12" t="n">
        <v>29000</v>
      </c>
      <c r="O24" s="12" t="n">
        <v>85000</v>
      </c>
      <c r="P24" s="13">
        <f>I24+J24+K24+L24+M24+N24+O24</f>
        <v/>
      </c>
      <c r="Q24" s="14">
        <f>H24-P24</f>
        <v/>
      </c>
      <c r="R24" s="15">
        <f>IF(H24&lt;&gt;0,Q24/H24,0)</f>
        <v/>
      </c>
      <c r="S24" s="16">
        <f>IF(R24&gt;=0.25,"◎ 優良",IF(R24&gt;=0.15,"○ 良好",IF(R24&gt;=0.05,"△ 要注意","× 赤字")))</f>
        <v/>
      </c>
      <c r="T24" s="24">
        <f>IF(H23&lt;&gt;0,H24/H23-1,"")</f>
        <v/>
      </c>
    </row>
    <row r="25" ht="22" customHeight="1">
      <c r="A25" s="20" t="inlineStr">
        <is>
          <t>C002</t>
        </is>
      </c>
      <c r="B25" s="21" t="inlineStr">
        <is>
          <t>都営地下鉄案件</t>
        </is>
      </c>
      <c r="C25" s="22" t="inlineStr">
        <is>
          <t>2024-12</t>
        </is>
      </c>
      <c r="D25" s="10">
        <f>IFERROR(VLOOKUP(C25,▼売上原票!$A:$P,3,0)*VLOOKUP("612-1",▼マッピング!$A:$G,5,0)/100,0)</f>
        <v/>
      </c>
      <c r="E25" s="10">
        <f>IFERROR(VLOOKUP(C25,▼売上原票!$A:$P,4,0)*VLOOKUP("612-2",▼マッピング!$A:$G,5,0)/100,0)</f>
        <v/>
      </c>
      <c r="F25" s="10">
        <f>IFERROR(VLOOKUP(C25,▼売上原票!$A:$P,10,0)*VLOOKUP("615-1",▼マッピング!$A:$G,5,0)/100,0)</f>
        <v/>
      </c>
      <c r="G25" s="10">
        <f>IFERROR(VLOOKUP(C25,▼売上原票!$A:$P,5,0)*VLOOKUP("613-1",▼マッピング!$A:$G,5,0)/100,0)+IFERROR(VLOOKUP(C25,▼売上原票!$A:$P,6,0)*VLOOKUP("613-2",▼マッピング!$A:$G,5,0)/100,0)+IFERROR(VLOOKUP(C25,▼売上原票!$A:$P,7,0)*VLOOKUP("614-1",▼マッピング!$A:$G,5,0)/100,0)+IFERROR(VLOOKUP(C25,▼売上原票!$A:$P,8,0)*VLOOKUP("614-2",▼マッピング!$A:$G,5,0)/100,0)+IFERROR(VLOOKUP(C25,▼売上原票!$A:$P,9,0)*VLOOKUP("614-3",▼マッピング!$A:$G,5,0)/100,0)+IFERROR(VLOOKUP(C25,▼売上原票!$A:$P,11,0)*VLOOKUP("615-2",▼マッピング!$A:$G,5,0)/100,0)+IFERROR(VLOOKUP(C25,▼売上原票!$A:$P,12,0)*VLOOKUP("615-3",▼マッピング!$A:$G,5,0)/100,0)+IFERROR(VLOOKUP(C25,▼売上原票!$A:$P,13,0)*VLOOKUP("615-4",▼マッピング!$A:$G,5,0)/100,0)</f>
        <v/>
      </c>
      <c r="H25" s="11">
        <f>D25+E25+F25+G25</f>
        <v/>
      </c>
      <c r="I25" s="12" t="n">
        <v>430000</v>
      </c>
      <c r="J25" s="12" t="n">
        <v>125000</v>
      </c>
      <c r="K25" s="12" t="n">
        <v>67000</v>
      </c>
      <c r="L25" s="12" t="n">
        <v>385000</v>
      </c>
      <c r="M25" s="12" t="n">
        <v>43000</v>
      </c>
      <c r="N25" s="12" t="n">
        <v>29000</v>
      </c>
      <c r="O25" s="12" t="n">
        <v>85000</v>
      </c>
      <c r="P25" s="13">
        <f>I25+J25+K25+L25+M25+N25+O25</f>
        <v/>
      </c>
      <c r="Q25" s="14">
        <f>H25-P25</f>
        <v/>
      </c>
      <c r="R25" s="15">
        <f>IF(H25&lt;&gt;0,Q25/H25,0)</f>
        <v/>
      </c>
      <c r="S25" s="16">
        <f>IF(R25&gt;=0.25,"◎ 優良",IF(R25&gt;=0.15,"○ 良好",IF(R25&gt;=0.05,"△ 要注意","× 赤字")))</f>
        <v/>
      </c>
      <c r="T25" s="24">
        <f>IF(H24&lt;&gt;0,H25/H24-1,"")</f>
        <v/>
      </c>
    </row>
    <row r="26" ht="22" customHeight="1">
      <c r="A26" s="20" t="inlineStr">
        <is>
          <t>C002</t>
        </is>
      </c>
      <c r="B26" s="21" t="inlineStr">
        <is>
          <t>都営地下鉄案件</t>
        </is>
      </c>
      <c r="C26" s="22" t="inlineStr">
        <is>
          <t>2025-01</t>
        </is>
      </c>
      <c r="D26" s="10">
        <f>IFERROR(VLOOKUP(C26,▼売上原票!$A:$P,3,0)*VLOOKUP("612-1",▼マッピング!$A:$G,5,0)/100,0)</f>
        <v/>
      </c>
      <c r="E26" s="10">
        <f>IFERROR(VLOOKUP(C26,▼売上原票!$A:$P,4,0)*VLOOKUP("612-2",▼マッピング!$A:$G,5,0)/100,0)</f>
        <v/>
      </c>
      <c r="F26" s="10">
        <f>IFERROR(VLOOKUP(C26,▼売上原票!$A:$P,10,0)*VLOOKUP("615-1",▼マッピング!$A:$G,5,0)/100,0)</f>
        <v/>
      </c>
      <c r="G26" s="10">
        <f>IFERROR(VLOOKUP(C26,▼売上原票!$A:$P,5,0)*VLOOKUP("613-1",▼マッピング!$A:$G,5,0)/100,0)+IFERROR(VLOOKUP(C26,▼売上原票!$A:$P,6,0)*VLOOKUP("613-2",▼マッピング!$A:$G,5,0)/100,0)+IFERROR(VLOOKUP(C26,▼売上原票!$A:$P,7,0)*VLOOKUP("614-1",▼マッピング!$A:$G,5,0)/100,0)+IFERROR(VLOOKUP(C26,▼売上原票!$A:$P,8,0)*VLOOKUP("614-2",▼マッピング!$A:$G,5,0)/100,0)+IFERROR(VLOOKUP(C26,▼売上原票!$A:$P,9,0)*VLOOKUP("614-3",▼マッピング!$A:$G,5,0)/100,0)+IFERROR(VLOOKUP(C26,▼売上原票!$A:$P,11,0)*VLOOKUP("615-2",▼マッピング!$A:$G,5,0)/100,0)+IFERROR(VLOOKUP(C26,▼売上原票!$A:$P,12,0)*VLOOKUP("615-3",▼マッピング!$A:$G,5,0)/100,0)+IFERROR(VLOOKUP(C26,▼売上原票!$A:$P,13,0)*VLOOKUP("615-4",▼マッピング!$A:$G,5,0)/100,0)</f>
        <v/>
      </c>
      <c r="H26" s="11">
        <f>D26+E26+F26+G26</f>
        <v/>
      </c>
      <c r="I26" s="12" t="n">
        <v>430000</v>
      </c>
      <c r="J26" s="12" t="n">
        <v>125000</v>
      </c>
      <c r="K26" s="12" t="n">
        <v>67000</v>
      </c>
      <c r="L26" s="12" t="n">
        <v>385000</v>
      </c>
      <c r="M26" s="12" t="n">
        <v>43000</v>
      </c>
      <c r="N26" s="12" t="n">
        <v>29000</v>
      </c>
      <c r="O26" s="12" t="n">
        <v>85000</v>
      </c>
      <c r="P26" s="13">
        <f>I26+J26+K26+L26+M26+N26+O26</f>
        <v/>
      </c>
      <c r="Q26" s="14">
        <f>H26-P26</f>
        <v/>
      </c>
      <c r="R26" s="15">
        <f>IF(H26&lt;&gt;0,Q26/H26,0)</f>
        <v/>
      </c>
      <c r="S26" s="16">
        <f>IF(R26&gt;=0.25,"◎ 優良",IF(R26&gt;=0.15,"○ 良好",IF(R26&gt;=0.05,"△ 要注意","× 赤字")))</f>
        <v/>
      </c>
      <c r="T26" s="24">
        <f>IF(H25&lt;&gt;0,H26/H25-1,"")</f>
        <v/>
      </c>
    </row>
    <row r="27" ht="22" customHeight="1">
      <c r="A27" s="20" t="inlineStr">
        <is>
          <t>C002</t>
        </is>
      </c>
      <c r="B27" s="21" t="inlineStr">
        <is>
          <t>都営地下鉄案件</t>
        </is>
      </c>
      <c r="C27" s="22" t="inlineStr">
        <is>
          <t>2025-02</t>
        </is>
      </c>
      <c r="D27" s="10">
        <f>IFERROR(VLOOKUP(C27,▼売上原票!$A:$P,3,0)*VLOOKUP("612-1",▼マッピング!$A:$G,5,0)/100,0)</f>
        <v/>
      </c>
      <c r="E27" s="10">
        <f>IFERROR(VLOOKUP(C27,▼売上原票!$A:$P,4,0)*VLOOKUP("612-2",▼マッピング!$A:$G,5,0)/100,0)</f>
        <v/>
      </c>
      <c r="F27" s="10">
        <f>IFERROR(VLOOKUP(C27,▼売上原票!$A:$P,10,0)*VLOOKUP("615-1",▼マッピング!$A:$G,5,0)/100,0)</f>
        <v/>
      </c>
      <c r="G27" s="10">
        <f>IFERROR(VLOOKUP(C27,▼売上原票!$A:$P,5,0)*VLOOKUP("613-1",▼マッピング!$A:$G,5,0)/100,0)+IFERROR(VLOOKUP(C27,▼売上原票!$A:$P,6,0)*VLOOKUP("613-2",▼マッピング!$A:$G,5,0)/100,0)+IFERROR(VLOOKUP(C27,▼売上原票!$A:$P,7,0)*VLOOKUP("614-1",▼マッピング!$A:$G,5,0)/100,0)+IFERROR(VLOOKUP(C27,▼売上原票!$A:$P,8,0)*VLOOKUP("614-2",▼マッピング!$A:$G,5,0)/100,0)+IFERROR(VLOOKUP(C27,▼売上原票!$A:$P,9,0)*VLOOKUP("614-3",▼マッピング!$A:$G,5,0)/100,0)+IFERROR(VLOOKUP(C27,▼売上原票!$A:$P,11,0)*VLOOKUP("615-2",▼マッピング!$A:$G,5,0)/100,0)+IFERROR(VLOOKUP(C27,▼売上原票!$A:$P,12,0)*VLOOKUP("615-3",▼マッピング!$A:$G,5,0)/100,0)+IFERROR(VLOOKUP(C27,▼売上原票!$A:$P,13,0)*VLOOKUP("615-4",▼マッピング!$A:$G,5,0)/100,0)</f>
        <v/>
      </c>
      <c r="H27" s="11">
        <f>D27+E27+F27+G27</f>
        <v/>
      </c>
      <c r="I27" s="12" t="n">
        <v>430000</v>
      </c>
      <c r="J27" s="12" t="n">
        <v>125000</v>
      </c>
      <c r="K27" s="12" t="n">
        <v>67000</v>
      </c>
      <c r="L27" s="12" t="n">
        <v>385000</v>
      </c>
      <c r="M27" s="12" t="n">
        <v>43000</v>
      </c>
      <c r="N27" s="12" t="n">
        <v>29000</v>
      </c>
      <c r="O27" s="12" t="n">
        <v>85000</v>
      </c>
      <c r="P27" s="13">
        <f>I27+J27+K27+L27+M27+N27+O27</f>
        <v/>
      </c>
      <c r="Q27" s="14">
        <f>H27-P27</f>
        <v/>
      </c>
      <c r="R27" s="15">
        <f>IF(H27&lt;&gt;0,Q27/H27,0)</f>
        <v/>
      </c>
      <c r="S27" s="16">
        <f>IF(R27&gt;=0.25,"◎ 優良",IF(R27&gt;=0.15,"○ 良好",IF(R27&gt;=0.05,"△ 要注意","× 赤字")))</f>
        <v/>
      </c>
      <c r="T27" s="24">
        <f>IF(H26&lt;&gt;0,H27/H26-1,"")</f>
        <v/>
      </c>
    </row>
    <row r="28" ht="22" customHeight="1">
      <c r="A28" s="20" t="inlineStr">
        <is>
          <t>C002</t>
        </is>
      </c>
      <c r="B28" s="21" t="inlineStr">
        <is>
          <t>都営地下鉄案件</t>
        </is>
      </c>
      <c r="C28" s="22" t="inlineStr">
        <is>
          <t>2025-03</t>
        </is>
      </c>
      <c r="D28" s="10">
        <f>IFERROR(VLOOKUP(C28,▼売上原票!$A:$P,3,0)*VLOOKUP("612-1",▼マッピング!$A:$G,5,0)/100,0)</f>
        <v/>
      </c>
      <c r="E28" s="10">
        <f>IFERROR(VLOOKUP(C28,▼売上原票!$A:$P,4,0)*VLOOKUP("612-2",▼マッピング!$A:$G,5,0)/100,0)</f>
        <v/>
      </c>
      <c r="F28" s="10">
        <f>IFERROR(VLOOKUP(C28,▼売上原票!$A:$P,10,0)*VLOOKUP("615-1",▼マッピング!$A:$G,5,0)/100,0)</f>
        <v/>
      </c>
      <c r="G28" s="10">
        <f>IFERROR(VLOOKUP(C28,▼売上原票!$A:$P,5,0)*VLOOKUP("613-1",▼マッピング!$A:$G,5,0)/100,0)+IFERROR(VLOOKUP(C28,▼売上原票!$A:$P,6,0)*VLOOKUP("613-2",▼マッピング!$A:$G,5,0)/100,0)+IFERROR(VLOOKUP(C28,▼売上原票!$A:$P,7,0)*VLOOKUP("614-1",▼マッピング!$A:$G,5,0)/100,0)+IFERROR(VLOOKUP(C28,▼売上原票!$A:$P,8,0)*VLOOKUP("614-2",▼マッピング!$A:$G,5,0)/100,0)+IFERROR(VLOOKUP(C28,▼売上原票!$A:$P,9,0)*VLOOKUP("614-3",▼マッピング!$A:$G,5,0)/100,0)+IFERROR(VLOOKUP(C28,▼売上原票!$A:$P,11,0)*VLOOKUP("615-2",▼マッピング!$A:$G,5,0)/100,0)+IFERROR(VLOOKUP(C28,▼売上原票!$A:$P,12,0)*VLOOKUP("615-3",▼マッピング!$A:$G,5,0)/100,0)+IFERROR(VLOOKUP(C28,▼売上原票!$A:$P,13,0)*VLOOKUP("615-4",▼マッピング!$A:$G,5,0)/100,0)</f>
        <v/>
      </c>
      <c r="H28" s="11">
        <f>D28+E28+F28+G28</f>
        <v/>
      </c>
      <c r="I28" s="12" t="n">
        <v>430000</v>
      </c>
      <c r="J28" s="12" t="n">
        <v>125000</v>
      </c>
      <c r="K28" s="12" t="n">
        <v>67000</v>
      </c>
      <c r="L28" s="12" t="n">
        <v>385000</v>
      </c>
      <c r="M28" s="12" t="n">
        <v>43000</v>
      </c>
      <c r="N28" s="12" t="n">
        <v>29000</v>
      </c>
      <c r="O28" s="12" t="n">
        <v>85000</v>
      </c>
      <c r="P28" s="13">
        <f>I28+J28+K28+L28+M28+N28+O28</f>
        <v/>
      </c>
      <c r="Q28" s="14">
        <f>H28-P28</f>
        <v/>
      </c>
      <c r="R28" s="15">
        <f>IF(H28&lt;&gt;0,Q28/H28,0)</f>
        <v/>
      </c>
      <c r="S28" s="16">
        <f>IF(R28&gt;=0.25,"◎ 優良",IF(R28&gt;=0.15,"○ 良好",IF(R28&gt;=0.05,"△ 要注意","× 赤字")))</f>
        <v/>
      </c>
      <c r="T28" s="24">
        <f>IF(H27&lt;&gt;0,H28/H27-1,"")</f>
        <v/>
      </c>
    </row>
    <row r="29" ht="22" customHeight="1">
      <c r="A29" s="20" t="inlineStr">
        <is>
          <t>C002</t>
        </is>
      </c>
      <c r="B29" s="21" t="inlineStr">
        <is>
          <t>都営地下鉄案件</t>
        </is>
      </c>
      <c r="C29" s="22" t="inlineStr">
        <is>
          <t>2025-04</t>
        </is>
      </c>
      <c r="D29" s="10">
        <f>IFERROR(VLOOKUP(C29,▼売上原票!$A:$P,3,0)*VLOOKUP("612-1",▼マッピング!$A:$G,5,0)/100,0)</f>
        <v/>
      </c>
      <c r="E29" s="10">
        <f>IFERROR(VLOOKUP(C29,▼売上原票!$A:$P,4,0)*VLOOKUP("612-2",▼マッピング!$A:$G,5,0)/100,0)</f>
        <v/>
      </c>
      <c r="F29" s="10">
        <f>IFERROR(VLOOKUP(C29,▼売上原票!$A:$P,10,0)*VLOOKUP("615-1",▼マッピング!$A:$G,5,0)/100,0)</f>
        <v/>
      </c>
      <c r="G29" s="10">
        <f>IFERROR(VLOOKUP(C29,▼売上原票!$A:$P,5,0)*VLOOKUP("613-1",▼マッピング!$A:$G,5,0)/100,0)+IFERROR(VLOOKUP(C29,▼売上原票!$A:$P,6,0)*VLOOKUP("613-2",▼マッピング!$A:$G,5,0)/100,0)+IFERROR(VLOOKUP(C29,▼売上原票!$A:$P,7,0)*VLOOKUP("614-1",▼マッピング!$A:$G,5,0)/100,0)+IFERROR(VLOOKUP(C29,▼売上原票!$A:$P,8,0)*VLOOKUP("614-2",▼マッピング!$A:$G,5,0)/100,0)+IFERROR(VLOOKUP(C29,▼売上原票!$A:$P,9,0)*VLOOKUP("614-3",▼マッピング!$A:$G,5,0)/100,0)+IFERROR(VLOOKUP(C29,▼売上原票!$A:$P,11,0)*VLOOKUP("615-2",▼マッピング!$A:$G,5,0)/100,0)+IFERROR(VLOOKUP(C29,▼売上原票!$A:$P,12,0)*VLOOKUP("615-3",▼マッピング!$A:$G,5,0)/100,0)+IFERROR(VLOOKUP(C29,▼売上原票!$A:$P,13,0)*VLOOKUP("615-4",▼マッピング!$A:$G,5,0)/100,0)</f>
        <v/>
      </c>
      <c r="H29" s="11">
        <f>D29+E29+F29+G29</f>
        <v/>
      </c>
      <c r="I29" s="12" t="n">
        <v>430000</v>
      </c>
      <c r="J29" s="12" t="n">
        <v>125000</v>
      </c>
      <c r="K29" s="12" t="n">
        <v>67000</v>
      </c>
      <c r="L29" s="12" t="n">
        <v>385000</v>
      </c>
      <c r="M29" s="12" t="n">
        <v>43000</v>
      </c>
      <c r="N29" s="12" t="n">
        <v>29000</v>
      </c>
      <c r="O29" s="12" t="n">
        <v>85000</v>
      </c>
      <c r="P29" s="13">
        <f>I29+J29+K29+L29+M29+N29+O29</f>
        <v/>
      </c>
      <c r="Q29" s="14">
        <f>H29-P29</f>
        <v/>
      </c>
      <c r="R29" s="15">
        <f>IF(H29&lt;&gt;0,Q29/H29,0)</f>
        <v/>
      </c>
      <c r="S29" s="16">
        <f>IF(R29&gt;=0.25,"◎ 優良",IF(R29&gt;=0.15,"○ 良好",IF(R29&gt;=0.05,"△ 要注意","× 赤字")))</f>
        <v/>
      </c>
      <c r="T29" s="24">
        <f>IF(H28&lt;&gt;0,H29/H28-1,"")</f>
        <v/>
      </c>
    </row>
    <row r="30" ht="22" customHeight="1">
      <c r="A30" s="20" t="inlineStr">
        <is>
          <t>C002</t>
        </is>
      </c>
      <c r="B30" s="21" t="inlineStr">
        <is>
          <t>都営地下鉄案件</t>
        </is>
      </c>
      <c r="C30" s="22" t="inlineStr">
        <is>
          <t>2025-05</t>
        </is>
      </c>
      <c r="D30" s="10">
        <f>IFERROR(VLOOKUP(C30,▼売上原票!$A:$P,3,0)*VLOOKUP("612-1",▼マッピング!$A:$G,5,0)/100,0)</f>
        <v/>
      </c>
      <c r="E30" s="10">
        <f>IFERROR(VLOOKUP(C30,▼売上原票!$A:$P,4,0)*VLOOKUP("612-2",▼マッピング!$A:$G,5,0)/100,0)</f>
        <v/>
      </c>
      <c r="F30" s="10">
        <f>IFERROR(VLOOKUP(C30,▼売上原票!$A:$P,10,0)*VLOOKUP("615-1",▼マッピング!$A:$G,5,0)/100,0)</f>
        <v/>
      </c>
      <c r="G30" s="10">
        <f>IFERROR(VLOOKUP(C30,▼売上原票!$A:$P,5,0)*VLOOKUP("613-1",▼マッピング!$A:$G,5,0)/100,0)+IFERROR(VLOOKUP(C30,▼売上原票!$A:$P,6,0)*VLOOKUP("613-2",▼マッピング!$A:$G,5,0)/100,0)+IFERROR(VLOOKUP(C30,▼売上原票!$A:$P,7,0)*VLOOKUP("614-1",▼マッピング!$A:$G,5,0)/100,0)+IFERROR(VLOOKUP(C30,▼売上原票!$A:$P,8,0)*VLOOKUP("614-2",▼マッピング!$A:$G,5,0)/100,0)+IFERROR(VLOOKUP(C30,▼売上原票!$A:$P,9,0)*VLOOKUP("614-3",▼マッピング!$A:$G,5,0)/100,0)+IFERROR(VLOOKUP(C30,▼売上原票!$A:$P,11,0)*VLOOKUP("615-2",▼マッピング!$A:$G,5,0)/100,0)+IFERROR(VLOOKUP(C30,▼売上原票!$A:$P,12,0)*VLOOKUP("615-3",▼マッピング!$A:$G,5,0)/100,0)+IFERROR(VLOOKUP(C30,▼売上原票!$A:$P,13,0)*VLOOKUP("615-4",▼マッピング!$A:$G,5,0)/100,0)</f>
        <v/>
      </c>
      <c r="H30" s="11">
        <f>D30+E30+F30+G30</f>
        <v/>
      </c>
      <c r="I30" s="12" t="n">
        <v>430000</v>
      </c>
      <c r="J30" s="12" t="n">
        <v>125000</v>
      </c>
      <c r="K30" s="12" t="n">
        <v>67000</v>
      </c>
      <c r="L30" s="12" t="n">
        <v>385000</v>
      </c>
      <c r="M30" s="12" t="n">
        <v>43000</v>
      </c>
      <c r="N30" s="12" t="n">
        <v>29000</v>
      </c>
      <c r="O30" s="12" t="n">
        <v>85000</v>
      </c>
      <c r="P30" s="13">
        <f>I30+J30+K30+L30+M30+N30+O30</f>
        <v/>
      </c>
      <c r="Q30" s="14">
        <f>H30-P30</f>
        <v/>
      </c>
      <c r="R30" s="15">
        <f>IF(H30&lt;&gt;0,Q30/H30,0)</f>
        <v/>
      </c>
      <c r="S30" s="16">
        <f>IF(R30&gt;=0.25,"◎ 優良",IF(R30&gt;=0.15,"○ 良好",IF(R30&gt;=0.05,"△ 要注意","× 赤字")))</f>
        <v/>
      </c>
      <c r="T30" s="24">
        <f>IF(H29&lt;&gt;0,H30/H29-1,"")</f>
        <v/>
      </c>
    </row>
    <row r="31" ht="22" customHeight="1">
      <c r="A31" s="20" t="inlineStr">
        <is>
          <t>C002</t>
        </is>
      </c>
      <c r="B31" s="21" t="inlineStr">
        <is>
          <t>都営地下鉄案件</t>
        </is>
      </c>
      <c r="C31" s="22" t="inlineStr">
        <is>
          <t>2025-06</t>
        </is>
      </c>
      <c r="D31" s="10">
        <f>IFERROR(VLOOKUP(C31,▼売上原票!$A:$P,3,0)*VLOOKUP("612-1",▼マッピング!$A:$G,5,0)/100,0)</f>
        <v/>
      </c>
      <c r="E31" s="10">
        <f>IFERROR(VLOOKUP(C31,▼売上原票!$A:$P,4,0)*VLOOKUP("612-2",▼マッピング!$A:$G,5,0)/100,0)</f>
        <v/>
      </c>
      <c r="F31" s="10">
        <f>IFERROR(VLOOKUP(C31,▼売上原票!$A:$P,10,0)*VLOOKUP("615-1",▼マッピング!$A:$G,5,0)/100,0)</f>
        <v/>
      </c>
      <c r="G31" s="10">
        <f>IFERROR(VLOOKUP(C31,▼売上原票!$A:$P,5,0)*VLOOKUP("613-1",▼マッピング!$A:$G,5,0)/100,0)+IFERROR(VLOOKUP(C31,▼売上原票!$A:$P,6,0)*VLOOKUP("613-2",▼マッピング!$A:$G,5,0)/100,0)+IFERROR(VLOOKUP(C31,▼売上原票!$A:$P,7,0)*VLOOKUP("614-1",▼マッピング!$A:$G,5,0)/100,0)+IFERROR(VLOOKUP(C31,▼売上原票!$A:$P,8,0)*VLOOKUP("614-2",▼マッピング!$A:$G,5,0)/100,0)+IFERROR(VLOOKUP(C31,▼売上原票!$A:$P,9,0)*VLOOKUP("614-3",▼マッピング!$A:$G,5,0)/100,0)+IFERROR(VLOOKUP(C31,▼売上原票!$A:$P,11,0)*VLOOKUP("615-2",▼マッピング!$A:$G,5,0)/100,0)+IFERROR(VLOOKUP(C31,▼売上原票!$A:$P,12,0)*VLOOKUP("615-3",▼マッピング!$A:$G,5,0)/100,0)+IFERROR(VLOOKUP(C31,▼売上原票!$A:$P,13,0)*VLOOKUP("615-4",▼マッピング!$A:$G,5,0)/100,0)</f>
        <v/>
      </c>
      <c r="H31" s="11">
        <f>D31+E31+F31+G31</f>
        <v/>
      </c>
      <c r="I31" s="12" t="n">
        <v>430000</v>
      </c>
      <c r="J31" s="12" t="n">
        <v>125000</v>
      </c>
      <c r="K31" s="12" t="n">
        <v>67000</v>
      </c>
      <c r="L31" s="12" t="n">
        <v>385000</v>
      </c>
      <c r="M31" s="12" t="n">
        <v>43000</v>
      </c>
      <c r="N31" s="12" t="n">
        <v>29000</v>
      </c>
      <c r="O31" s="12" t="n">
        <v>85000</v>
      </c>
      <c r="P31" s="13">
        <f>I31+J31+K31+L31+M31+N31+O31</f>
        <v/>
      </c>
      <c r="Q31" s="14">
        <f>H31-P31</f>
        <v/>
      </c>
      <c r="R31" s="15">
        <f>IF(H31&lt;&gt;0,Q31/H31,0)</f>
        <v/>
      </c>
      <c r="S31" s="16">
        <f>IF(R31&gt;=0.25,"◎ 優良",IF(R31&gt;=0.15,"○ 良好",IF(R31&gt;=0.05,"△ 要注意","× 赤字")))</f>
        <v/>
      </c>
      <c r="T31" s="24">
        <f>IF(H30&lt;&gt;0,H31/H30-1,"")</f>
        <v/>
      </c>
    </row>
    <row r="32" ht="22" customHeight="1">
      <c r="A32" s="20" t="inlineStr">
        <is>
          <t>C002</t>
        </is>
      </c>
      <c r="B32" s="21" t="inlineStr">
        <is>
          <t>都営地下鉄案件</t>
        </is>
      </c>
      <c r="C32" s="22" t="inlineStr">
        <is>
          <t>2025-07</t>
        </is>
      </c>
      <c r="D32" s="10">
        <f>IFERROR(VLOOKUP(C32,▼売上原票!$A:$P,3,0)*VLOOKUP("612-1",▼マッピング!$A:$G,5,0)/100,0)</f>
        <v/>
      </c>
      <c r="E32" s="10">
        <f>IFERROR(VLOOKUP(C32,▼売上原票!$A:$P,4,0)*VLOOKUP("612-2",▼マッピング!$A:$G,5,0)/100,0)</f>
        <v/>
      </c>
      <c r="F32" s="10">
        <f>IFERROR(VLOOKUP(C32,▼売上原票!$A:$P,10,0)*VLOOKUP("615-1",▼マッピング!$A:$G,5,0)/100,0)</f>
        <v/>
      </c>
      <c r="G32" s="10">
        <f>IFERROR(VLOOKUP(C32,▼売上原票!$A:$P,5,0)*VLOOKUP("613-1",▼マッピング!$A:$G,5,0)/100,0)+IFERROR(VLOOKUP(C32,▼売上原票!$A:$P,6,0)*VLOOKUP("613-2",▼マッピング!$A:$G,5,0)/100,0)+IFERROR(VLOOKUP(C32,▼売上原票!$A:$P,7,0)*VLOOKUP("614-1",▼マッピング!$A:$G,5,0)/100,0)+IFERROR(VLOOKUP(C32,▼売上原票!$A:$P,8,0)*VLOOKUP("614-2",▼マッピング!$A:$G,5,0)/100,0)+IFERROR(VLOOKUP(C32,▼売上原票!$A:$P,9,0)*VLOOKUP("614-3",▼マッピング!$A:$G,5,0)/100,0)+IFERROR(VLOOKUP(C32,▼売上原票!$A:$P,11,0)*VLOOKUP("615-2",▼マッピング!$A:$G,5,0)/100,0)+IFERROR(VLOOKUP(C32,▼売上原票!$A:$P,12,0)*VLOOKUP("615-3",▼マッピング!$A:$G,5,0)/100,0)+IFERROR(VLOOKUP(C32,▼売上原票!$A:$P,13,0)*VLOOKUP("615-4",▼マッピング!$A:$G,5,0)/100,0)</f>
        <v/>
      </c>
      <c r="H32" s="11">
        <f>D32+E32+F32+G32</f>
        <v/>
      </c>
      <c r="I32" s="12" t="n">
        <v>430000</v>
      </c>
      <c r="J32" s="12" t="n">
        <v>125000</v>
      </c>
      <c r="K32" s="12" t="n">
        <v>67000</v>
      </c>
      <c r="L32" s="12" t="n">
        <v>385000</v>
      </c>
      <c r="M32" s="12" t="n">
        <v>43000</v>
      </c>
      <c r="N32" s="12" t="n">
        <v>29000</v>
      </c>
      <c r="O32" s="12" t="n">
        <v>85000</v>
      </c>
      <c r="P32" s="13">
        <f>I32+J32+K32+L32+M32+N32+O32</f>
        <v/>
      </c>
      <c r="Q32" s="14">
        <f>H32-P32</f>
        <v/>
      </c>
      <c r="R32" s="15">
        <f>IF(H32&lt;&gt;0,Q32/H32,0)</f>
        <v/>
      </c>
      <c r="S32" s="16">
        <f>IF(R32&gt;=0.25,"◎ 優良",IF(R32&gt;=0.15,"○ 良好",IF(R32&gt;=0.05,"△ 要注意","× 赤字")))</f>
        <v/>
      </c>
      <c r="T32" s="24">
        <f>IF(H31&lt;&gt;0,H32/H31-1,"")</f>
        <v/>
      </c>
    </row>
    <row r="33" ht="22" customHeight="1">
      <c r="A33" s="20" t="inlineStr">
        <is>
          <t>C002</t>
        </is>
      </c>
      <c r="B33" s="21" t="inlineStr">
        <is>
          <t>都営地下鉄案件</t>
        </is>
      </c>
      <c r="C33" s="22" t="inlineStr">
        <is>
          <t>2025-08</t>
        </is>
      </c>
      <c r="D33" s="10">
        <f>IFERROR(VLOOKUP(C33,▼売上原票!$A:$P,3,0)*VLOOKUP("612-1",▼マッピング!$A:$G,5,0)/100,0)</f>
        <v/>
      </c>
      <c r="E33" s="10">
        <f>IFERROR(VLOOKUP(C33,▼売上原票!$A:$P,4,0)*VLOOKUP("612-2",▼マッピング!$A:$G,5,0)/100,0)</f>
        <v/>
      </c>
      <c r="F33" s="10">
        <f>IFERROR(VLOOKUP(C33,▼売上原票!$A:$P,10,0)*VLOOKUP("615-1",▼マッピング!$A:$G,5,0)/100,0)</f>
        <v/>
      </c>
      <c r="G33" s="10">
        <f>IFERROR(VLOOKUP(C33,▼売上原票!$A:$P,5,0)*VLOOKUP("613-1",▼マッピング!$A:$G,5,0)/100,0)+IFERROR(VLOOKUP(C33,▼売上原票!$A:$P,6,0)*VLOOKUP("613-2",▼マッピング!$A:$G,5,0)/100,0)+IFERROR(VLOOKUP(C33,▼売上原票!$A:$P,7,0)*VLOOKUP("614-1",▼マッピング!$A:$G,5,0)/100,0)+IFERROR(VLOOKUP(C33,▼売上原票!$A:$P,8,0)*VLOOKUP("614-2",▼マッピング!$A:$G,5,0)/100,0)+IFERROR(VLOOKUP(C33,▼売上原票!$A:$P,9,0)*VLOOKUP("614-3",▼マッピング!$A:$G,5,0)/100,0)+IFERROR(VLOOKUP(C33,▼売上原票!$A:$P,11,0)*VLOOKUP("615-2",▼マッピング!$A:$G,5,0)/100,0)+IFERROR(VLOOKUP(C33,▼売上原票!$A:$P,12,0)*VLOOKUP("615-3",▼マッピング!$A:$G,5,0)/100,0)+IFERROR(VLOOKUP(C33,▼売上原票!$A:$P,13,0)*VLOOKUP("615-4",▼マッピング!$A:$G,5,0)/100,0)</f>
        <v/>
      </c>
      <c r="H33" s="11">
        <f>D33+E33+F33+G33</f>
        <v/>
      </c>
      <c r="I33" s="12" t="n">
        <v>430000</v>
      </c>
      <c r="J33" s="12" t="n">
        <v>125000</v>
      </c>
      <c r="K33" s="12" t="n">
        <v>67000</v>
      </c>
      <c r="L33" s="12" t="n">
        <v>385000</v>
      </c>
      <c r="M33" s="12" t="n">
        <v>43000</v>
      </c>
      <c r="N33" s="12" t="n">
        <v>29000</v>
      </c>
      <c r="O33" s="12" t="n">
        <v>85000</v>
      </c>
      <c r="P33" s="13">
        <f>I33+J33+K33+L33+M33+N33+O33</f>
        <v/>
      </c>
      <c r="Q33" s="14">
        <f>H33-P33</f>
        <v/>
      </c>
      <c r="R33" s="15">
        <f>IF(H33&lt;&gt;0,Q33/H33,0)</f>
        <v/>
      </c>
      <c r="S33" s="16">
        <f>IF(R33&gt;=0.25,"◎ 優良",IF(R33&gt;=0.15,"○ 良好",IF(R33&gt;=0.05,"△ 要注意","× 赤字")))</f>
        <v/>
      </c>
      <c r="T33" s="24">
        <f>IF(H32&lt;&gt;0,H33/H32-1,"")</f>
        <v/>
      </c>
    </row>
    <row r="34" ht="8" customHeight="1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22" customHeight="1">
      <c r="A35" s="16" t="inlineStr">
        <is>
          <t>C003</t>
        </is>
      </c>
      <c r="B35" s="25" t="inlineStr">
        <is>
          <t>一般事業者案件</t>
        </is>
      </c>
      <c r="C35" s="26" t="inlineStr">
        <is>
          <t>2024-07</t>
        </is>
      </c>
      <c r="D35" s="10">
        <f>IFERROR(VLOOKUP(C35,▼売上原票!$A:$P,3,0)*VLOOKUP("612-1",▼マッピング!$A:$G,6,0)/100,0)</f>
        <v/>
      </c>
      <c r="E35" s="10">
        <f>IFERROR(VLOOKUP(C35,▼売上原票!$A:$P,4,0)*VLOOKUP("612-2",▼マッピング!$A:$G,6,0)/100,0)</f>
        <v/>
      </c>
      <c r="F35" s="10">
        <f>IFERROR(VLOOKUP(C35,▼売上原票!$A:$P,10,0)*VLOOKUP("615-1",▼マッピング!$A:$G,6,0)/100,0)</f>
        <v/>
      </c>
      <c r="G35" s="10">
        <f>IFERROR(VLOOKUP(C35,▼売上原票!$A:$P,5,0)*VLOOKUP("613-1",▼マッピング!$A:$G,6,0)/100,0)+IFERROR(VLOOKUP(C35,▼売上原票!$A:$P,6,0)*VLOOKUP("613-2",▼マッピング!$A:$G,6,0)/100,0)+IFERROR(VLOOKUP(C35,▼売上原票!$A:$P,7,0)*VLOOKUP("614-1",▼マッピング!$A:$G,6,0)/100,0)+IFERROR(VLOOKUP(C35,▼売上原票!$A:$P,8,0)*VLOOKUP("614-2",▼マッピング!$A:$G,6,0)/100,0)+IFERROR(VLOOKUP(C35,▼売上原票!$A:$P,9,0)*VLOOKUP("614-3",▼マッピング!$A:$G,6,0)/100,0)+IFERROR(VLOOKUP(C35,▼売上原票!$A:$P,11,0)*VLOOKUP("615-2",▼マッピング!$A:$G,6,0)/100,0)+IFERROR(VLOOKUP(C35,▼売上原票!$A:$P,12,0)*VLOOKUP("615-3",▼マッピング!$A:$G,6,0)/100,0)+IFERROR(VLOOKUP(C35,▼売上原票!$A:$P,13,0)*VLOOKUP("615-4",▼マッピング!$A:$G,6,0)/100,0)</f>
        <v/>
      </c>
      <c r="H35" s="11">
        <f>D35+E35+F35+G35</f>
        <v/>
      </c>
      <c r="I35" s="12" t="n">
        <v>1360000</v>
      </c>
      <c r="J35" s="12" t="n">
        <v>490000</v>
      </c>
      <c r="K35" s="12" t="n">
        <v>220000</v>
      </c>
      <c r="L35" s="12" t="n">
        <v>1180000</v>
      </c>
      <c r="M35" s="12" t="n">
        <v>165000</v>
      </c>
      <c r="N35" s="12" t="n">
        <v>84000</v>
      </c>
      <c r="O35" s="12" t="n">
        <v>210000</v>
      </c>
      <c r="P35" s="13">
        <f>I35+J35+K35+L35+M35+N35+O35</f>
        <v/>
      </c>
      <c r="Q35" s="14">
        <f>H35-P35</f>
        <v/>
      </c>
      <c r="R35" s="15">
        <f>IF(H35&lt;&gt;0,Q35/H35,0)</f>
        <v/>
      </c>
      <c r="S35" s="16">
        <f>IF(R35&gt;=0.25,"◎ 優良",IF(R35&gt;=0.15,"○ 良好",IF(R35&gt;=0.05,"△ 要注意","× 赤字")))</f>
        <v/>
      </c>
      <c r="T35" s="27" t="inlineStr">
        <is>
          <t>—</t>
        </is>
      </c>
    </row>
    <row r="36" ht="22" customHeight="1">
      <c r="A36" s="16" t="inlineStr">
        <is>
          <t>C003</t>
        </is>
      </c>
      <c r="B36" s="25" t="inlineStr">
        <is>
          <t>一般事業者案件</t>
        </is>
      </c>
      <c r="C36" s="26" t="inlineStr">
        <is>
          <t>2024-08</t>
        </is>
      </c>
      <c r="D36" s="10">
        <f>IFERROR(VLOOKUP(C36,▼売上原票!$A:$P,3,0)*VLOOKUP("612-1",▼マッピング!$A:$G,6,0)/100,0)</f>
        <v/>
      </c>
      <c r="E36" s="10">
        <f>IFERROR(VLOOKUP(C36,▼売上原票!$A:$P,4,0)*VLOOKUP("612-2",▼マッピング!$A:$G,6,0)/100,0)</f>
        <v/>
      </c>
      <c r="F36" s="10">
        <f>IFERROR(VLOOKUP(C36,▼売上原票!$A:$P,10,0)*VLOOKUP("615-1",▼マッピング!$A:$G,6,0)/100,0)</f>
        <v/>
      </c>
      <c r="G36" s="10">
        <f>IFERROR(VLOOKUP(C36,▼売上原票!$A:$P,5,0)*VLOOKUP("613-1",▼マッピング!$A:$G,6,0)/100,0)+IFERROR(VLOOKUP(C36,▼売上原票!$A:$P,6,0)*VLOOKUP("613-2",▼マッピング!$A:$G,6,0)/100,0)+IFERROR(VLOOKUP(C36,▼売上原票!$A:$P,7,0)*VLOOKUP("614-1",▼マッピング!$A:$G,6,0)/100,0)+IFERROR(VLOOKUP(C36,▼売上原票!$A:$P,8,0)*VLOOKUP("614-2",▼マッピング!$A:$G,6,0)/100,0)+IFERROR(VLOOKUP(C36,▼売上原票!$A:$P,9,0)*VLOOKUP("614-3",▼マッピング!$A:$G,6,0)/100,0)+IFERROR(VLOOKUP(C36,▼売上原票!$A:$P,11,0)*VLOOKUP("615-2",▼マッピング!$A:$G,6,0)/100,0)+IFERROR(VLOOKUP(C36,▼売上原票!$A:$P,12,0)*VLOOKUP("615-3",▼マッピング!$A:$G,6,0)/100,0)+IFERROR(VLOOKUP(C36,▼売上原票!$A:$P,13,0)*VLOOKUP("615-4",▼マッピング!$A:$G,6,0)/100,0)</f>
        <v/>
      </c>
      <c r="H36" s="11">
        <f>D36+E36+F36+G36</f>
        <v/>
      </c>
      <c r="I36" s="12" t="n">
        <v>1360000</v>
      </c>
      <c r="J36" s="12" t="n">
        <v>490000</v>
      </c>
      <c r="K36" s="12" t="n">
        <v>220000</v>
      </c>
      <c r="L36" s="12" t="n">
        <v>1180000</v>
      </c>
      <c r="M36" s="12" t="n">
        <v>165000</v>
      </c>
      <c r="N36" s="12" t="n">
        <v>84000</v>
      </c>
      <c r="O36" s="12" t="n">
        <v>210000</v>
      </c>
      <c r="P36" s="13">
        <f>I36+J36+K36+L36+M36+N36+O36</f>
        <v/>
      </c>
      <c r="Q36" s="14">
        <f>H36-P36</f>
        <v/>
      </c>
      <c r="R36" s="15">
        <f>IF(H36&lt;&gt;0,Q36/H36,0)</f>
        <v/>
      </c>
      <c r="S36" s="16">
        <f>IF(R36&gt;=0.25,"◎ 優良",IF(R36&gt;=0.15,"○ 良好",IF(R36&gt;=0.05,"△ 要注意","× 赤字")))</f>
        <v/>
      </c>
      <c r="T36" s="28">
        <f>IF(H35&lt;&gt;0,H36/H35-1,"")</f>
        <v/>
      </c>
    </row>
    <row r="37" ht="22" customHeight="1">
      <c r="A37" s="16" t="inlineStr">
        <is>
          <t>C003</t>
        </is>
      </c>
      <c r="B37" s="25" t="inlineStr">
        <is>
          <t>一般事業者案件</t>
        </is>
      </c>
      <c r="C37" s="26" t="inlineStr">
        <is>
          <t>2024-09</t>
        </is>
      </c>
      <c r="D37" s="10">
        <f>IFERROR(VLOOKUP(C37,▼売上原票!$A:$P,3,0)*VLOOKUP("612-1",▼マッピング!$A:$G,6,0)/100,0)</f>
        <v/>
      </c>
      <c r="E37" s="10">
        <f>IFERROR(VLOOKUP(C37,▼売上原票!$A:$P,4,0)*VLOOKUP("612-2",▼マッピング!$A:$G,6,0)/100,0)</f>
        <v/>
      </c>
      <c r="F37" s="10">
        <f>IFERROR(VLOOKUP(C37,▼売上原票!$A:$P,10,0)*VLOOKUP("615-1",▼マッピング!$A:$G,6,0)/100,0)</f>
        <v/>
      </c>
      <c r="G37" s="10">
        <f>IFERROR(VLOOKUP(C37,▼売上原票!$A:$P,5,0)*VLOOKUP("613-1",▼マッピング!$A:$G,6,0)/100,0)+IFERROR(VLOOKUP(C37,▼売上原票!$A:$P,6,0)*VLOOKUP("613-2",▼マッピング!$A:$G,6,0)/100,0)+IFERROR(VLOOKUP(C37,▼売上原票!$A:$P,7,0)*VLOOKUP("614-1",▼マッピング!$A:$G,6,0)/100,0)+IFERROR(VLOOKUP(C37,▼売上原票!$A:$P,8,0)*VLOOKUP("614-2",▼マッピング!$A:$G,6,0)/100,0)+IFERROR(VLOOKUP(C37,▼売上原票!$A:$P,9,0)*VLOOKUP("614-3",▼マッピング!$A:$G,6,0)/100,0)+IFERROR(VLOOKUP(C37,▼売上原票!$A:$P,11,0)*VLOOKUP("615-2",▼マッピング!$A:$G,6,0)/100,0)+IFERROR(VLOOKUP(C37,▼売上原票!$A:$P,12,0)*VLOOKUP("615-3",▼マッピング!$A:$G,6,0)/100,0)+IFERROR(VLOOKUP(C37,▼売上原票!$A:$P,13,0)*VLOOKUP("615-4",▼マッピング!$A:$G,6,0)/100,0)</f>
        <v/>
      </c>
      <c r="H37" s="11">
        <f>D37+E37+F37+G37</f>
        <v/>
      </c>
      <c r="I37" s="12" t="n">
        <v>1360000</v>
      </c>
      <c r="J37" s="12" t="n">
        <v>490000</v>
      </c>
      <c r="K37" s="12" t="n">
        <v>220000</v>
      </c>
      <c r="L37" s="12" t="n">
        <v>1180000</v>
      </c>
      <c r="M37" s="12" t="n">
        <v>165000</v>
      </c>
      <c r="N37" s="12" t="n">
        <v>84000</v>
      </c>
      <c r="O37" s="12" t="n">
        <v>210000</v>
      </c>
      <c r="P37" s="13">
        <f>I37+J37+K37+L37+M37+N37+O37</f>
        <v/>
      </c>
      <c r="Q37" s="14">
        <f>H37-P37</f>
        <v/>
      </c>
      <c r="R37" s="15">
        <f>IF(H37&lt;&gt;0,Q37/H37,0)</f>
        <v/>
      </c>
      <c r="S37" s="16">
        <f>IF(R37&gt;=0.25,"◎ 優良",IF(R37&gt;=0.15,"○ 良好",IF(R37&gt;=0.05,"△ 要注意","× 赤字")))</f>
        <v/>
      </c>
      <c r="T37" s="28">
        <f>IF(H36&lt;&gt;0,H37/H36-1,"")</f>
        <v/>
      </c>
    </row>
    <row r="38" ht="22" customHeight="1">
      <c r="A38" s="16" t="inlineStr">
        <is>
          <t>C003</t>
        </is>
      </c>
      <c r="B38" s="25" t="inlineStr">
        <is>
          <t>一般事業者案件</t>
        </is>
      </c>
      <c r="C38" s="26" t="inlineStr">
        <is>
          <t>2024-10</t>
        </is>
      </c>
      <c r="D38" s="10">
        <f>IFERROR(VLOOKUP(C38,▼売上原票!$A:$P,3,0)*VLOOKUP("612-1",▼マッピング!$A:$G,6,0)/100,0)</f>
        <v/>
      </c>
      <c r="E38" s="10">
        <f>IFERROR(VLOOKUP(C38,▼売上原票!$A:$P,4,0)*VLOOKUP("612-2",▼マッピング!$A:$G,6,0)/100,0)</f>
        <v/>
      </c>
      <c r="F38" s="10">
        <f>IFERROR(VLOOKUP(C38,▼売上原票!$A:$P,10,0)*VLOOKUP("615-1",▼マッピング!$A:$G,6,0)/100,0)</f>
        <v/>
      </c>
      <c r="G38" s="10">
        <f>IFERROR(VLOOKUP(C38,▼売上原票!$A:$P,5,0)*VLOOKUP("613-1",▼マッピング!$A:$G,6,0)/100,0)+IFERROR(VLOOKUP(C38,▼売上原票!$A:$P,6,0)*VLOOKUP("613-2",▼マッピング!$A:$G,6,0)/100,0)+IFERROR(VLOOKUP(C38,▼売上原票!$A:$P,7,0)*VLOOKUP("614-1",▼マッピング!$A:$G,6,0)/100,0)+IFERROR(VLOOKUP(C38,▼売上原票!$A:$P,8,0)*VLOOKUP("614-2",▼マッピング!$A:$G,6,0)/100,0)+IFERROR(VLOOKUP(C38,▼売上原票!$A:$P,9,0)*VLOOKUP("614-3",▼マッピング!$A:$G,6,0)/100,0)+IFERROR(VLOOKUP(C38,▼売上原票!$A:$P,11,0)*VLOOKUP("615-2",▼マッピング!$A:$G,6,0)/100,0)+IFERROR(VLOOKUP(C38,▼売上原票!$A:$P,12,0)*VLOOKUP("615-3",▼マッピング!$A:$G,6,0)/100,0)+IFERROR(VLOOKUP(C38,▼売上原票!$A:$P,13,0)*VLOOKUP("615-4",▼マッピング!$A:$G,6,0)/100,0)</f>
        <v/>
      </c>
      <c r="H38" s="11">
        <f>D38+E38+F38+G38</f>
        <v/>
      </c>
      <c r="I38" s="12" t="n">
        <v>1360000</v>
      </c>
      <c r="J38" s="12" t="n">
        <v>490000</v>
      </c>
      <c r="K38" s="12" t="n">
        <v>220000</v>
      </c>
      <c r="L38" s="12" t="n">
        <v>1180000</v>
      </c>
      <c r="M38" s="12" t="n">
        <v>165000</v>
      </c>
      <c r="N38" s="12" t="n">
        <v>84000</v>
      </c>
      <c r="O38" s="12" t="n">
        <v>210000</v>
      </c>
      <c r="P38" s="13">
        <f>I38+J38+K38+L38+M38+N38+O38</f>
        <v/>
      </c>
      <c r="Q38" s="14">
        <f>H38-P38</f>
        <v/>
      </c>
      <c r="R38" s="15">
        <f>IF(H38&lt;&gt;0,Q38/H38,0)</f>
        <v/>
      </c>
      <c r="S38" s="16">
        <f>IF(R38&gt;=0.25,"◎ 優良",IF(R38&gt;=0.15,"○ 良好",IF(R38&gt;=0.05,"△ 要注意","× 赤字")))</f>
        <v/>
      </c>
      <c r="T38" s="28">
        <f>IF(H37&lt;&gt;0,H38/H37-1,"")</f>
        <v/>
      </c>
    </row>
    <row r="39" ht="22" customHeight="1">
      <c r="A39" s="16" t="inlineStr">
        <is>
          <t>C003</t>
        </is>
      </c>
      <c r="B39" s="25" t="inlineStr">
        <is>
          <t>一般事業者案件</t>
        </is>
      </c>
      <c r="C39" s="26" t="inlineStr">
        <is>
          <t>2024-11</t>
        </is>
      </c>
      <c r="D39" s="10">
        <f>IFERROR(VLOOKUP(C39,▼売上原票!$A:$P,3,0)*VLOOKUP("612-1",▼マッピング!$A:$G,6,0)/100,0)</f>
        <v/>
      </c>
      <c r="E39" s="10">
        <f>IFERROR(VLOOKUP(C39,▼売上原票!$A:$P,4,0)*VLOOKUP("612-2",▼マッピング!$A:$G,6,0)/100,0)</f>
        <v/>
      </c>
      <c r="F39" s="10">
        <f>IFERROR(VLOOKUP(C39,▼売上原票!$A:$P,10,0)*VLOOKUP("615-1",▼マッピング!$A:$G,6,0)/100,0)</f>
        <v/>
      </c>
      <c r="G39" s="10">
        <f>IFERROR(VLOOKUP(C39,▼売上原票!$A:$P,5,0)*VLOOKUP("613-1",▼マッピング!$A:$G,6,0)/100,0)+IFERROR(VLOOKUP(C39,▼売上原票!$A:$P,6,0)*VLOOKUP("613-2",▼マッピング!$A:$G,6,0)/100,0)+IFERROR(VLOOKUP(C39,▼売上原票!$A:$P,7,0)*VLOOKUP("614-1",▼マッピング!$A:$G,6,0)/100,0)+IFERROR(VLOOKUP(C39,▼売上原票!$A:$P,8,0)*VLOOKUP("614-2",▼マッピング!$A:$G,6,0)/100,0)+IFERROR(VLOOKUP(C39,▼売上原票!$A:$P,9,0)*VLOOKUP("614-3",▼マッピング!$A:$G,6,0)/100,0)+IFERROR(VLOOKUP(C39,▼売上原票!$A:$P,11,0)*VLOOKUP("615-2",▼マッピング!$A:$G,6,0)/100,0)+IFERROR(VLOOKUP(C39,▼売上原票!$A:$P,12,0)*VLOOKUP("615-3",▼マッピング!$A:$G,6,0)/100,0)+IFERROR(VLOOKUP(C39,▼売上原票!$A:$P,13,0)*VLOOKUP("615-4",▼マッピング!$A:$G,6,0)/100,0)</f>
        <v/>
      </c>
      <c r="H39" s="11">
        <f>D39+E39+F39+G39</f>
        <v/>
      </c>
      <c r="I39" s="12" t="n">
        <v>1360000</v>
      </c>
      <c r="J39" s="12" t="n">
        <v>490000</v>
      </c>
      <c r="K39" s="12" t="n">
        <v>220000</v>
      </c>
      <c r="L39" s="12" t="n">
        <v>1180000</v>
      </c>
      <c r="M39" s="12" t="n">
        <v>165000</v>
      </c>
      <c r="N39" s="12" t="n">
        <v>84000</v>
      </c>
      <c r="O39" s="12" t="n">
        <v>210000</v>
      </c>
      <c r="P39" s="13">
        <f>I39+J39+K39+L39+M39+N39+O39</f>
        <v/>
      </c>
      <c r="Q39" s="14">
        <f>H39-P39</f>
        <v/>
      </c>
      <c r="R39" s="15">
        <f>IF(H39&lt;&gt;0,Q39/H39,0)</f>
        <v/>
      </c>
      <c r="S39" s="16">
        <f>IF(R39&gt;=0.25,"◎ 優良",IF(R39&gt;=0.15,"○ 良好",IF(R39&gt;=0.05,"△ 要注意","× 赤字")))</f>
        <v/>
      </c>
      <c r="T39" s="28">
        <f>IF(H38&lt;&gt;0,H39/H38-1,"")</f>
        <v/>
      </c>
    </row>
    <row r="40" ht="22" customHeight="1">
      <c r="A40" s="16" t="inlineStr">
        <is>
          <t>C003</t>
        </is>
      </c>
      <c r="B40" s="25" t="inlineStr">
        <is>
          <t>一般事業者案件</t>
        </is>
      </c>
      <c r="C40" s="26" t="inlineStr">
        <is>
          <t>2024-12</t>
        </is>
      </c>
      <c r="D40" s="10">
        <f>IFERROR(VLOOKUP(C40,▼売上原票!$A:$P,3,0)*VLOOKUP("612-1",▼マッピング!$A:$G,6,0)/100,0)</f>
        <v/>
      </c>
      <c r="E40" s="10">
        <f>IFERROR(VLOOKUP(C40,▼売上原票!$A:$P,4,0)*VLOOKUP("612-2",▼マッピング!$A:$G,6,0)/100,0)</f>
        <v/>
      </c>
      <c r="F40" s="10">
        <f>IFERROR(VLOOKUP(C40,▼売上原票!$A:$P,10,0)*VLOOKUP("615-1",▼マッピング!$A:$G,6,0)/100,0)</f>
        <v/>
      </c>
      <c r="G40" s="10">
        <f>IFERROR(VLOOKUP(C40,▼売上原票!$A:$P,5,0)*VLOOKUP("613-1",▼マッピング!$A:$G,6,0)/100,0)+IFERROR(VLOOKUP(C40,▼売上原票!$A:$P,6,0)*VLOOKUP("613-2",▼マッピング!$A:$G,6,0)/100,0)+IFERROR(VLOOKUP(C40,▼売上原票!$A:$P,7,0)*VLOOKUP("614-1",▼マッピング!$A:$G,6,0)/100,0)+IFERROR(VLOOKUP(C40,▼売上原票!$A:$P,8,0)*VLOOKUP("614-2",▼マッピング!$A:$G,6,0)/100,0)+IFERROR(VLOOKUP(C40,▼売上原票!$A:$P,9,0)*VLOOKUP("614-3",▼マッピング!$A:$G,6,0)/100,0)+IFERROR(VLOOKUP(C40,▼売上原票!$A:$P,11,0)*VLOOKUP("615-2",▼マッピング!$A:$G,6,0)/100,0)+IFERROR(VLOOKUP(C40,▼売上原票!$A:$P,12,0)*VLOOKUP("615-3",▼マッピング!$A:$G,6,0)/100,0)+IFERROR(VLOOKUP(C40,▼売上原票!$A:$P,13,0)*VLOOKUP("615-4",▼マッピング!$A:$G,6,0)/100,0)</f>
        <v/>
      </c>
      <c r="H40" s="11">
        <f>D40+E40+F40+G40</f>
        <v/>
      </c>
      <c r="I40" s="12" t="n">
        <v>1360000</v>
      </c>
      <c r="J40" s="12" t="n">
        <v>490000</v>
      </c>
      <c r="K40" s="12" t="n">
        <v>220000</v>
      </c>
      <c r="L40" s="12" t="n">
        <v>1180000</v>
      </c>
      <c r="M40" s="12" t="n">
        <v>165000</v>
      </c>
      <c r="N40" s="12" t="n">
        <v>84000</v>
      </c>
      <c r="O40" s="12" t="n">
        <v>210000</v>
      </c>
      <c r="P40" s="13">
        <f>I40+J40+K40+L40+M40+N40+O40</f>
        <v/>
      </c>
      <c r="Q40" s="14">
        <f>H40-P40</f>
        <v/>
      </c>
      <c r="R40" s="15">
        <f>IF(H40&lt;&gt;0,Q40/H40,0)</f>
        <v/>
      </c>
      <c r="S40" s="16">
        <f>IF(R40&gt;=0.25,"◎ 優良",IF(R40&gt;=0.15,"○ 良好",IF(R40&gt;=0.05,"△ 要注意","× 赤字")))</f>
        <v/>
      </c>
      <c r="T40" s="28">
        <f>IF(H39&lt;&gt;0,H40/H39-1,"")</f>
        <v/>
      </c>
    </row>
    <row r="41" ht="22" customHeight="1">
      <c r="A41" s="16" t="inlineStr">
        <is>
          <t>C003</t>
        </is>
      </c>
      <c r="B41" s="25" t="inlineStr">
        <is>
          <t>一般事業者案件</t>
        </is>
      </c>
      <c r="C41" s="26" t="inlineStr">
        <is>
          <t>2025-01</t>
        </is>
      </c>
      <c r="D41" s="10">
        <f>IFERROR(VLOOKUP(C41,▼売上原票!$A:$P,3,0)*VLOOKUP("612-1",▼マッピング!$A:$G,6,0)/100,0)</f>
        <v/>
      </c>
      <c r="E41" s="10">
        <f>IFERROR(VLOOKUP(C41,▼売上原票!$A:$P,4,0)*VLOOKUP("612-2",▼マッピング!$A:$G,6,0)/100,0)</f>
        <v/>
      </c>
      <c r="F41" s="10">
        <f>IFERROR(VLOOKUP(C41,▼売上原票!$A:$P,10,0)*VLOOKUP("615-1",▼マッピング!$A:$G,6,0)/100,0)</f>
        <v/>
      </c>
      <c r="G41" s="10">
        <f>IFERROR(VLOOKUP(C41,▼売上原票!$A:$P,5,0)*VLOOKUP("613-1",▼マッピング!$A:$G,6,0)/100,0)+IFERROR(VLOOKUP(C41,▼売上原票!$A:$P,6,0)*VLOOKUP("613-2",▼マッピング!$A:$G,6,0)/100,0)+IFERROR(VLOOKUP(C41,▼売上原票!$A:$P,7,0)*VLOOKUP("614-1",▼マッピング!$A:$G,6,0)/100,0)+IFERROR(VLOOKUP(C41,▼売上原票!$A:$P,8,0)*VLOOKUP("614-2",▼マッピング!$A:$G,6,0)/100,0)+IFERROR(VLOOKUP(C41,▼売上原票!$A:$P,9,0)*VLOOKUP("614-3",▼マッピング!$A:$G,6,0)/100,0)+IFERROR(VLOOKUP(C41,▼売上原票!$A:$P,11,0)*VLOOKUP("615-2",▼マッピング!$A:$G,6,0)/100,0)+IFERROR(VLOOKUP(C41,▼売上原票!$A:$P,12,0)*VLOOKUP("615-3",▼マッピング!$A:$G,6,0)/100,0)+IFERROR(VLOOKUP(C41,▼売上原票!$A:$P,13,0)*VLOOKUP("615-4",▼マッピング!$A:$G,6,0)/100,0)</f>
        <v/>
      </c>
      <c r="H41" s="11">
        <f>D41+E41+F41+G41</f>
        <v/>
      </c>
      <c r="I41" s="12" t="n">
        <v>1360000</v>
      </c>
      <c r="J41" s="12" t="n">
        <v>490000</v>
      </c>
      <c r="K41" s="12" t="n">
        <v>220000</v>
      </c>
      <c r="L41" s="12" t="n">
        <v>1180000</v>
      </c>
      <c r="M41" s="12" t="n">
        <v>165000</v>
      </c>
      <c r="N41" s="12" t="n">
        <v>84000</v>
      </c>
      <c r="O41" s="12" t="n">
        <v>210000</v>
      </c>
      <c r="P41" s="13">
        <f>I41+J41+K41+L41+M41+N41+O41</f>
        <v/>
      </c>
      <c r="Q41" s="14">
        <f>H41-P41</f>
        <v/>
      </c>
      <c r="R41" s="15">
        <f>IF(H41&lt;&gt;0,Q41/H41,0)</f>
        <v/>
      </c>
      <c r="S41" s="16">
        <f>IF(R41&gt;=0.25,"◎ 優良",IF(R41&gt;=0.15,"○ 良好",IF(R41&gt;=0.05,"△ 要注意","× 赤字")))</f>
        <v/>
      </c>
      <c r="T41" s="28">
        <f>IF(H40&lt;&gt;0,H41/H40-1,"")</f>
        <v/>
      </c>
    </row>
    <row r="42" ht="22" customHeight="1">
      <c r="A42" s="16" t="inlineStr">
        <is>
          <t>C003</t>
        </is>
      </c>
      <c r="B42" s="25" t="inlineStr">
        <is>
          <t>一般事業者案件</t>
        </is>
      </c>
      <c r="C42" s="26" t="inlineStr">
        <is>
          <t>2025-02</t>
        </is>
      </c>
      <c r="D42" s="10">
        <f>IFERROR(VLOOKUP(C42,▼売上原票!$A:$P,3,0)*VLOOKUP("612-1",▼マッピング!$A:$G,6,0)/100,0)</f>
        <v/>
      </c>
      <c r="E42" s="10">
        <f>IFERROR(VLOOKUP(C42,▼売上原票!$A:$P,4,0)*VLOOKUP("612-2",▼マッピング!$A:$G,6,0)/100,0)</f>
        <v/>
      </c>
      <c r="F42" s="10">
        <f>IFERROR(VLOOKUP(C42,▼売上原票!$A:$P,10,0)*VLOOKUP("615-1",▼マッピング!$A:$G,6,0)/100,0)</f>
        <v/>
      </c>
      <c r="G42" s="10">
        <f>IFERROR(VLOOKUP(C42,▼売上原票!$A:$P,5,0)*VLOOKUP("613-1",▼マッピング!$A:$G,6,0)/100,0)+IFERROR(VLOOKUP(C42,▼売上原票!$A:$P,6,0)*VLOOKUP("613-2",▼マッピング!$A:$G,6,0)/100,0)+IFERROR(VLOOKUP(C42,▼売上原票!$A:$P,7,0)*VLOOKUP("614-1",▼マッピング!$A:$G,6,0)/100,0)+IFERROR(VLOOKUP(C42,▼売上原票!$A:$P,8,0)*VLOOKUP("614-2",▼マッピング!$A:$G,6,0)/100,0)+IFERROR(VLOOKUP(C42,▼売上原票!$A:$P,9,0)*VLOOKUP("614-3",▼マッピング!$A:$G,6,0)/100,0)+IFERROR(VLOOKUP(C42,▼売上原票!$A:$P,11,0)*VLOOKUP("615-2",▼マッピング!$A:$G,6,0)/100,0)+IFERROR(VLOOKUP(C42,▼売上原票!$A:$P,12,0)*VLOOKUP("615-3",▼マッピング!$A:$G,6,0)/100,0)+IFERROR(VLOOKUP(C42,▼売上原票!$A:$P,13,0)*VLOOKUP("615-4",▼マッピング!$A:$G,6,0)/100,0)</f>
        <v/>
      </c>
      <c r="H42" s="11">
        <f>D42+E42+F42+G42</f>
        <v/>
      </c>
      <c r="I42" s="12" t="n">
        <v>1360000</v>
      </c>
      <c r="J42" s="12" t="n">
        <v>490000</v>
      </c>
      <c r="K42" s="12" t="n">
        <v>220000</v>
      </c>
      <c r="L42" s="12" t="n">
        <v>1180000</v>
      </c>
      <c r="M42" s="12" t="n">
        <v>165000</v>
      </c>
      <c r="N42" s="12" t="n">
        <v>84000</v>
      </c>
      <c r="O42" s="12" t="n">
        <v>210000</v>
      </c>
      <c r="P42" s="13">
        <f>I42+J42+K42+L42+M42+N42+O42</f>
        <v/>
      </c>
      <c r="Q42" s="14">
        <f>H42-P42</f>
        <v/>
      </c>
      <c r="R42" s="15">
        <f>IF(H42&lt;&gt;0,Q42/H42,0)</f>
        <v/>
      </c>
      <c r="S42" s="16">
        <f>IF(R42&gt;=0.25,"◎ 優良",IF(R42&gt;=0.15,"○ 良好",IF(R42&gt;=0.05,"△ 要注意","× 赤字")))</f>
        <v/>
      </c>
      <c r="T42" s="28">
        <f>IF(H41&lt;&gt;0,H42/H41-1,"")</f>
        <v/>
      </c>
    </row>
    <row r="43" ht="22" customHeight="1">
      <c r="A43" s="16" t="inlineStr">
        <is>
          <t>C003</t>
        </is>
      </c>
      <c r="B43" s="25" t="inlineStr">
        <is>
          <t>一般事業者案件</t>
        </is>
      </c>
      <c r="C43" s="26" t="inlineStr">
        <is>
          <t>2025-03</t>
        </is>
      </c>
      <c r="D43" s="10">
        <f>IFERROR(VLOOKUP(C43,▼売上原票!$A:$P,3,0)*VLOOKUP("612-1",▼マッピング!$A:$G,6,0)/100,0)</f>
        <v/>
      </c>
      <c r="E43" s="10">
        <f>IFERROR(VLOOKUP(C43,▼売上原票!$A:$P,4,0)*VLOOKUP("612-2",▼マッピング!$A:$G,6,0)/100,0)</f>
        <v/>
      </c>
      <c r="F43" s="10">
        <f>IFERROR(VLOOKUP(C43,▼売上原票!$A:$P,10,0)*VLOOKUP("615-1",▼マッピング!$A:$G,6,0)/100,0)</f>
        <v/>
      </c>
      <c r="G43" s="10">
        <f>IFERROR(VLOOKUP(C43,▼売上原票!$A:$P,5,0)*VLOOKUP("613-1",▼マッピング!$A:$G,6,0)/100,0)+IFERROR(VLOOKUP(C43,▼売上原票!$A:$P,6,0)*VLOOKUP("613-2",▼マッピング!$A:$G,6,0)/100,0)+IFERROR(VLOOKUP(C43,▼売上原票!$A:$P,7,0)*VLOOKUP("614-1",▼マッピング!$A:$G,6,0)/100,0)+IFERROR(VLOOKUP(C43,▼売上原票!$A:$P,8,0)*VLOOKUP("614-2",▼マッピング!$A:$G,6,0)/100,0)+IFERROR(VLOOKUP(C43,▼売上原票!$A:$P,9,0)*VLOOKUP("614-3",▼マッピング!$A:$G,6,0)/100,0)+IFERROR(VLOOKUP(C43,▼売上原票!$A:$P,11,0)*VLOOKUP("615-2",▼マッピング!$A:$G,6,0)/100,0)+IFERROR(VLOOKUP(C43,▼売上原票!$A:$P,12,0)*VLOOKUP("615-3",▼マッピング!$A:$G,6,0)/100,0)+IFERROR(VLOOKUP(C43,▼売上原票!$A:$P,13,0)*VLOOKUP("615-4",▼マッピング!$A:$G,6,0)/100,0)</f>
        <v/>
      </c>
      <c r="H43" s="11">
        <f>D43+E43+F43+G43</f>
        <v/>
      </c>
      <c r="I43" s="12" t="n">
        <v>1360000</v>
      </c>
      <c r="J43" s="12" t="n">
        <v>490000</v>
      </c>
      <c r="K43" s="12" t="n">
        <v>220000</v>
      </c>
      <c r="L43" s="12" t="n">
        <v>1180000</v>
      </c>
      <c r="M43" s="12" t="n">
        <v>165000</v>
      </c>
      <c r="N43" s="12" t="n">
        <v>84000</v>
      </c>
      <c r="O43" s="12" t="n">
        <v>210000</v>
      </c>
      <c r="P43" s="13">
        <f>I43+J43+K43+L43+M43+N43+O43</f>
        <v/>
      </c>
      <c r="Q43" s="14">
        <f>H43-P43</f>
        <v/>
      </c>
      <c r="R43" s="15">
        <f>IF(H43&lt;&gt;0,Q43/H43,0)</f>
        <v/>
      </c>
      <c r="S43" s="16">
        <f>IF(R43&gt;=0.25,"◎ 優良",IF(R43&gt;=0.15,"○ 良好",IF(R43&gt;=0.05,"△ 要注意","× 赤字")))</f>
        <v/>
      </c>
      <c r="T43" s="28">
        <f>IF(H42&lt;&gt;0,H43/H42-1,"")</f>
        <v/>
      </c>
    </row>
    <row r="44" ht="22" customHeight="1">
      <c r="A44" s="16" t="inlineStr">
        <is>
          <t>C003</t>
        </is>
      </c>
      <c r="B44" s="25" t="inlineStr">
        <is>
          <t>一般事業者案件</t>
        </is>
      </c>
      <c r="C44" s="26" t="inlineStr">
        <is>
          <t>2025-04</t>
        </is>
      </c>
      <c r="D44" s="10">
        <f>IFERROR(VLOOKUP(C44,▼売上原票!$A:$P,3,0)*VLOOKUP("612-1",▼マッピング!$A:$G,6,0)/100,0)</f>
        <v/>
      </c>
      <c r="E44" s="10">
        <f>IFERROR(VLOOKUP(C44,▼売上原票!$A:$P,4,0)*VLOOKUP("612-2",▼マッピング!$A:$G,6,0)/100,0)</f>
        <v/>
      </c>
      <c r="F44" s="10">
        <f>IFERROR(VLOOKUP(C44,▼売上原票!$A:$P,10,0)*VLOOKUP("615-1",▼マッピング!$A:$G,6,0)/100,0)</f>
        <v/>
      </c>
      <c r="G44" s="10">
        <f>IFERROR(VLOOKUP(C44,▼売上原票!$A:$P,5,0)*VLOOKUP("613-1",▼マッピング!$A:$G,6,0)/100,0)+IFERROR(VLOOKUP(C44,▼売上原票!$A:$P,6,0)*VLOOKUP("613-2",▼マッピング!$A:$G,6,0)/100,0)+IFERROR(VLOOKUP(C44,▼売上原票!$A:$P,7,0)*VLOOKUP("614-1",▼マッピング!$A:$G,6,0)/100,0)+IFERROR(VLOOKUP(C44,▼売上原票!$A:$P,8,0)*VLOOKUP("614-2",▼マッピング!$A:$G,6,0)/100,0)+IFERROR(VLOOKUP(C44,▼売上原票!$A:$P,9,0)*VLOOKUP("614-3",▼マッピング!$A:$G,6,0)/100,0)+IFERROR(VLOOKUP(C44,▼売上原票!$A:$P,11,0)*VLOOKUP("615-2",▼マッピング!$A:$G,6,0)/100,0)+IFERROR(VLOOKUP(C44,▼売上原票!$A:$P,12,0)*VLOOKUP("615-3",▼マッピング!$A:$G,6,0)/100,0)+IFERROR(VLOOKUP(C44,▼売上原票!$A:$P,13,0)*VLOOKUP("615-4",▼マッピング!$A:$G,6,0)/100,0)</f>
        <v/>
      </c>
      <c r="H44" s="11">
        <f>D44+E44+F44+G44</f>
        <v/>
      </c>
      <c r="I44" s="12" t="n">
        <v>1360000</v>
      </c>
      <c r="J44" s="12" t="n">
        <v>490000</v>
      </c>
      <c r="K44" s="12" t="n">
        <v>220000</v>
      </c>
      <c r="L44" s="12" t="n">
        <v>1180000</v>
      </c>
      <c r="M44" s="12" t="n">
        <v>165000</v>
      </c>
      <c r="N44" s="12" t="n">
        <v>84000</v>
      </c>
      <c r="O44" s="12" t="n">
        <v>210000</v>
      </c>
      <c r="P44" s="13">
        <f>I44+J44+K44+L44+M44+N44+O44</f>
        <v/>
      </c>
      <c r="Q44" s="14">
        <f>H44-P44</f>
        <v/>
      </c>
      <c r="R44" s="15">
        <f>IF(H44&lt;&gt;0,Q44/H44,0)</f>
        <v/>
      </c>
      <c r="S44" s="16">
        <f>IF(R44&gt;=0.25,"◎ 優良",IF(R44&gt;=0.15,"○ 良好",IF(R44&gt;=0.05,"△ 要注意","× 赤字")))</f>
        <v/>
      </c>
      <c r="T44" s="28">
        <f>IF(H43&lt;&gt;0,H44/H43-1,"")</f>
        <v/>
      </c>
    </row>
    <row r="45" ht="22" customHeight="1">
      <c r="A45" s="16" t="inlineStr">
        <is>
          <t>C003</t>
        </is>
      </c>
      <c r="B45" s="25" t="inlineStr">
        <is>
          <t>一般事業者案件</t>
        </is>
      </c>
      <c r="C45" s="26" t="inlineStr">
        <is>
          <t>2025-05</t>
        </is>
      </c>
      <c r="D45" s="10">
        <f>IFERROR(VLOOKUP(C45,▼売上原票!$A:$P,3,0)*VLOOKUP("612-1",▼マッピング!$A:$G,6,0)/100,0)</f>
        <v/>
      </c>
      <c r="E45" s="10">
        <f>IFERROR(VLOOKUP(C45,▼売上原票!$A:$P,4,0)*VLOOKUP("612-2",▼マッピング!$A:$G,6,0)/100,0)</f>
        <v/>
      </c>
      <c r="F45" s="10">
        <f>IFERROR(VLOOKUP(C45,▼売上原票!$A:$P,10,0)*VLOOKUP("615-1",▼マッピング!$A:$G,6,0)/100,0)</f>
        <v/>
      </c>
      <c r="G45" s="10">
        <f>IFERROR(VLOOKUP(C45,▼売上原票!$A:$P,5,0)*VLOOKUP("613-1",▼マッピング!$A:$G,6,0)/100,0)+IFERROR(VLOOKUP(C45,▼売上原票!$A:$P,6,0)*VLOOKUP("613-2",▼マッピング!$A:$G,6,0)/100,0)+IFERROR(VLOOKUP(C45,▼売上原票!$A:$P,7,0)*VLOOKUP("614-1",▼マッピング!$A:$G,6,0)/100,0)+IFERROR(VLOOKUP(C45,▼売上原票!$A:$P,8,0)*VLOOKUP("614-2",▼マッピング!$A:$G,6,0)/100,0)+IFERROR(VLOOKUP(C45,▼売上原票!$A:$P,9,0)*VLOOKUP("614-3",▼マッピング!$A:$G,6,0)/100,0)+IFERROR(VLOOKUP(C45,▼売上原票!$A:$P,11,0)*VLOOKUP("615-2",▼マッピング!$A:$G,6,0)/100,0)+IFERROR(VLOOKUP(C45,▼売上原票!$A:$P,12,0)*VLOOKUP("615-3",▼マッピング!$A:$G,6,0)/100,0)+IFERROR(VLOOKUP(C45,▼売上原票!$A:$P,13,0)*VLOOKUP("615-4",▼マッピング!$A:$G,6,0)/100,0)</f>
        <v/>
      </c>
      <c r="H45" s="11">
        <f>D45+E45+F45+G45</f>
        <v/>
      </c>
      <c r="I45" s="12" t="n">
        <v>1360000</v>
      </c>
      <c r="J45" s="12" t="n">
        <v>490000</v>
      </c>
      <c r="K45" s="12" t="n">
        <v>220000</v>
      </c>
      <c r="L45" s="12" t="n">
        <v>1180000</v>
      </c>
      <c r="M45" s="12" t="n">
        <v>165000</v>
      </c>
      <c r="N45" s="12" t="n">
        <v>84000</v>
      </c>
      <c r="O45" s="12" t="n">
        <v>210000</v>
      </c>
      <c r="P45" s="13">
        <f>I45+J45+K45+L45+M45+N45+O45</f>
        <v/>
      </c>
      <c r="Q45" s="14">
        <f>H45-P45</f>
        <v/>
      </c>
      <c r="R45" s="15">
        <f>IF(H45&lt;&gt;0,Q45/H45,0)</f>
        <v/>
      </c>
      <c r="S45" s="16">
        <f>IF(R45&gt;=0.25,"◎ 優良",IF(R45&gt;=0.15,"○ 良好",IF(R45&gt;=0.05,"△ 要注意","× 赤字")))</f>
        <v/>
      </c>
      <c r="T45" s="28">
        <f>IF(H44&lt;&gt;0,H45/H44-1,"")</f>
        <v/>
      </c>
    </row>
    <row r="46" ht="22" customHeight="1">
      <c r="A46" s="16" t="inlineStr">
        <is>
          <t>C003</t>
        </is>
      </c>
      <c r="B46" s="25" t="inlineStr">
        <is>
          <t>一般事業者案件</t>
        </is>
      </c>
      <c r="C46" s="26" t="inlineStr">
        <is>
          <t>2025-06</t>
        </is>
      </c>
      <c r="D46" s="10">
        <f>IFERROR(VLOOKUP(C46,▼売上原票!$A:$P,3,0)*VLOOKUP("612-1",▼マッピング!$A:$G,6,0)/100,0)</f>
        <v/>
      </c>
      <c r="E46" s="10">
        <f>IFERROR(VLOOKUP(C46,▼売上原票!$A:$P,4,0)*VLOOKUP("612-2",▼マッピング!$A:$G,6,0)/100,0)</f>
        <v/>
      </c>
      <c r="F46" s="10">
        <f>IFERROR(VLOOKUP(C46,▼売上原票!$A:$P,10,0)*VLOOKUP("615-1",▼マッピング!$A:$G,6,0)/100,0)</f>
        <v/>
      </c>
      <c r="G46" s="10">
        <f>IFERROR(VLOOKUP(C46,▼売上原票!$A:$P,5,0)*VLOOKUP("613-1",▼マッピング!$A:$G,6,0)/100,0)+IFERROR(VLOOKUP(C46,▼売上原票!$A:$P,6,0)*VLOOKUP("613-2",▼マッピング!$A:$G,6,0)/100,0)+IFERROR(VLOOKUP(C46,▼売上原票!$A:$P,7,0)*VLOOKUP("614-1",▼マッピング!$A:$G,6,0)/100,0)+IFERROR(VLOOKUP(C46,▼売上原票!$A:$P,8,0)*VLOOKUP("614-2",▼マッピング!$A:$G,6,0)/100,0)+IFERROR(VLOOKUP(C46,▼売上原票!$A:$P,9,0)*VLOOKUP("614-3",▼マッピング!$A:$G,6,0)/100,0)+IFERROR(VLOOKUP(C46,▼売上原票!$A:$P,11,0)*VLOOKUP("615-2",▼マッピング!$A:$G,6,0)/100,0)+IFERROR(VLOOKUP(C46,▼売上原票!$A:$P,12,0)*VLOOKUP("615-3",▼マッピング!$A:$G,6,0)/100,0)+IFERROR(VLOOKUP(C46,▼売上原票!$A:$P,13,0)*VLOOKUP("615-4",▼マッピング!$A:$G,6,0)/100,0)</f>
        <v/>
      </c>
      <c r="H46" s="11">
        <f>D46+E46+F46+G46</f>
        <v/>
      </c>
      <c r="I46" s="12" t="n">
        <v>1360000</v>
      </c>
      <c r="J46" s="12" t="n">
        <v>490000</v>
      </c>
      <c r="K46" s="12" t="n">
        <v>220000</v>
      </c>
      <c r="L46" s="12" t="n">
        <v>1180000</v>
      </c>
      <c r="M46" s="12" t="n">
        <v>165000</v>
      </c>
      <c r="N46" s="12" t="n">
        <v>84000</v>
      </c>
      <c r="O46" s="12" t="n">
        <v>210000</v>
      </c>
      <c r="P46" s="13">
        <f>I46+J46+K46+L46+M46+N46+O46</f>
        <v/>
      </c>
      <c r="Q46" s="14">
        <f>H46-P46</f>
        <v/>
      </c>
      <c r="R46" s="15">
        <f>IF(H46&lt;&gt;0,Q46/H46,0)</f>
        <v/>
      </c>
      <c r="S46" s="16">
        <f>IF(R46&gt;=0.25,"◎ 優良",IF(R46&gt;=0.15,"○ 良好",IF(R46&gt;=0.05,"△ 要注意","× 赤字")))</f>
        <v/>
      </c>
      <c r="T46" s="28">
        <f>IF(H45&lt;&gt;0,H46/H45-1,"")</f>
        <v/>
      </c>
    </row>
    <row r="47" ht="22" customHeight="1">
      <c r="A47" s="16" t="inlineStr">
        <is>
          <t>C003</t>
        </is>
      </c>
      <c r="B47" s="25" t="inlineStr">
        <is>
          <t>一般事業者案件</t>
        </is>
      </c>
      <c r="C47" s="26" t="inlineStr">
        <is>
          <t>2025-07</t>
        </is>
      </c>
      <c r="D47" s="10">
        <f>IFERROR(VLOOKUP(C47,▼売上原票!$A:$P,3,0)*VLOOKUP("612-1",▼マッピング!$A:$G,6,0)/100,0)</f>
        <v/>
      </c>
      <c r="E47" s="10">
        <f>IFERROR(VLOOKUP(C47,▼売上原票!$A:$P,4,0)*VLOOKUP("612-2",▼マッピング!$A:$G,6,0)/100,0)</f>
        <v/>
      </c>
      <c r="F47" s="10">
        <f>IFERROR(VLOOKUP(C47,▼売上原票!$A:$P,10,0)*VLOOKUP("615-1",▼マッピング!$A:$G,6,0)/100,0)</f>
        <v/>
      </c>
      <c r="G47" s="10">
        <f>IFERROR(VLOOKUP(C47,▼売上原票!$A:$P,5,0)*VLOOKUP("613-1",▼マッピング!$A:$G,6,0)/100,0)+IFERROR(VLOOKUP(C47,▼売上原票!$A:$P,6,0)*VLOOKUP("613-2",▼マッピング!$A:$G,6,0)/100,0)+IFERROR(VLOOKUP(C47,▼売上原票!$A:$P,7,0)*VLOOKUP("614-1",▼マッピング!$A:$G,6,0)/100,0)+IFERROR(VLOOKUP(C47,▼売上原票!$A:$P,8,0)*VLOOKUP("614-2",▼マッピング!$A:$G,6,0)/100,0)+IFERROR(VLOOKUP(C47,▼売上原票!$A:$P,9,0)*VLOOKUP("614-3",▼マッピング!$A:$G,6,0)/100,0)+IFERROR(VLOOKUP(C47,▼売上原票!$A:$P,11,0)*VLOOKUP("615-2",▼マッピング!$A:$G,6,0)/100,0)+IFERROR(VLOOKUP(C47,▼売上原票!$A:$P,12,0)*VLOOKUP("615-3",▼マッピング!$A:$G,6,0)/100,0)+IFERROR(VLOOKUP(C47,▼売上原票!$A:$P,13,0)*VLOOKUP("615-4",▼マッピング!$A:$G,6,0)/100,0)</f>
        <v/>
      </c>
      <c r="H47" s="11">
        <f>D47+E47+F47+G47</f>
        <v/>
      </c>
      <c r="I47" s="12" t="n">
        <v>1360000</v>
      </c>
      <c r="J47" s="12" t="n">
        <v>490000</v>
      </c>
      <c r="K47" s="12" t="n">
        <v>220000</v>
      </c>
      <c r="L47" s="12" t="n">
        <v>1180000</v>
      </c>
      <c r="M47" s="12" t="n">
        <v>165000</v>
      </c>
      <c r="N47" s="12" t="n">
        <v>84000</v>
      </c>
      <c r="O47" s="12" t="n">
        <v>210000</v>
      </c>
      <c r="P47" s="13">
        <f>I47+J47+K47+L47+M47+N47+O47</f>
        <v/>
      </c>
      <c r="Q47" s="14">
        <f>H47-P47</f>
        <v/>
      </c>
      <c r="R47" s="15">
        <f>IF(H47&lt;&gt;0,Q47/H47,0)</f>
        <v/>
      </c>
      <c r="S47" s="16">
        <f>IF(R47&gt;=0.25,"◎ 優良",IF(R47&gt;=0.15,"○ 良好",IF(R47&gt;=0.05,"△ 要注意","× 赤字")))</f>
        <v/>
      </c>
      <c r="T47" s="28">
        <f>IF(H46&lt;&gt;0,H47/H46-1,"")</f>
        <v/>
      </c>
    </row>
    <row r="48" ht="22" customHeight="1">
      <c r="A48" s="16" t="inlineStr">
        <is>
          <t>C003</t>
        </is>
      </c>
      <c r="B48" s="25" t="inlineStr">
        <is>
          <t>一般事業者案件</t>
        </is>
      </c>
      <c r="C48" s="26" t="inlineStr">
        <is>
          <t>2025-08</t>
        </is>
      </c>
      <c r="D48" s="10">
        <f>IFERROR(VLOOKUP(C48,▼売上原票!$A:$P,3,0)*VLOOKUP("612-1",▼マッピング!$A:$G,6,0)/100,0)</f>
        <v/>
      </c>
      <c r="E48" s="10">
        <f>IFERROR(VLOOKUP(C48,▼売上原票!$A:$P,4,0)*VLOOKUP("612-2",▼マッピング!$A:$G,6,0)/100,0)</f>
        <v/>
      </c>
      <c r="F48" s="10">
        <f>IFERROR(VLOOKUP(C48,▼売上原票!$A:$P,10,0)*VLOOKUP("615-1",▼マッピング!$A:$G,6,0)/100,0)</f>
        <v/>
      </c>
      <c r="G48" s="10">
        <f>IFERROR(VLOOKUP(C48,▼売上原票!$A:$P,5,0)*VLOOKUP("613-1",▼マッピング!$A:$G,6,0)/100,0)+IFERROR(VLOOKUP(C48,▼売上原票!$A:$P,6,0)*VLOOKUP("613-2",▼マッピング!$A:$G,6,0)/100,0)+IFERROR(VLOOKUP(C48,▼売上原票!$A:$P,7,0)*VLOOKUP("614-1",▼マッピング!$A:$G,6,0)/100,0)+IFERROR(VLOOKUP(C48,▼売上原票!$A:$P,8,0)*VLOOKUP("614-2",▼マッピング!$A:$G,6,0)/100,0)+IFERROR(VLOOKUP(C48,▼売上原票!$A:$P,9,0)*VLOOKUP("614-3",▼マッピング!$A:$G,6,0)/100,0)+IFERROR(VLOOKUP(C48,▼売上原票!$A:$P,11,0)*VLOOKUP("615-2",▼マッピング!$A:$G,6,0)/100,0)+IFERROR(VLOOKUP(C48,▼売上原票!$A:$P,12,0)*VLOOKUP("615-3",▼マッピング!$A:$G,6,0)/100,0)+IFERROR(VLOOKUP(C48,▼売上原票!$A:$P,13,0)*VLOOKUP("615-4",▼マッピング!$A:$G,6,0)/100,0)</f>
        <v/>
      </c>
      <c r="H48" s="11">
        <f>D48+E48+F48+G48</f>
        <v/>
      </c>
      <c r="I48" s="12" t="n">
        <v>1360000</v>
      </c>
      <c r="J48" s="12" t="n">
        <v>490000</v>
      </c>
      <c r="K48" s="12" t="n">
        <v>220000</v>
      </c>
      <c r="L48" s="12" t="n">
        <v>1180000</v>
      </c>
      <c r="M48" s="12" t="n">
        <v>165000</v>
      </c>
      <c r="N48" s="12" t="n">
        <v>84000</v>
      </c>
      <c r="O48" s="12" t="n">
        <v>210000</v>
      </c>
      <c r="P48" s="13">
        <f>I48+J48+K48+L48+M48+N48+O48</f>
        <v/>
      </c>
      <c r="Q48" s="14">
        <f>H48-P48</f>
        <v/>
      </c>
      <c r="R48" s="15">
        <f>IF(H48&lt;&gt;0,Q48/H48,0)</f>
        <v/>
      </c>
      <c r="S48" s="16">
        <f>IF(R48&gt;=0.25,"◎ 優良",IF(R48&gt;=0.15,"○ 良好",IF(R48&gt;=0.05,"△ 要注意","× 赤字")))</f>
        <v/>
      </c>
      <c r="T48" s="28">
        <f>IF(H47&lt;&gt;0,H48/H47-1,"")</f>
        <v/>
      </c>
    </row>
    <row r="49" ht="8" customHeight="1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22" customHeight="1">
      <c r="A50" s="29" t="inlineStr"/>
      <c r="B50" s="30" t="inlineStr"/>
      <c r="C50" s="29" t="inlineStr"/>
      <c r="D50" s="10" t="inlineStr"/>
      <c r="E50" s="10" t="inlineStr"/>
      <c r="F50" s="10" t="inlineStr"/>
      <c r="G50" s="10" t="inlineStr"/>
      <c r="H50" s="31">
        <f>D50+E50+F50+G50</f>
        <v/>
      </c>
      <c r="I50" s="12" t="n"/>
      <c r="J50" s="12" t="n"/>
      <c r="K50" s="12" t="n"/>
      <c r="L50" s="12" t="n"/>
      <c r="M50" s="12" t="n"/>
      <c r="N50" s="12" t="n"/>
      <c r="O50" s="12" t="n"/>
      <c r="P50" s="32">
        <f>IF(I50+J50+K50+L50+M50+N50+O50=0,"",I50+J50+K50+L50+M50+N50+O50)</f>
        <v/>
      </c>
      <c r="Q50" s="33">
        <f>IF(H50&lt;&gt;0,H50-P50,"")</f>
        <v/>
      </c>
      <c r="R50" s="34">
        <f>IF(H50&lt;&gt;0,Q50/H50,"")</f>
        <v/>
      </c>
      <c r="S50" s="35">
        <f>IF(R50="","",IF(R50&gt;=0.25,"◎ 優良",IF(R50&gt;=0.15,"○ 良好",IF(R50&gt;=0.05,"△ 要注意","× 赤字"))))</f>
        <v/>
      </c>
    </row>
    <row r="51" ht="22" customHeight="1">
      <c r="A51" s="36" t="inlineStr"/>
      <c r="B51" s="37" t="inlineStr"/>
      <c r="C51" s="36" t="inlineStr"/>
      <c r="D51" s="10" t="inlineStr"/>
      <c r="E51" s="10" t="inlineStr"/>
      <c r="F51" s="10" t="inlineStr"/>
      <c r="G51" s="10" t="inlineStr"/>
      <c r="H51" s="38">
        <f>D51+E51+F51+G51</f>
        <v/>
      </c>
      <c r="I51" s="12" t="n"/>
      <c r="J51" s="12" t="n"/>
      <c r="K51" s="12" t="n"/>
      <c r="L51" s="12" t="n"/>
      <c r="M51" s="12" t="n"/>
      <c r="N51" s="12" t="n"/>
      <c r="O51" s="12" t="n"/>
      <c r="P51" s="32">
        <f>IF(I51+J51+K51+L51+M51+N51+O51=0,"",I51+J51+K51+L51+M51+N51+O51)</f>
        <v/>
      </c>
      <c r="Q51" s="33">
        <f>IF(H51&lt;&gt;0,H51-P51,"")</f>
        <v/>
      </c>
      <c r="R51" s="34">
        <f>IF(H51&lt;&gt;0,Q51/H51,"")</f>
        <v/>
      </c>
      <c r="S51" s="35">
        <f>IF(R51="","",IF(R51&gt;=0.25,"◎ 優良",IF(R51&gt;=0.15,"○ 良好",IF(R51&gt;=0.05,"△ 要注意","× 赤字"))))</f>
        <v/>
      </c>
    </row>
    <row r="52" ht="22" customHeight="1">
      <c r="A52" s="29" t="inlineStr"/>
      <c r="B52" s="30" t="inlineStr"/>
      <c r="C52" s="29" t="inlineStr"/>
      <c r="D52" s="10" t="inlineStr"/>
      <c r="E52" s="10" t="inlineStr"/>
      <c r="F52" s="10" t="inlineStr"/>
      <c r="G52" s="10" t="inlineStr"/>
      <c r="H52" s="31">
        <f>D52+E52+F52+G52</f>
        <v/>
      </c>
      <c r="I52" s="12" t="n"/>
      <c r="J52" s="12" t="n"/>
      <c r="K52" s="12" t="n"/>
      <c r="L52" s="12" t="n"/>
      <c r="M52" s="12" t="n"/>
      <c r="N52" s="12" t="n"/>
      <c r="O52" s="12" t="n"/>
      <c r="P52" s="32">
        <f>IF(I52+J52+K52+L52+M52+N52+O52=0,"",I52+J52+K52+L52+M52+N52+O52)</f>
        <v/>
      </c>
      <c r="Q52" s="33">
        <f>IF(H52&lt;&gt;0,H52-P52,"")</f>
        <v/>
      </c>
      <c r="R52" s="34">
        <f>IF(H52&lt;&gt;0,Q52/H52,"")</f>
        <v/>
      </c>
      <c r="S52" s="35">
        <f>IF(R52="","",IF(R52&gt;=0.25,"◎ 優良",IF(R52&gt;=0.15,"○ 良好",IF(R52&gt;=0.05,"△ 要注意","× 赤字"))))</f>
        <v/>
      </c>
    </row>
    <row r="53" ht="22" customHeight="1">
      <c r="A53" s="36" t="inlineStr"/>
      <c r="B53" s="37" t="inlineStr"/>
      <c r="C53" s="36" t="inlineStr"/>
      <c r="D53" s="10" t="inlineStr"/>
      <c r="E53" s="10" t="inlineStr"/>
      <c r="F53" s="10" t="inlineStr"/>
      <c r="G53" s="10" t="inlineStr"/>
      <c r="H53" s="38">
        <f>D53+E53+F53+G53</f>
        <v/>
      </c>
      <c r="I53" s="12" t="n"/>
      <c r="J53" s="12" t="n"/>
      <c r="K53" s="12" t="n"/>
      <c r="L53" s="12" t="n"/>
      <c r="M53" s="12" t="n"/>
      <c r="N53" s="12" t="n"/>
      <c r="O53" s="12" t="n"/>
      <c r="P53" s="32">
        <f>IF(I53+J53+K53+L53+M53+N53+O53=0,"",I53+J53+K53+L53+M53+N53+O53)</f>
        <v/>
      </c>
      <c r="Q53" s="33">
        <f>IF(H53&lt;&gt;0,H53-P53,"")</f>
        <v/>
      </c>
      <c r="R53" s="34">
        <f>IF(H53&lt;&gt;0,Q53/H53,"")</f>
        <v/>
      </c>
      <c r="S53" s="35">
        <f>IF(R53="","",IF(R53&gt;=0.25,"◎ 優良",IF(R53&gt;=0.15,"○ 良好",IF(R53&gt;=0.05,"△ 要注意","× 赤字"))))</f>
        <v/>
      </c>
    </row>
    <row r="54" ht="22" customHeight="1">
      <c r="A54" s="29" t="inlineStr"/>
      <c r="B54" s="30" t="inlineStr"/>
      <c r="C54" s="29" t="inlineStr"/>
      <c r="D54" s="10" t="inlineStr"/>
      <c r="E54" s="10" t="inlineStr"/>
      <c r="F54" s="10" t="inlineStr"/>
      <c r="G54" s="10" t="inlineStr"/>
      <c r="H54" s="31">
        <f>D54+E54+F54+G54</f>
        <v/>
      </c>
      <c r="I54" s="12" t="n"/>
      <c r="J54" s="12" t="n"/>
      <c r="K54" s="12" t="n"/>
      <c r="L54" s="12" t="n"/>
      <c r="M54" s="12" t="n"/>
      <c r="N54" s="12" t="n"/>
      <c r="O54" s="12" t="n"/>
      <c r="P54" s="32">
        <f>IF(I54+J54+K54+L54+M54+N54+O54=0,"",I54+J54+K54+L54+M54+N54+O54)</f>
        <v/>
      </c>
      <c r="Q54" s="33">
        <f>IF(H54&lt;&gt;0,H54-P54,"")</f>
        <v/>
      </c>
      <c r="R54" s="34">
        <f>IF(H54&lt;&gt;0,Q54/H54,"")</f>
        <v/>
      </c>
      <c r="S54" s="35">
        <f>IF(R54="","",IF(R54&gt;=0.25,"◎ 優良",IF(R54&gt;=0.15,"○ 良好",IF(R54&gt;=0.05,"△ 要注意","× 赤字"))))</f>
        <v/>
      </c>
    </row>
    <row r="55" ht="22" customHeight="1">
      <c r="A55" s="36" t="inlineStr"/>
      <c r="B55" s="37" t="inlineStr"/>
      <c r="C55" s="36" t="inlineStr"/>
      <c r="D55" s="10" t="inlineStr"/>
      <c r="E55" s="10" t="inlineStr"/>
      <c r="F55" s="10" t="inlineStr"/>
      <c r="G55" s="10" t="inlineStr"/>
      <c r="H55" s="38">
        <f>D55+E55+F55+G55</f>
        <v/>
      </c>
      <c r="I55" s="12" t="n"/>
      <c r="J55" s="12" t="n"/>
      <c r="K55" s="12" t="n"/>
      <c r="L55" s="12" t="n"/>
      <c r="M55" s="12" t="n"/>
      <c r="N55" s="12" t="n"/>
      <c r="O55" s="12" t="n"/>
      <c r="P55" s="32">
        <f>IF(I55+J55+K55+L55+M55+N55+O55=0,"",I55+J55+K55+L55+M55+N55+O55)</f>
        <v/>
      </c>
      <c r="Q55" s="33">
        <f>IF(H55&lt;&gt;0,H55-P55,"")</f>
        <v/>
      </c>
      <c r="R55" s="34">
        <f>IF(H55&lt;&gt;0,Q55/H55,"")</f>
        <v/>
      </c>
      <c r="S55" s="35">
        <f>IF(R55="","",IF(R55&gt;=0.25,"◎ 優良",IF(R55&gt;=0.15,"○ 良好",IF(R55&gt;=0.05,"△ 要注意","× 赤字"))))</f>
        <v/>
      </c>
    </row>
    <row r="56" ht="22" customHeight="1">
      <c r="A56" s="29" t="inlineStr"/>
      <c r="B56" s="30" t="inlineStr"/>
      <c r="C56" s="29" t="inlineStr"/>
      <c r="D56" s="10" t="inlineStr"/>
      <c r="E56" s="10" t="inlineStr"/>
      <c r="F56" s="10" t="inlineStr"/>
      <c r="G56" s="10" t="inlineStr"/>
      <c r="H56" s="31">
        <f>D56+E56+F56+G56</f>
        <v/>
      </c>
      <c r="I56" s="12" t="n"/>
      <c r="J56" s="12" t="n"/>
      <c r="K56" s="12" t="n"/>
      <c r="L56" s="12" t="n"/>
      <c r="M56" s="12" t="n"/>
      <c r="N56" s="12" t="n"/>
      <c r="O56" s="12" t="n"/>
      <c r="P56" s="32">
        <f>IF(I56+J56+K56+L56+M56+N56+O56=0,"",I56+J56+K56+L56+M56+N56+O56)</f>
        <v/>
      </c>
      <c r="Q56" s="33">
        <f>IF(H56&lt;&gt;0,H56-P56,"")</f>
        <v/>
      </c>
      <c r="R56" s="34">
        <f>IF(H56&lt;&gt;0,Q56/H56,"")</f>
        <v/>
      </c>
      <c r="S56" s="35">
        <f>IF(R56="","",IF(R56&gt;=0.25,"◎ 優良",IF(R56&gt;=0.15,"○ 良好",IF(R56&gt;=0.05,"△ 要注意","× 赤字"))))</f>
        <v/>
      </c>
    </row>
    <row r="57" ht="22" customHeight="1">
      <c r="A57" s="36" t="inlineStr"/>
      <c r="B57" s="37" t="inlineStr"/>
      <c r="C57" s="36" t="inlineStr"/>
      <c r="D57" s="10" t="inlineStr"/>
      <c r="E57" s="10" t="inlineStr"/>
      <c r="F57" s="10" t="inlineStr"/>
      <c r="G57" s="10" t="inlineStr"/>
      <c r="H57" s="38">
        <f>D57+E57+F57+G57</f>
        <v/>
      </c>
      <c r="I57" s="12" t="n"/>
      <c r="J57" s="12" t="n"/>
      <c r="K57" s="12" t="n"/>
      <c r="L57" s="12" t="n"/>
      <c r="M57" s="12" t="n"/>
      <c r="N57" s="12" t="n"/>
      <c r="O57" s="12" t="n"/>
      <c r="P57" s="32">
        <f>IF(I57+J57+K57+L57+M57+N57+O57=0,"",I57+J57+K57+L57+M57+N57+O57)</f>
        <v/>
      </c>
      <c r="Q57" s="33">
        <f>IF(H57&lt;&gt;0,H57-P57,"")</f>
        <v/>
      </c>
      <c r="R57" s="34">
        <f>IF(H57&lt;&gt;0,Q57/H57,"")</f>
        <v/>
      </c>
      <c r="S57" s="35">
        <f>IF(R57="","",IF(R57&gt;=0.25,"◎ 優良",IF(R57&gt;=0.15,"○ 良好",IF(R57&gt;=0.05,"△ 要注意","× 赤字"))))</f>
        <v/>
      </c>
    </row>
    <row r="58" ht="22" customHeight="1">
      <c r="A58" s="29" t="inlineStr"/>
      <c r="B58" s="30" t="inlineStr"/>
      <c r="C58" s="29" t="inlineStr"/>
      <c r="D58" s="10" t="inlineStr"/>
      <c r="E58" s="10" t="inlineStr"/>
      <c r="F58" s="10" t="inlineStr"/>
      <c r="G58" s="10" t="inlineStr"/>
      <c r="H58" s="31">
        <f>D58+E58+F58+G58</f>
        <v/>
      </c>
      <c r="I58" s="12" t="n"/>
      <c r="J58" s="12" t="n"/>
      <c r="K58" s="12" t="n"/>
      <c r="L58" s="12" t="n"/>
      <c r="M58" s="12" t="n"/>
      <c r="N58" s="12" t="n"/>
      <c r="O58" s="12" t="n"/>
      <c r="P58" s="32">
        <f>IF(I58+J58+K58+L58+M58+N58+O58=0,"",I58+J58+K58+L58+M58+N58+O58)</f>
        <v/>
      </c>
      <c r="Q58" s="33">
        <f>IF(H58&lt;&gt;0,H58-P58,"")</f>
        <v/>
      </c>
      <c r="R58" s="34">
        <f>IF(H58&lt;&gt;0,Q58/H58,"")</f>
        <v/>
      </c>
      <c r="S58" s="35">
        <f>IF(R58="","",IF(R58&gt;=0.25,"◎ 優良",IF(R58&gt;=0.15,"○ 良好",IF(R58&gt;=0.05,"△ 要注意","× 赤字"))))</f>
        <v/>
      </c>
    </row>
    <row r="59" ht="22" customHeight="1">
      <c r="A59" s="36" t="inlineStr"/>
      <c r="B59" s="37" t="inlineStr"/>
      <c r="C59" s="36" t="inlineStr"/>
      <c r="D59" s="10" t="inlineStr"/>
      <c r="E59" s="10" t="inlineStr"/>
      <c r="F59" s="10" t="inlineStr"/>
      <c r="G59" s="10" t="inlineStr"/>
      <c r="H59" s="38">
        <f>D59+E59+F59+G59</f>
        <v/>
      </c>
      <c r="I59" s="12" t="n"/>
      <c r="J59" s="12" t="n"/>
      <c r="K59" s="12" t="n"/>
      <c r="L59" s="12" t="n"/>
      <c r="M59" s="12" t="n"/>
      <c r="N59" s="12" t="n"/>
      <c r="O59" s="12" t="n"/>
      <c r="P59" s="32">
        <f>IF(I59+J59+K59+L59+M59+N59+O59=0,"",I59+J59+K59+L59+M59+N59+O59)</f>
        <v/>
      </c>
      <c r="Q59" s="33">
        <f>IF(H59&lt;&gt;0,H59-P59,"")</f>
        <v/>
      </c>
      <c r="R59" s="34">
        <f>IF(H59&lt;&gt;0,Q59/H59,"")</f>
        <v/>
      </c>
      <c r="S59" s="35">
        <f>IF(R59="","",IF(R59&gt;=0.25,"◎ 優良",IF(R59&gt;=0.15,"○ 良好",IF(R59&gt;=0.05,"△ 要注意","× 赤字"))))</f>
        <v/>
      </c>
    </row>
    <row r="60" ht="22" customHeight="1">
      <c r="A60" s="29" t="inlineStr"/>
      <c r="B60" s="30" t="inlineStr"/>
      <c r="C60" s="29" t="inlineStr"/>
      <c r="D60" s="10" t="inlineStr"/>
      <c r="E60" s="10" t="inlineStr"/>
      <c r="F60" s="10" t="inlineStr"/>
      <c r="G60" s="10" t="inlineStr"/>
      <c r="H60" s="31">
        <f>D60+E60+F60+G60</f>
        <v/>
      </c>
      <c r="I60" s="12" t="n"/>
      <c r="J60" s="12" t="n"/>
      <c r="K60" s="12" t="n"/>
      <c r="L60" s="12" t="n"/>
      <c r="M60" s="12" t="n"/>
      <c r="N60" s="12" t="n"/>
      <c r="O60" s="12" t="n"/>
      <c r="P60" s="32">
        <f>IF(I60+J60+K60+L60+M60+N60+O60=0,"",I60+J60+K60+L60+M60+N60+O60)</f>
        <v/>
      </c>
      <c r="Q60" s="33">
        <f>IF(H60&lt;&gt;0,H60-P60,"")</f>
        <v/>
      </c>
      <c r="R60" s="34">
        <f>IF(H60&lt;&gt;0,Q60/H60,"")</f>
        <v/>
      </c>
      <c r="S60" s="35">
        <f>IF(R60="","",IF(R60&gt;=0.25,"◎ 優良",IF(R60&gt;=0.15,"○ 良好",IF(R60&gt;=0.05,"△ 要注意","× 赤字"))))</f>
        <v/>
      </c>
    </row>
    <row r="61" ht="22" customHeight="1">
      <c r="A61" s="36" t="inlineStr"/>
      <c r="B61" s="37" t="inlineStr"/>
      <c r="C61" s="36" t="inlineStr"/>
      <c r="D61" s="10" t="inlineStr"/>
      <c r="E61" s="10" t="inlineStr"/>
      <c r="F61" s="10" t="inlineStr"/>
      <c r="G61" s="10" t="inlineStr"/>
      <c r="H61" s="38">
        <f>D61+E61+F61+G61</f>
        <v/>
      </c>
      <c r="I61" s="12" t="n"/>
      <c r="J61" s="12" t="n"/>
      <c r="K61" s="12" t="n"/>
      <c r="L61" s="12" t="n"/>
      <c r="M61" s="12" t="n"/>
      <c r="N61" s="12" t="n"/>
      <c r="O61" s="12" t="n"/>
      <c r="P61" s="32">
        <f>IF(I61+J61+K61+L61+M61+N61+O61=0,"",I61+J61+K61+L61+M61+N61+O61)</f>
        <v/>
      </c>
      <c r="Q61" s="33">
        <f>IF(H61&lt;&gt;0,H61-P61,"")</f>
        <v/>
      </c>
      <c r="R61" s="34">
        <f>IF(H61&lt;&gt;0,Q61/H61,"")</f>
        <v/>
      </c>
      <c r="S61" s="35">
        <f>IF(R61="","",IF(R61&gt;=0.25,"◎ 優良",IF(R61&gt;=0.15,"○ 良好",IF(R61&gt;=0.05,"△ 要注意","× 赤字"))))</f>
        <v/>
      </c>
    </row>
    <row r="62" ht="22" customHeight="1">
      <c r="A62" s="29" t="inlineStr"/>
      <c r="B62" s="30" t="inlineStr"/>
      <c r="C62" s="29" t="inlineStr"/>
      <c r="D62" s="10" t="inlineStr"/>
      <c r="E62" s="10" t="inlineStr"/>
      <c r="F62" s="10" t="inlineStr"/>
      <c r="G62" s="10" t="inlineStr"/>
      <c r="H62" s="31">
        <f>D62+E62+F62+G62</f>
        <v/>
      </c>
      <c r="I62" s="12" t="n"/>
      <c r="J62" s="12" t="n"/>
      <c r="K62" s="12" t="n"/>
      <c r="L62" s="12" t="n"/>
      <c r="M62" s="12" t="n"/>
      <c r="N62" s="12" t="n"/>
      <c r="O62" s="12" t="n"/>
      <c r="P62" s="32">
        <f>IF(I62+J62+K62+L62+M62+N62+O62=0,"",I62+J62+K62+L62+M62+N62+O62)</f>
        <v/>
      </c>
      <c r="Q62" s="33">
        <f>IF(H62&lt;&gt;0,H62-P62,"")</f>
        <v/>
      </c>
      <c r="R62" s="34">
        <f>IF(H62&lt;&gt;0,Q62/H62,"")</f>
        <v/>
      </c>
      <c r="S62" s="35">
        <f>IF(R62="","",IF(R62&gt;=0.25,"◎ 優良",IF(R62&gt;=0.15,"○ 良好",IF(R62&gt;=0.05,"△ 要注意","× 赤字"))))</f>
        <v/>
      </c>
    </row>
    <row r="63" ht="22" customHeight="1">
      <c r="A63" s="36" t="inlineStr"/>
      <c r="B63" s="37" t="inlineStr"/>
      <c r="C63" s="36" t="inlineStr"/>
      <c r="D63" s="10" t="inlineStr"/>
      <c r="E63" s="10" t="inlineStr"/>
      <c r="F63" s="10" t="inlineStr"/>
      <c r="G63" s="10" t="inlineStr"/>
      <c r="H63" s="38">
        <f>D63+E63+F63+G63</f>
        <v/>
      </c>
      <c r="I63" s="12" t="n"/>
      <c r="J63" s="12" t="n"/>
      <c r="K63" s="12" t="n"/>
      <c r="L63" s="12" t="n"/>
      <c r="M63" s="12" t="n"/>
      <c r="N63" s="12" t="n"/>
      <c r="O63" s="12" t="n"/>
      <c r="P63" s="32">
        <f>IF(I63+J63+K63+L63+M63+N63+O63=0,"",I63+J63+K63+L63+M63+N63+O63)</f>
        <v/>
      </c>
      <c r="Q63" s="33">
        <f>IF(H63&lt;&gt;0,H63-P63,"")</f>
        <v/>
      </c>
      <c r="R63" s="34">
        <f>IF(H63&lt;&gt;0,Q63/H63,"")</f>
        <v/>
      </c>
      <c r="S63" s="35">
        <f>IF(R63="","",IF(R63&gt;=0.25,"◎ 優良",IF(R63&gt;=0.15,"○ 良好",IF(R63&gt;=0.05,"△ 要注意","× 赤字"))))</f>
        <v/>
      </c>
    </row>
    <row r="64" ht="22" customHeight="1">
      <c r="A64" s="29" t="inlineStr"/>
      <c r="B64" s="30" t="inlineStr"/>
      <c r="C64" s="29" t="inlineStr"/>
      <c r="D64" s="10" t="inlineStr"/>
      <c r="E64" s="10" t="inlineStr"/>
      <c r="F64" s="10" t="inlineStr"/>
      <c r="G64" s="10" t="inlineStr"/>
      <c r="H64" s="31">
        <f>D64+E64+F64+G64</f>
        <v/>
      </c>
      <c r="I64" s="12" t="n"/>
      <c r="J64" s="12" t="n"/>
      <c r="K64" s="12" t="n"/>
      <c r="L64" s="12" t="n"/>
      <c r="M64" s="12" t="n"/>
      <c r="N64" s="12" t="n"/>
      <c r="O64" s="12" t="n"/>
      <c r="P64" s="32">
        <f>IF(I64+J64+K64+L64+M64+N64+O64=0,"",I64+J64+K64+L64+M64+N64+O64)</f>
        <v/>
      </c>
      <c r="Q64" s="33">
        <f>IF(H64&lt;&gt;0,H64-P64,"")</f>
        <v/>
      </c>
      <c r="R64" s="34">
        <f>IF(H64&lt;&gt;0,Q64/H64,"")</f>
        <v/>
      </c>
      <c r="S64" s="35">
        <f>IF(R64="","",IF(R64&gt;=0.25,"◎ 優良",IF(R64&gt;=0.15,"○ 良好",IF(R64&gt;=0.05,"△ 要注意","× 赤字"))))</f>
        <v/>
      </c>
    </row>
  </sheetData>
  <mergeCells count="24">
    <mergeCell ref="D4"/>
    <mergeCell ref="I4"/>
    <mergeCell ref="B3:B4"/>
    <mergeCell ref="K4"/>
    <mergeCell ref="A1:T1"/>
    <mergeCell ref="M4"/>
    <mergeCell ref="F4"/>
    <mergeCell ref="A3:A4"/>
    <mergeCell ref="G3:G4"/>
    <mergeCell ref="N4"/>
    <mergeCell ref="D3:F3"/>
    <mergeCell ref="E4"/>
    <mergeCell ref="P3:P4"/>
    <mergeCell ref="H3:H4"/>
    <mergeCell ref="R3:R4"/>
    <mergeCell ref="T3:T4"/>
    <mergeCell ref="A2:T2"/>
    <mergeCell ref="O4"/>
    <mergeCell ref="J4"/>
    <mergeCell ref="C3:C4"/>
    <mergeCell ref="L4"/>
    <mergeCell ref="I3:O3"/>
    <mergeCell ref="Q3:Q4"/>
    <mergeCell ref="S3:S4"/>
  </mergeCells>
  <conditionalFormatting sqref="S5:S64">
    <cfRule type="expression" priority="1" dxfId="0">
      <formula>S5="◎ 優良"</formula>
    </cfRule>
    <cfRule type="expression" priority="2" dxfId="1">
      <formula>S5="○ 良好"</formula>
    </cfRule>
    <cfRule type="expression" priority="3" dxfId="2">
      <formula>S5="△ 要注意"</formula>
    </cfRule>
    <cfRule type="expression" priority="4" dxfId="3">
      <formula>S5="× 赤字"</formula>
    </cfRule>
  </conditionalFormatting>
  <conditionalFormatting sqref="R5:R64">
    <cfRule type="colorScale" priority="5">
      <colorScale>
        <cfvo type="num" val="0"/>
        <cfvo type="num" val="0.15"/>
        <cfvo type="num" val="0.3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6B2E"/>
    <outlinePr summaryBelow="1" summaryRight="1"/>
    <pageSetUpPr/>
  </sheetPr>
  <dimension ref="A1:S16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1" customWidth="1" min="3" max="3"/>
    <col width="16" customWidth="1" min="4" max="4"/>
    <col width="14" customWidth="1" min="5" max="5"/>
    <col width="12" customWidth="1" min="6" max="6"/>
    <col width="12" customWidth="1" min="7" max="7"/>
    <col width="12" customWidth="1" min="8" max="8"/>
    <col width="11" customWidth="1" min="9" max="9"/>
    <col width="11" customWidth="1" min="10" max="10"/>
    <col width="14" customWidth="1" min="11" max="11"/>
    <col width="14" customWidth="1" min="12" max="12"/>
    <col width="10" customWidth="1" min="13" max="13"/>
    <col width="12" customWidth="1" min="14" max="14"/>
    <col width="12" customWidth="1" min="15" max="15"/>
    <col width="16" customWidth="1" min="16" max="16"/>
    <col width="16" customWidth="1" min="17" max="17"/>
  </cols>
  <sheetData>
    <row r="1" ht="34" customHeight="1">
      <c r="A1" s="1" t="inlineStr">
        <is>
          <t>ルート別 採算管理　（ルート = 科目コード / 各営業担当）</t>
        </is>
      </c>
    </row>
    <row r="2" ht="16" customHeight="1">
      <c r="A2" s="2" t="inlineStr">
        <is>
          <t>【売上】⑤売上原票からVLOOKUPで自動参照　【原価】黄色セルに実績を入力　各ルートの粗利率で採算の良し悪しを確認できます</t>
        </is>
      </c>
    </row>
    <row r="3" ht="16" customHeight="1">
      <c r="A3" s="3" t="inlineStr">
        <is>
          <t>ルートコード</t>
        </is>
      </c>
      <c r="B3" s="3" t="inlineStr">
        <is>
          <t>ルート名</t>
        </is>
      </c>
      <c r="C3" s="3" t="inlineStr">
        <is>
          <t>集計月
(YYYY-MM)</t>
        </is>
      </c>
      <c r="D3" s="4" t="inlineStr">
        <is>
          <t>売上
(VLOOKUP)</t>
        </is>
      </c>
      <c r="E3" s="5" t="inlineStr">
        <is>
          <t>原価　（黄色セル入力）</t>
        </is>
      </c>
      <c r="L3" s="6" t="inlineStr">
        <is>
          <t>粗利益</t>
        </is>
      </c>
      <c r="M3" s="6" t="inlineStr">
        <is>
          <t>粗利率</t>
        </is>
      </c>
      <c r="N3" s="6" t="inlineStr">
        <is>
          <t>採算判定</t>
        </is>
      </c>
      <c r="O3" s="6" t="inlineStr">
        <is>
          <t>主担当
案件</t>
        </is>
      </c>
      <c r="P3" s="6" t="inlineStr">
        <is>
          <t>前月比
売上</t>
        </is>
      </c>
      <c r="Q3" s="39" t="inlineStr">
        <is>
          <t>月間回収量
(kg推算)</t>
        </is>
      </c>
    </row>
    <row r="4" ht="36" customHeight="1">
      <c r="E4" s="5" t="inlineStr">
        <is>
          <t>人件費</t>
        </is>
      </c>
      <c r="F4" s="5" t="inlineStr">
        <is>
          <t>燃料費</t>
        </is>
      </c>
      <c r="G4" s="5" t="inlineStr">
        <is>
          <t>車両費</t>
        </is>
      </c>
      <c r="H4" s="5" t="inlineStr">
        <is>
          <t>処理費</t>
        </is>
      </c>
      <c r="I4" s="5" t="inlineStr">
        <is>
          <t>運搬費</t>
        </is>
      </c>
      <c r="J4" s="5" t="inlineStr">
        <is>
          <t>その他</t>
        </is>
      </c>
      <c r="K4" s="5" t="inlineStr">
        <is>
          <t>合計</t>
        </is>
      </c>
    </row>
    <row r="5" ht="21" customHeight="1">
      <c r="A5" s="7" t="inlineStr">
        <is>
          <t>612-1</t>
        </is>
      </c>
      <c r="B5" s="8" t="inlineStr">
        <is>
          <t>運送（本社）</t>
        </is>
      </c>
      <c r="C5" s="40" t="inlineStr">
        <is>
          <t>2024-07</t>
        </is>
      </c>
      <c r="D5" s="41">
        <f>IFERROR(VLOOKUP(C5,▼売上原票!$A:$P,3,0),0)</f>
        <v/>
      </c>
      <c r="E5" s="12" t="n">
        <v>650000</v>
      </c>
      <c r="F5" s="12" t="n">
        <v>190000</v>
      </c>
      <c r="G5" s="12" t="n">
        <v>85000</v>
      </c>
      <c r="H5" s="12" t="n"/>
      <c r="I5" s="12" t="n">
        <v>75000</v>
      </c>
      <c r="J5" s="12" t="n">
        <v>45000</v>
      </c>
      <c r="K5" s="13">
        <f>E5+F5+G5+H5+I5+J5</f>
        <v/>
      </c>
      <c r="L5" s="14">
        <f>D5-K5</f>
        <v/>
      </c>
      <c r="M5" s="15">
        <f>IF(D5&lt;&gt;0,L5/D5,0)</f>
        <v/>
      </c>
      <c r="N5" s="42">
        <f>IF(D5=0,"—",IF(M5&gt;=0.25,"◎ 優良",IF(M5&gt;=0.15,"○ 良好",IF(M5&gt;=0.05,"△ 要注意","× 赤字"))))</f>
        <v/>
      </c>
      <c r="O5" s="17" t="inlineStr">
        <is>
          <t>C003一般</t>
        </is>
      </c>
      <c r="P5" s="17" t="inlineStr">
        <is>
          <t>—</t>
        </is>
      </c>
      <c r="Q5" s="43">
        <f>IFERROR(D5/100,0)</f>
        <v/>
      </c>
    </row>
    <row r="6" ht="21" customHeight="1">
      <c r="A6" s="7" t="inlineStr">
        <is>
          <t>612-1</t>
        </is>
      </c>
      <c r="B6" s="8" t="inlineStr">
        <is>
          <t>運送（本社）</t>
        </is>
      </c>
      <c r="C6" s="40" t="inlineStr">
        <is>
          <t>2024-08</t>
        </is>
      </c>
      <c r="D6" s="41">
        <f>IFERROR(VLOOKUP(C6,▼売上原票!$A:$P,3,0),0)</f>
        <v/>
      </c>
      <c r="E6" s="12" t="n">
        <v>650000</v>
      </c>
      <c r="F6" s="12" t="n">
        <v>190000</v>
      </c>
      <c r="G6" s="12" t="n">
        <v>85000</v>
      </c>
      <c r="H6" s="12" t="n"/>
      <c r="I6" s="12" t="n">
        <v>75000</v>
      </c>
      <c r="J6" s="12" t="n">
        <v>45000</v>
      </c>
      <c r="K6" s="13">
        <f>E6+F6+G6+H6+I6+J6</f>
        <v/>
      </c>
      <c r="L6" s="14">
        <f>D6-K6</f>
        <v/>
      </c>
      <c r="M6" s="15">
        <f>IF(D6&lt;&gt;0,L6/D6,0)</f>
        <v/>
      </c>
      <c r="N6" s="42">
        <f>IF(D6=0,"—",IF(M6&gt;=0.25,"◎ 優良",IF(M6&gt;=0.15,"○ 良好",IF(M6&gt;=0.05,"△ 要注意","× 赤字"))))</f>
        <v/>
      </c>
      <c r="O6" s="17" t="inlineStr">
        <is>
          <t>C003一般</t>
        </is>
      </c>
      <c r="P6" s="18">
        <f>IF(D5&lt;&gt;0,D6/D5-1,"")</f>
        <v/>
      </c>
      <c r="Q6" s="43">
        <f>IFERROR(D6/100,0)</f>
        <v/>
      </c>
    </row>
    <row r="7" ht="21" customHeight="1">
      <c r="A7" s="7" t="inlineStr">
        <is>
          <t>612-1</t>
        </is>
      </c>
      <c r="B7" s="8" t="inlineStr">
        <is>
          <t>運送（本社）</t>
        </is>
      </c>
      <c r="C7" s="40" t="inlineStr">
        <is>
          <t>2024-09</t>
        </is>
      </c>
      <c r="D7" s="41">
        <f>IFERROR(VLOOKUP(C7,▼売上原票!$A:$P,3,0),0)</f>
        <v/>
      </c>
      <c r="E7" s="12" t="n">
        <v>650000</v>
      </c>
      <c r="F7" s="12" t="n">
        <v>190000</v>
      </c>
      <c r="G7" s="12" t="n">
        <v>85000</v>
      </c>
      <c r="H7" s="12" t="n"/>
      <c r="I7" s="12" t="n">
        <v>75000</v>
      </c>
      <c r="J7" s="12" t="n">
        <v>45000</v>
      </c>
      <c r="K7" s="13">
        <f>E7+F7+G7+H7+I7+J7</f>
        <v/>
      </c>
      <c r="L7" s="14">
        <f>D7-K7</f>
        <v/>
      </c>
      <c r="M7" s="15">
        <f>IF(D7&lt;&gt;0,L7/D7,0)</f>
        <v/>
      </c>
      <c r="N7" s="42">
        <f>IF(D7=0,"—",IF(M7&gt;=0.25,"◎ 優良",IF(M7&gt;=0.15,"○ 良好",IF(M7&gt;=0.05,"△ 要注意","× 赤字"))))</f>
        <v/>
      </c>
      <c r="O7" s="17" t="inlineStr">
        <is>
          <t>C003一般</t>
        </is>
      </c>
      <c r="P7" s="18">
        <f>IF(D6&lt;&gt;0,D7/D6-1,"")</f>
        <v/>
      </c>
      <c r="Q7" s="43">
        <f>IFERROR(D7/100,0)</f>
        <v/>
      </c>
    </row>
    <row r="8" ht="21" customHeight="1">
      <c r="A8" s="7" t="inlineStr">
        <is>
          <t>612-1</t>
        </is>
      </c>
      <c r="B8" s="8" t="inlineStr">
        <is>
          <t>運送（本社）</t>
        </is>
      </c>
      <c r="C8" s="40" t="inlineStr">
        <is>
          <t>2024-10</t>
        </is>
      </c>
      <c r="D8" s="41">
        <f>IFERROR(VLOOKUP(C8,▼売上原票!$A:$P,3,0),0)</f>
        <v/>
      </c>
      <c r="E8" s="12" t="n">
        <v>650000</v>
      </c>
      <c r="F8" s="12" t="n">
        <v>190000</v>
      </c>
      <c r="G8" s="12" t="n">
        <v>85000</v>
      </c>
      <c r="H8" s="12" t="n"/>
      <c r="I8" s="12" t="n">
        <v>75000</v>
      </c>
      <c r="J8" s="12" t="n">
        <v>45000</v>
      </c>
      <c r="K8" s="13">
        <f>E8+F8+G8+H8+I8+J8</f>
        <v/>
      </c>
      <c r="L8" s="14">
        <f>D8-K8</f>
        <v/>
      </c>
      <c r="M8" s="15">
        <f>IF(D8&lt;&gt;0,L8/D8,0)</f>
        <v/>
      </c>
      <c r="N8" s="42">
        <f>IF(D8=0,"—",IF(M8&gt;=0.25,"◎ 優良",IF(M8&gt;=0.15,"○ 良好",IF(M8&gt;=0.05,"△ 要注意","× 赤字"))))</f>
        <v/>
      </c>
      <c r="O8" s="17" t="inlineStr">
        <is>
          <t>C003一般</t>
        </is>
      </c>
      <c r="P8" s="18">
        <f>IF(D7&lt;&gt;0,D8/D7-1,"")</f>
        <v/>
      </c>
      <c r="Q8" s="43">
        <f>IFERROR(D8/100,0)</f>
        <v/>
      </c>
    </row>
    <row r="9" ht="21" customHeight="1">
      <c r="A9" s="7" t="inlineStr">
        <is>
          <t>612-1</t>
        </is>
      </c>
      <c r="B9" s="8" t="inlineStr">
        <is>
          <t>運送（本社）</t>
        </is>
      </c>
      <c r="C9" s="40" t="inlineStr">
        <is>
          <t>2024-11</t>
        </is>
      </c>
      <c r="D9" s="41">
        <f>IFERROR(VLOOKUP(C9,▼売上原票!$A:$P,3,0),0)</f>
        <v/>
      </c>
      <c r="E9" s="12" t="n">
        <v>650000</v>
      </c>
      <c r="F9" s="12" t="n">
        <v>190000</v>
      </c>
      <c r="G9" s="12" t="n">
        <v>85000</v>
      </c>
      <c r="H9" s="12" t="n"/>
      <c r="I9" s="12" t="n">
        <v>75000</v>
      </c>
      <c r="J9" s="12" t="n">
        <v>45000</v>
      </c>
      <c r="K9" s="13">
        <f>E9+F9+G9+H9+I9+J9</f>
        <v/>
      </c>
      <c r="L9" s="14">
        <f>D9-K9</f>
        <v/>
      </c>
      <c r="M9" s="15">
        <f>IF(D9&lt;&gt;0,L9/D9,0)</f>
        <v/>
      </c>
      <c r="N9" s="42">
        <f>IF(D9=0,"—",IF(M9&gt;=0.25,"◎ 優良",IF(M9&gt;=0.15,"○ 良好",IF(M9&gt;=0.05,"△ 要注意","× 赤字"))))</f>
        <v/>
      </c>
      <c r="O9" s="17" t="inlineStr">
        <is>
          <t>C003一般</t>
        </is>
      </c>
      <c r="P9" s="18">
        <f>IF(D8&lt;&gt;0,D9/D8-1,"")</f>
        <v/>
      </c>
      <c r="Q9" s="43">
        <f>IFERROR(D9/100,0)</f>
        <v/>
      </c>
    </row>
    <row r="10" ht="21" customHeight="1">
      <c r="A10" s="7" t="inlineStr">
        <is>
          <t>612-1</t>
        </is>
      </c>
      <c r="B10" s="8" t="inlineStr">
        <is>
          <t>運送（本社）</t>
        </is>
      </c>
      <c r="C10" s="40" t="inlineStr">
        <is>
          <t>2024-12</t>
        </is>
      </c>
      <c r="D10" s="41">
        <f>IFERROR(VLOOKUP(C10,▼売上原票!$A:$P,3,0),0)</f>
        <v/>
      </c>
      <c r="E10" s="12" t="n">
        <v>650000</v>
      </c>
      <c r="F10" s="12" t="n">
        <v>190000</v>
      </c>
      <c r="G10" s="12" t="n">
        <v>85000</v>
      </c>
      <c r="H10" s="12" t="n"/>
      <c r="I10" s="12" t="n">
        <v>75000</v>
      </c>
      <c r="J10" s="12" t="n">
        <v>45000</v>
      </c>
      <c r="K10" s="13">
        <f>E10+F10+G10+H10+I10+J10</f>
        <v/>
      </c>
      <c r="L10" s="14">
        <f>D10-K10</f>
        <v/>
      </c>
      <c r="M10" s="15">
        <f>IF(D10&lt;&gt;0,L10/D10,0)</f>
        <v/>
      </c>
      <c r="N10" s="42">
        <f>IF(D10=0,"—",IF(M10&gt;=0.25,"◎ 優良",IF(M10&gt;=0.15,"○ 良好",IF(M10&gt;=0.05,"△ 要注意","× 赤字"))))</f>
        <v/>
      </c>
      <c r="O10" s="17" t="inlineStr">
        <is>
          <t>C003一般</t>
        </is>
      </c>
      <c r="P10" s="18">
        <f>IF(D9&lt;&gt;0,D10/D9-1,"")</f>
        <v/>
      </c>
      <c r="Q10" s="43">
        <f>IFERROR(D10/100,0)</f>
        <v/>
      </c>
    </row>
    <row r="11" ht="21" customHeight="1">
      <c r="A11" s="7" t="inlineStr">
        <is>
          <t>612-1</t>
        </is>
      </c>
      <c r="B11" s="8" t="inlineStr">
        <is>
          <t>運送（本社）</t>
        </is>
      </c>
      <c r="C11" s="40" t="inlineStr">
        <is>
          <t>2025-01</t>
        </is>
      </c>
      <c r="D11" s="41">
        <f>IFERROR(VLOOKUP(C11,▼売上原票!$A:$P,3,0),0)</f>
        <v/>
      </c>
      <c r="E11" s="12" t="n">
        <v>650000</v>
      </c>
      <c r="F11" s="12" t="n">
        <v>190000</v>
      </c>
      <c r="G11" s="12" t="n">
        <v>85000</v>
      </c>
      <c r="H11" s="12" t="n"/>
      <c r="I11" s="12" t="n">
        <v>75000</v>
      </c>
      <c r="J11" s="12" t="n">
        <v>45000</v>
      </c>
      <c r="K11" s="13">
        <f>E11+F11+G11+H11+I11+J11</f>
        <v/>
      </c>
      <c r="L11" s="14">
        <f>D11-K11</f>
        <v/>
      </c>
      <c r="M11" s="15">
        <f>IF(D11&lt;&gt;0,L11/D11,0)</f>
        <v/>
      </c>
      <c r="N11" s="42">
        <f>IF(D11=0,"—",IF(M11&gt;=0.25,"◎ 優良",IF(M11&gt;=0.15,"○ 良好",IF(M11&gt;=0.05,"△ 要注意","× 赤字"))))</f>
        <v/>
      </c>
      <c r="O11" s="17" t="inlineStr">
        <is>
          <t>C003一般</t>
        </is>
      </c>
      <c r="P11" s="18">
        <f>IF(D10&lt;&gt;0,D11/D10-1,"")</f>
        <v/>
      </c>
      <c r="Q11" s="43">
        <f>IFERROR(D11/100,0)</f>
        <v/>
      </c>
    </row>
    <row r="12" ht="21" customHeight="1">
      <c r="A12" s="7" t="inlineStr">
        <is>
          <t>612-1</t>
        </is>
      </c>
      <c r="B12" s="8" t="inlineStr">
        <is>
          <t>運送（本社）</t>
        </is>
      </c>
      <c r="C12" s="40" t="inlineStr">
        <is>
          <t>2025-02</t>
        </is>
      </c>
      <c r="D12" s="41">
        <f>IFERROR(VLOOKUP(C12,▼売上原票!$A:$P,3,0),0)</f>
        <v/>
      </c>
      <c r="E12" s="12" t="n">
        <v>650000</v>
      </c>
      <c r="F12" s="12" t="n">
        <v>190000</v>
      </c>
      <c r="G12" s="12" t="n">
        <v>85000</v>
      </c>
      <c r="H12" s="12" t="n"/>
      <c r="I12" s="12" t="n">
        <v>75000</v>
      </c>
      <c r="J12" s="12" t="n">
        <v>45000</v>
      </c>
      <c r="K12" s="13">
        <f>E12+F12+G12+H12+I12+J12</f>
        <v/>
      </c>
      <c r="L12" s="14">
        <f>D12-K12</f>
        <v/>
      </c>
      <c r="M12" s="15">
        <f>IF(D12&lt;&gt;0,L12/D12,0)</f>
        <v/>
      </c>
      <c r="N12" s="42">
        <f>IF(D12=0,"—",IF(M12&gt;=0.25,"◎ 優良",IF(M12&gt;=0.15,"○ 良好",IF(M12&gt;=0.05,"△ 要注意","× 赤字"))))</f>
        <v/>
      </c>
      <c r="O12" s="17" t="inlineStr">
        <is>
          <t>C003一般</t>
        </is>
      </c>
      <c r="P12" s="18">
        <f>IF(D11&lt;&gt;0,D12/D11-1,"")</f>
        <v/>
      </c>
      <c r="Q12" s="43">
        <f>IFERROR(D12/100,0)</f>
        <v/>
      </c>
    </row>
    <row r="13" ht="21" customHeight="1">
      <c r="A13" s="7" t="inlineStr">
        <is>
          <t>612-1</t>
        </is>
      </c>
      <c r="B13" s="8" t="inlineStr">
        <is>
          <t>運送（本社）</t>
        </is>
      </c>
      <c r="C13" s="40" t="inlineStr">
        <is>
          <t>2025-03</t>
        </is>
      </c>
      <c r="D13" s="41">
        <f>IFERROR(VLOOKUP(C13,▼売上原票!$A:$P,3,0),0)</f>
        <v/>
      </c>
      <c r="E13" s="12" t="n">
        <v>650000</v>
      </c>
      <c r="F13" s="12" t="n">
        <v>190000</v>
      </c>
      <c r="G13" s="12" t="n">
        <v>85000</v>
      </c>
      <c r="H13" s="12" t="n"/>
      <c r="I13" s="12" t="n">
        <v>75000</v>
      </c>
      <c r="J13" s="12" t="n">
        <v>45000</v>
      </c>
      <c r="K13" s="13">
        <f>E13+F13+G13+H13+I13+J13</f>
        <v/>
      </c>
      <c r="L13" s="14">
        <f>D13-K13</f>
        <v/>
      </c>
      <c r="M13" s="15">
        <f>IF(D13&lt;&gt;0,L13/D13,0)</f>
        <v/>
      </c>
      <c r="N13" s="42">
        <f>IF(D13=0,"—",IF(M13&gt;=0.25,"◎ 優良",IF(M13&gt;=0.15,"○ 良好",IF(M13&gt;=0.05,"△ 要注意","× 赤字"))))</f>
        <v/>
      </c>
      <c r="O13" s="17" t="inlineStr">
        <is>
          <t>C003一般</t>
        </is>
      </c>
      <c r="P13" s="18">
        <f>IF(D12&lt;&gt;0,D13/D12-1,"")</f>
        <v/>
      </c>
      <c r="Q13" s="43">
        <f>IFERROR(D13/100,0)</f>
        <v/>
      </c>
    </row>
    <row r="14" ht="21" customHeight="1">
      <c r="A14" s="7" t="inlineStr">
        <is>
          <t>612-1</t>
        </is>
      </c>
      <c r="B14" s="8" t="inlineStr">
        <is>
          <t>運送（本社）</t>
        </is>
      </c>
      <c r="C14" s="40" t="inlineStr">
        <is>
          <t>2025-04</t>
        </is>
      </c>
      <c r="D14" s="41">
        <f>IFERROR(VLOOKUP(C14,▼売上原票!$A:$P,3,0),0)</f>
        <v/>
      </c>
      <c r="E14" s="12" t="n">
        <v>650000</v>
      </c>
      <c r="F14" s="12" t="n">
        <v>190000</v>
      </c>
      <c r="G14" s="12" t="n">
        <v>85000</v>
      </c>
      <c r="H14" s="12" t="n"/>
      <c r="I14" s="12" t="n">
        <v>75000</v>
      </c>
      <c r="J14" s="12" t="n">
        <v>45000</v>
      </c>
      <c r="K14" s="13">
        <f>E14+F14+G14+H14+I14+J14</f>
        <v/>
      </c>
      <c r="L14" s="14">
        <f>D14-K14</f>
        <v/>
      </c>
      <c r="M14" s="15">
        <f>IF(D14&lt;&gt;0,L14/D14,0)</f>
        <v/>
      </c>
      <c r="N14" s="42">
        <f>IF(D14=0,"—",IF(M14&gt;=0.25,"◎ 優良",IF(M14&gt;=0.15,"○ 良好",IF(M14&gt;=0.05,"△ 要注意","× 赤字"))))</f>
        <v/>
      </c>
      <c r="O14" s="17" t="inlineStr">
        <is>
          <t>C003一般</t>
        </is>
      </c>
      <c r="P14" s="18">
        <f>IF(D13&lt;&gt;0,D14/D13-1,"")</f>
        <v/>
      </c>
      <c r="Q14" s="43">
        <f>IFERROR(D14/100,0)</f>
        <v/>
      </c>
    </row>
    <row r="15" ht="21" customHeight="1">
      <c r="A15" s="7" t="inlineStr">
        <is>
          <t>612-1</t>
        </is>
      </c>
      <c r="B15" s="8" t="inlineStr">
        <is>
          <t>運送（本社）</t>
        </is>
      </c>
      <c r="C15" s="40" t="inlineStr">
        <is>
          <t>2025-05</t>
        </is>
      </c>
      <c r="D15" s="41">
        <f>IFERROR(VLOOKUP(C15,▼売上原票!$A:$P,3,0),0)</f>
        <v/>
      </c>
      <c r="E15" s="12" t="n">
        <v>650000</v>
      </c>
      <c r="F15" s="12" t="n">
        <v>190000</v>
      </c>
      <c r="G15" s="12" t="n">
        <v>85000</v>
      </c>
      <c r="H15" s="12" t="n"/>
      <c r="I15" s="12" t="n">
        <v>75000</v>
      </c>
      <c r="J15" s="12" t="n">
        <v>45000</v>
      </c>
      <c r="K15" s="13">
        <f>E15+F15+G15+H15+I15+J15</f>
        <v/>
      </c>
      <c r="L15" s="14">
        <f>D15-K15</f>
        <v/>
      </c>
      <c r="M15" s="15">
        <f>IF(D15&lt;&gt;0,L15/D15,0)</f>
        <v/>
      </c>
      <c r="N15" s="42">
        <f>IF(D15=0,"—",IF(M15&gt;=0.25,"◎ 優良",IF(M15&gt;=0.15,"○ 良好",IF(M15&gt;=0.05,"△ 要注意","× 赤字"))))</f>
        <v/>
      </c>
      <c r="O15" s="17" t="inlineStr">
        <is>
          <t>C003一般</t>
        </is>
      </c>
      <c r="P15" s="18">
        <f>IF(D14&lt;&gt;0,D15/D14-1,"")</f>
        <v/>
      </c>
      <c r="Q15" s="43">
        <f>IFERROR(D15/100,0)</f>
        <v/>
      </c>
    </row>
    <row r="16" ht="21" customHeight="1">
      <c r="A16" s="7" t="inlineStr">
        <is>
          <t>612-1</t>
        </is>
      </c>
      <c r="B16" s="8" t="inlineStr">
        <is>
          <t>運送（本社）</t>
        </is>
      </c>
      <c r="C16" s="40" t="inlineStr">
        <is>
          <t>2025-06</t>
        </is>
      </c>
      <c r="D16" s="41">
        <f>IFERROR(VLOOKUP(C16,▼売上原票!$A:$P,3,0),0)</f>
        <v/>
      </c>
      <c r="E16" s="12" t="n">
        <v>650000</v>
      </c>
      <c r="F16" s="12" t="n">
        <v>190000</v>
      </c>
      <c r="G16" s="12" t="n">
        <v>85000</v>
      </c>
      <c r="H16" s="12" t="n"/>
      <c r="I16" s="12" t="n">
        <v>75000</v>
      </c>
      <c r="J16" s="12" t="n">
        <v>45000</v>
      </c>
      <c r="K16" s="13">
        <f>E16+F16+G16+H16+I16+J16</f>
        <v/>
      </c>
      <c r="L16" s="14">
        <f>D16-K16</f>
        <v/>
      </c>
      <c r="M16" s="15">
        <f>IF(D16&lt;&gt;0,L16/D16,0)</f>
        <v/>
      </c>
      <c r="N16" s="42">
        <f>IF(D16=0,"—",IF(M16&gt;=0.25,"◎ 優良",IF(M16&gt;=0.15,"○ 良好",IF(M16&gt;=0.05,"△ 要注意","× 赤字"))))</f>
        <v/>
      </c>
      <c r="O16" s="17" t="inlineStr">
        <is>
          <t>C003一般</t>
        </is>
      </c>
      <c r="P16" s="18">
        <f>IF(D15&lt;&gt;0,D16/D15-1,"")</f>
        <v/>
      </c>
      <c r="Q16" s="43">
        <f>IFERROR(D16/100,0)</f>
        <v/>
      </c>
    </row>
    <row r="17" ht="21" customHeight="1">
      <c r="A17" s="7" t="inlineStr">
        <is>
          <t>612-1</t>
        </is>
      </c>
      <c r="B17" s="8" t="inlineStr">
        <is>
          <t>運送（本社）</t>
        </is>
      </c>
      <c r="C17" s="40" t="inlineStr">
        <is>
          <t>2025-07</t>
        </is>
      </c>
      <c r="D17" s="41">
        <f>IFERROR(VLOOKUP(C17,▼売上原票!$A:$P,3,0),0)</f>
        <v/>
      </c>
      <c r="E17" s="12" t="n">
        <v>650000</v>
      </c>
      <c r="F17" s="12" t="n">
        <v>190000</v>
      </c>
      <c r="G17" s="12" t="n">
        <v>85000</v>
      </c>
      <c r="H17" s="12" t="n"/>
      <c r="I17" s="12" t="n">
        <v>75000</v>
      </c>
      <c r="J17" s="12" t="n">
        <v>45000</v>
      </c>
      <c r="K17" s="13">
        <f>E17+F17+G17+H17+I17+J17</f>
        <v/>
      </c>
      <c r="L17" s="14">
        <f>D17-K17</f>
        <v/>
      </c>
      <c r="M17" s="15">
        <f>IF(D17&lt;&gt;0,L17/D17,0)</f>
        <v/>
      </c>
      <c r="N17" s="42">
        <f>IF(D17=0,"—",IF(M17&gt;=0.25,"◎ 優良",IF(M17&gt;=0.15,"○ 良好",IF(M17&gt;=0.05,"△ 要注意","× 赤字"))))</f>
        <v/>
      </c>
      <c r="O17" s="17" t="inlineStr">
        <is>
          <t>C003一般</t>
        </is>
      </c>
      <c r="P17" s="18">
        <f>IF(D16&lt;&gt;0,D17/D16-1,"")</f>
        <v/>
      </c>
      <c r="Q17" s="43">
        <f>IFERROR(D17/100,0)</f>
        <v/>
      </c>
    </row>
    <row r="18" ht="21" customHeight="1">
      <c r="A18" s="7" t="inlineStr">
        <is>
          <t>612-1</t>
        </is>
      </c>
      <c r="B18" s="8" t="inlineStr">
        <is>
          <t>運送（本社）</t>
        </is>
      </c>
      <c r="C18" s="40" t="inlineStr">
        <is>
          <t>2025-08</t>
        </is>
      </c>
      <c r="D18" s="41">
        <f>IFERROR(VLOOKUP(C18,▼売上原票!$A:$P,3,0),0)</f>
        <v/>
      </c>
      <c r="E18" s="12" t="n">
        <v>650000</v>
      </c>
      <c r="F18" s="12" t="n">
        <v>190000</v>
      </c>
      <c r="G18" s="12" t="n">
        <v>85000</v>
      </c>
      <c r="H18" s="12" t="n"/>
      <c r="I18" s="12" t="n">
        <v>75000</v>
      </c>
      <c r="J18" s="12" t="n">
        <v>45000</v>
      </c>
      <c r="K18" s="13">
        <f>E18+F18+G18+H18+I18+J18</f>
        <v/>
      </c>
      <c r="L18" s="14">
        <f>D18-K18</f>
        <v/>
      </c>
      <c r="M18" s="15">
        <f>IF(D18&lt;&gt;0,L18/D18,0)</f>
        <v/>
      </c>
      <c r="N18" s="42">
        <f>IF(D18=0,"—",IF(M18&gt;=0.25,"◎ 優良",IF(M18&gt;=0.15,"○ 良好",IF(M18&gt;=0.05,"△ 要注意","× 赤字"))))</f>
        <v/>
      </c>
      <c r="O18" s="17" t="inlineStr">
        <is>
          <t>C003一般</t>
        </is>
      </c>
      <c r="P18" s="18">
        <f>IF(D17&lt;&gt;0,D18/D17-1,"")</f>
        <v/>
      </c>
      <c r="Q18" s="43">
        <f>IFERROR(D18/100,0)</f>
        <v/>
      </c>
    </row>
    <row r="19" ht="5" customHeight="1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  <c r="O19" s="44" t="n"/>
      <c r="P19" s="44" t="n"/>
      <c r="Q19" s="44" t="n"/>
    </row>
    <row r="20" ht="21" customHeight="1">
      <c r="A20" s="7" t="inlineStr">
        <is>
          <t>612-2</t>
        </is>
      </c>
      <c r="B20" s="8" t="inlineStr">
        <is>
          <t>入札（公共）</t>
        </is>
      </c>
      <c r="C20" s="40" t="inlineStr">
        <is>
          <t>2024-07</t>
        </is>
      </c>
      <c r="D20" s="41">
        <f>IFERROR(VLOOKUP(C20,▼売上原票!$A:$P,4,0),0)</f>
        <v/>
      </c>
      <c r="E20" s="12" t="n">
        <v>1800000</v>
      </c>
      <c r="F20" s="12" t="n">
        <v>520000</v>
      </c>
      <c r="G20" s="12" t="n">
        <v>240000</v>
      </c>
      <c r="H20" s="12" t="n">
        <v>1200000</v>
      </c>
      <c r="I20" s="12" t="n">
        <v>180000</v>
      </c>
      <c r="J20" s="12" t="n">
        <v>120000</v>
      </c>
      <c r="K20" s="13">
        <f>E20+F20+G20+H20+I20+J20</f>
        <v/>
      </c>
      <c r="L20" s="14">
        <f>D20-K20</f>
        <v/>
      </c>
      <c r="M20" s="15">
        <f>IF(D20&lt;&gt;0,L20/D20,0)</f>
        <v/>
      </c>
      <c r="N20" s="42">
        <f>IF(D20=0,"—",IF(M20&gt;=0.25,"◎ 優良",IF(M20&gt;=0.15,"○ 良好",IF(M20&gt;=0.05,"△ 要注意","× 赤字"))))</f>
        <v/>
      </c>
      <c r="O20" s="17" t="inlineStr">
        <is>
          <t>C002都営</t>
        </is>
      </c>
      <c r="P20" s="17" t="inlineStr">
        <is>
          <t>—</t>
        </is>
      </c>
      <c r="Q20" s="43">
        <f>IFERROR(D20/100,0)</f>
        <v/>
      </c>
    </row>
    <row r="21" ht="21" customHeight="1">
      <c r="A21" s="7" t="inlineStr">
        <is>
          <t>612-2</t>
        </is>
      </c>
      <c r="B21" s="8" t="inlineStr">
        <is>
          <t>入札（公共）</t>
        </is>
      </c>
      <c r="C21" s="40" t="inlineStr">
        <is>
          <t>2024-08</t>
        </is>
      </c>
      <c r="D21" s="41">
        <f>IFERROR(VLOOKUP(C21,▼売上原票!$A:$P,4,0),0)</f>
        <v/>
      </c>
      <c r="E21" s="12" t="n">
        <v>1800000</v>
      </c>
      <c r="F21" s="12" t="n">
        <v>520000</v>
      </c>
      <c r="G21" s="12" t="n">
        <v>240000</v>
      </c>
      <c r="H21" s="12" t="n">
        <v>1200000</v>
      </c>
      <c r="I21" s="12" t="n">
        <v>180000</v>
      </c>
      <c r="J21" s="12" t="n">
        <v>120000</v>
      </c>
      <c r="K21" s="13">
        <f>E21+F21+G21+H21+I21+J21</f>
        <v/>
      </c>
      <c r="L21" s="14">
        <f>D21-K21</f>
        <v/>
      </c>
      <c r="M21" s="15">
        <f>IF(D21&lt;&gt;0,L21/D21,0)</f>
        <v/>
      </c>
      <c r="N21" s="42">
        <f>IF(D21=0,"—",IF(M21&gt;=0.25,"◎ 優良",IF(M21&gt;=0.15,"○ 良好",IF(M21&gt;=0.05,"△ 要注意","× 赤字"))))</f>
        <v/>
      </c>
      <c r="O21" s="17" t="inlineStr">
        <is>
          <t>C002都営</t>
        </is>
      </c>
      <c r="P21" s="18">
        <f>IF(D20&lt;&gt;0,D21/D20-1,"")</f>
        <v/>
      </c>
      <c r="Q21" s="43">
        <f>IFERROR(D21/100,0)</f>
        <v/>
      </c>
    </row>
    <row r="22" ht="21" customHeight="1">
      <c r="A22" s="7" t="inlineStr">
        <is>
          <t>612-2</t>
        </is>
      </c>
      <c r="B22" s="8" t="inlineStr">
        <is>
          <t>入札（公共）</t>
        </is>
      </c>
      <c r="C22" s="40" t="inlineStr">
        <is>
          <t>2024-09</t>
        </is>
      </c>
      <c r="D22" s="41">
        <f>IFERROR(VLOOKUP(C22,▼売上原票!$A:$P,4,0),0)</f>
        <v/>
      </c>
      <c r="E22" s="12" t="n">
        <v>1800000</v>
      </c>
      <c r="F22" s="12" t="n">
        <v>520000</v>
      </c>
      <c r="G22" s="12" t="n">
        <v>240000</v>
      </c>
      <c r="H22" s="12" t="n">
        <v>1200000</v>
      </c>
      <c r="I22" s="12" t="n">
        <v>180000</v>
      </c>
      <c r="J22" s="12" t="n">
        <v>120000</v>
      </c>
      <c r="K22" s="13">
        <f>E22+F22+G22+H22+I22+J22</f>
        <v/>
      </c>
      <c r="L22" s="14">
        <f>D22-K22</f>
        <v/>
      </c>
      <c r="M22" s="15">
        <f>IF(D22&lt;&gt;0,L22/D22,0)</f>
        <v/>
      </c>
      <c r="N22" s="42">
        <f>IF(D22=0,"—",IF(M22&gt;=0.25,"◎ 優良",IF(M22&gt;=0.15,"○ 良好",IF(M22&gt;=0.05,"△ 要注意","× 赤字"))))</f>
        <v/>
      </c>
      <c r="O22" s="17" t="inlineStr">
        <is>
          <t>C002都営</t>
        </is>
      </c>
      <c r="P22" s="18">
        <f>IF(D21&lt;&gt;0,D22/D21-1,"")</f>
        <v/>
      </c>
      <c r="Q22" s="43">
        <f>IFERROR(D22/100,0)</f>
        <v/>
      </c>
    </row>
    <row r="23" ht="21" customHeight="1">
      <c r="A23" s="7" t="inlineStr">
        <is>
          <t>612-2</t>
        </is>
      </c>
      <c r="B23" s="8" t="inlineStr">
        <is>
          <t>入札（公共）</t>
        </is>
      </c>
      <c r="C23" s="40" t="inlineStr">
        <is>
          <t>2024-10</t>
        </is>
      </c>
      <c r="D23" s="41">
        <f>IFERROR(VLOOKUP(C23,▼売上原票!$A:$P,4,0),0)</f>
        <v/>
      </c>
      <c r="E23" s="12" t="n">
        <v>1800000</v>
      </c>
      <c r="F23" s="12" t="n">
        <v>520000</v>
      </c>
      <c r="G23" s="12" t="n">
        <v>240000</v>
      </c>
      <c r="H23" s="12" t="n">
        <v>1200000</v>
      </c>
      <c r="I23" s="12" t="n">
        <v>180000</v>
      </c>
      <c r="J23" s="12" t="n">
        <v>120000</v>
      </c>
      <c r="K23" s="13">
        <f>E23+F23+G23+H23+I23+J23</f>
        <v/>
      </c>
      <c r="L23" s="14">
        <f>D23-K23</f>
        <v/>
      </c>
      <c r="M23" s="15">
        <f>IF(D23&lt;&gt;0,L23/D23,0)</f>
        <v/>
      </c>
      <c r="N23" s="42">
        <f>IF(D23=0,"—",IF(M23&gt;=0.25,"◎ 優良",IF(M23&gt;=0.15,"○ 良好",IF(M23&gt;=0.05,"△ 要注意","× 赤字"))))</f>
        <v/>
      </c>
      <c r="O23" s="17" t="inlineStr">
        <is>
          <t>C002都営</t>
        </is>
      </c>
      <c r="P23" s="18">
        <f>IF(D22&lt;&gt;0,D23/D22-1,"")</f>
        <v/>
      </c>
      <c r="Q23" s="43">
        <f>IFERROR(D23/100,0)</f>
        <v/>
      </c>
    </row>
    <row r="24" ht="21" customHeight="1">
      <c r="A24" s="7" t="inlineStr">
        <is>
          <t>612-2</t>
        </is>
      </c>
      <c r="B24" s="8" t="inlineStr">
        <is>
          <t>入札（公共）</t>
        </is>
      </c>
      <c r="C24" s="40" t="inlineStr">
        <is>
          <t>2024-11</t>
        </is>
      </c>
      <c r="D24" s="41">
        <f>IFERROR(VLOOKUP(C24,▼売上原票!$A:$P,4,0),0)</f>
        <v/>
      </c>
      <c r="E24" s="12" t="n">
        <v>1800000</v>
      </c>
      <c r="F24" s="12" t="n">
        <v>520000</v>
      </c>
      <c r="G24" s="12" t="n">
        <v>240000</v>
      </c>
      <c r="H24" s="12" t="n">
        <v>1200000</v>
      </c>
      <c r="I24" s="12" t="n">
        <v>180000</v>
      </c>
      <c r="J24" s="12" t="n">
        <v>120000</v>
      </c>
      <c r="K24" s="13">
        <f>E24+F24+G24+H24+I24+J24</f>
        <v/>
      </c>
      <c r="L24" s="14">
        <f>D24-K24</f>
        <v/>
      </c>
      <c r="M24" s="15">
        <f>IF(D24&lt;&gt;0,L24/D24,0)</f>
        <v/>
      </c>
      <c r="N24" s="42">
        <f>IF(D24=0,"—",IF(M24&gt;=0.25,"◎ 優良",IF(M24&gt;=0.15,"○ 良好",IF(M24&gt;=0.05,"△ 要注意","× 赤字"))))</f>
        <v/>
      </c>
      <c r="O24" s="17" t="inlineStr">
        <is>
          <t>C002都営</t>
        </is>
      </c>
      <c r="P24" s="18">
        <f>IF(D23&lt;&gt;0,D24/D23-1,"")</f>
        <v/>
      </c>
      <c r="Q24" s="43">
        <f>IFERROR(D24/100,0)</f>
        <v/>
      </c>
    </row>
    <row r="25" ht="21" customHeight="1">
      <c r="A25" s="7" t="inlineStr">
        <is>
          <t>612-2</t>
        </is>
      </c>
      <c r="B25" s="8" t="inlineStr">
        <is>
          <t>入札（公共）</t>
        </is>
      </c>
      <c r="C25" s="40" t="inlineStr">
        <is>
          <t>2024-12</t>
        </is>
      </c>
      <c r="D25" s="41">
        <f>IFERROR(VLOOKUP(C25,▼売上原票!$A:$P,4,0),0)</f>
        <v/>
      </c>
      <c r="E25" s="12" t="n">
        <v>1800000</v>
      </c>
      <c r="F25" s="12" t="n">
        <v>520000</v>
      </c>
      <c r="G25" s="12" t="n">
        <v>240000</v>
      </c>
      <c r="H25" s="12" t="n">
        <v>1200000</v>
      </c>
      <c r="I25" s="12" t="n">
        <v>180000</v>
      </c>
      <c r="J25" s="12" t="n">
        <v>120000</v>
      </c>
      <c r="K25" s="13">
        <f>E25+F25+G25+H25+I25+J25</f>
        <v/>
      </c>
      <c r="L25" s="14">
        <f>D25-K25</f>
        <v/>
      </c>
      <c r="M25" s="15">
        <f>IF(D25&lt;&gt;0,L25/D25,0)</f>
        <v/>
      </c>
      <c r="N25" s="42">
        <f>IF(D25=0,"—",IF(M25&gt;=0.25,"◎ 優良",IF(M25&gt;=0.15,"○ 良好",IF(M25&gt;=0.05,"△ 要注意","× 赤字"))))</f>
        <v/>
      </c>
      <c r="O25" s="17" t="inlineStr">
        <is>
          <t>C002都営</t>
        </is>
      </c>
      <c r="P25" s="18">
        <f>IF(D24&lt;&gt;0,D25/D24-1,"")</f>
        <v/>
      </c>
      <c r="Q25" s="43">
        <f>IFERROR(D25/100,0)</f>
        <v/>
      </c>
    </row>
    <row r="26" ht="21" customHeight="1">
      <c r="A26" s="7" t="inlineStr">
        <is>
          <t>612-2</t>
        </is>
      </c>
      <c r="B26" s="8" t="inlineStr">
        <is>
          <t>入札（公共）</t>
        </is>
      </c>
      <c r="C26" s="40" t="inlineStr">
        <is>
          <t>2025-01</t>
        </is>
      </c>
      <c r="D26" s="41">
        <f>IFERROR(VLOOKUP(C26,▼売上原票!$A:$P,4,0),0)</f>
        <v/>
      </c>
      <c r="E26" s="12" t="n">
        <v>1800000</v>
      </c>
      <c r="F26" s="12" t="n">
        <v>520000</v>
      </c>
      <c r="G26" s="12" t="n">
        <v>240000</v>
      </c>
      <c r="H26" s="12" t="n">
        <v>1200000</v>
      </c>
      <c r="I26" s="12" t="n">
        <v>180000</v>
      </c>
      <c r="J26" s="12" t="n">
        <v>120000</v>
      </c>
      <c r="K26" s="13">
        <f>E26+F26+G26+H26+I26+J26</f>
        <v/>
      </c>
      <c r="L26" s="14">
        <f>D26-K26</f>
        <v/>
      </c>
      <c r="M26" s="15">
        <f>IF(D26&lt;&gt;0,L26/D26,0)</f>
        <v/>
      </c>
      <c r="N26" s="42">
        <f>IF(D26=0,"—",IF(M26&gt;=0.25,"◎ 優良",IF(M26&gt;=0.15,"○ 良好",IF(M26&gt;=0.05,"△ 要注意","× 赤字"))))</f>
        <v/>
      </c>
      <c r="O26" s="17" t="inlineStr">
        <is>
          <t>C002都営</t>
        </is>
      </c>
      <c r="P26" s="18">
        <f>IF(D25&lt;&gt;0,D26/D25-1,"")</f>
        <v/>
      </c>
      <c r="Q26" s="43">
        <f>IFERROR(D26/100,0)</f>
        <v/>
      </c>
    </row>
    <row r="27" ht="21" customHeight="1">
      <c r="A27" s="7" t="inlineStr">
        <is>
          <t>612-2</t>
        </is>
      </c>
      <c r="B27" s="8" t="inlineStr">
        <is>
          <t>入札（公共）</t>
        </is>
      </c>
      <c r="C27" s="40" t="inlineStr">
        <is>
          <t>2025-02</t>
        </is>
      </c>
      <c r="D27" s="41">
        <f>IFERROR(VLOOKUP(C27,▼売上原票!$A:$P,4,0),0)</f>
        <v/>
      </c>
      <c r="E27" s="12" t="n">
        <v>1800000</v>
      </c>
      <c r="F27" s="12" t="n">
        <v>520000</v>
      </c>
      <c r="G27" s="12" t="n">
        <v>240000</v>
      </c>
      <c r="H27" s="12" t="n">
        <v>1200000</v>
      </c>
      <c r="I27" s="12" t="n">
        <v>180000</v>
      </c>
      <c r="J27" s="12" t="n">
        <v>120000</v>
      </c>
      <c r="K27" s="13">
        <f>E27+F27+G27+H27+I27+J27</f>
        <v/>
      </c>
      <c r="L27" s="14">
        <f>D27-K27</f>
        <v/>
      </c>
      <c r="M27" s="15">
        <f>IF(D27&lt;&gt;0,L27/D27,0)</f>
        <v/>
      </c>
      <c r="N27" s="42">
        <f>IF(D27=0,"—",IF(M27&gt;=0.25,"◎ 優良",IF(M27&gt;=0.15,"○ 良好",IF(M27&gt;=0.05,"△ 要注意","× 赤字"))))</f>
        <v/>
      </c>
      <c r="O27" s="17" t="inlineStr">
        <is>
          <t>C002都営</t>
        </is>
      </c>
      <c r="P27" s="18">
        <f>IF(D26&lt;&gt;0,D27/D26-1,"")</f>
        <v/>
      </c>
      <c r="Q27" s="43">
        <f>IFERROR(D27/100,0)</f>
        <v/>
      </c>
    </row>
    <row r="28" ht="21" customHeight="1">
      <c r="A28" s="7" t="inlineStr">
        <is>
          <t>612-2</t>
        </is>
      </c>
      <c r="B28" s="8" t="inlineStr">
        <is>
          <t>入札（公共）</t>
        </is>
      </c>
      <c r="C28" s="40" t="inlineStr">
        <is>
          <t>2025-03</t>
        </is>
      </c>
      <c r="D28" s="41">
        <f>IFERROR(VLOOKUP(C28,▼売上原票!$A:$P,4,0),0)</f>
        <v/>
      </c>
      <c r="E28" s="12" t="n">
        <v>1800000</v>
      </c>
      <c r="F28" s="12" t="n">
        <v>520000</v>
      </c>
      <c r="G28" s="12" t="n">
        <v>240000</v>
      </c>
      <c r="H28" s="12" t="n">
        <v>1200000</v>
      </c>
      <c r="I28" s="12" t="n">
        <v>180000</v>
      </c>
      <c r="J28" s="12" t="n">
        <v>120000</v>
      </c>
      <c r="K28" s="13">
        <f>E28+F28+G28+H28+I28+J28</f>
        <v/>
      </c>
      <c r="L28" s="14">
        <f>D28-K28</f>
        <v/>
      </c>
      <c r="M28" s="15">
        <f>IF(D28&lt;&gt;0,L28/D28,0)</f>
        <v/>
      </c>
      <c r="N28" s="42">
        <f>IF(D28=0,"—",IF(M28&gt;=0.25,"◎ 優良",IF(M28&gt;=0.15,"○ 良好",IF(M28&gt;=0.05,"△ 要注意","× 赤字"))))</f>
        <v/>
      </c>
      <c r="O28" s="17" t="inlineStr">
        <is>
          <t>C002都営</t>
        </is>
      </c>
      <c r="P28" s="18">
        <f>IF(D27&lt;&gt;0,D28/D27-1,"")</f>
        <v/>
      </c>
      <c r="Q28" s="43">
        <f>IFERROR(D28/100,0)</f>
        <v/>
      </c>
    </row>
    <row r="29" ht="21" customHeight="1">
      <c r="A29" s="7" t="inlineStr">
        <is>
          <t>612-2</t>
        </is>
      </c>
      <c r="B29" s="8" t="inlineStr">
        <is>
          <t>入札（公共）</t>
        </is>
      </c>
      <c r="C29" s="40" t="inlineStr">
        <is>
          <t>2025-04</t>
        </is>
      </c>
      <c r="D29" s="41">
        <f>IFERROR(VLOOKUP(C29,▼売上原票!$A:$P,4,0),0)</f>
        <v/>
      </c>
      <c r="E29" s="12" t="n">
        <v>1800000</v>
      </c>
      <c r="F29" s="12" t="n">
        <v>520000</v>
      </c>
      <c r="G29" s="12" t="n">
        <v>240000</v>
      </c>
      <c r="H29" s="12" t="n">
        <v>1200000</v>
      </c>
      <c r="I29" s="12" t="n">
        <v>180000</v>
      </c>
      <c r="J29" s="12" t="n">
        <v>120000</v>
      </c>
      <c r="K29" s="13">
        <f>E29+F29+G29+H29+I29+J29</f>
        <v/>
      </c>
      <c r="L29" s="14">
        <f>D29-K29</f>
        <v/>
      </c>
      <c r="M29" s="15">
        <f>IF(D29&lt;&gt;0,L29/D29,0)</f>
        <v/>
      </c>
      <c r="N29" s="42">
        <f>IF(D29=0,"—",IF(M29&gt;=0.25,"◎ 優良",IF(M29&gt;=0.15,"○ 良好",IF(M29&gt;=0.05,"△ 要注意","× 赤字"))))</f>
        <v/>
      </c>
      <c r="O29" s="17" t="inlineStr">
        <is>
          <t>C002都営</t>
        </is>
      </c>
      <c r="P29" s="18">
        <f>IF(D28&lt;&gt;0,D29/D28-1,"")</f>
        <v/>
      </c>
      <c r="Q29" s="43">
        <f>IFERROR(D29/100,0)</f>
        <v/>
      </c>
    </row>
    <row r="30" ht="21" customHeight="1">
      <c r="A30" s="7" t="inlineStr">
        <is>
          <t>612-2</t>
        </is>
      </c>
      <c r="B30" s="8" t="inlineStr">
        <is>
          <t>入札（公共）</t>
        </is>
      </c>
      <c r="C30" s="40" t="inlineStr">
        <is>
          <t>2025-05</t>
        </is>
      </c>
      <c r="D30" s="41">
        <f>IFERROR(VLOOKUP(C30,▼売上原票!$A:$P,4,0),0)</f>
        <v/>
      </c>
      <c r="E30" s="12" t="n">
        <v>1800000</v>
      </c>
      <c r="F30" s="12" t="n">
        <v>520000</v>
      </c>
      <c r="G30" s="12" t="n">
        <v>240000</v>
      </c>
      <c r="H30" s="12" t="n">
        <v>1200000</v>
      </c>
      <c r="I30" s="12" t="n">
        <v>180000</v>
      </c>
      <c r="J30" s="12" t="n">
        <v>120000</v>
      </c>
      <c r="K30" s="13">
        <f>E30+F30+G30+H30+I30+J30</f>
        <v/>
      </c>
      <c r="L30" s="14">
        <f>D30-K30</f>
        <v/>
      </c>
      <c r="M30" s="15">
        <f>IF(D30&lt;&gt;0,L30/D30,0)</f>
        <v/>
      </c>
      <c r="N30" s="42">
        <f>IF(D30=0,"—",IF(M30&gt;=0.25,"◎ 優良",IF(M30&gt;=0.15,"○ 良好",IF(M30&gt;=0.05,"△ 要注意","× 赤字"))))</f>
        <v/>
      </c>
      <c r="O30" s="17" t="inlineStr">
        <is>
          <t>C002都営</t>
        </is>
      </c>
      <c r="P30" s="18">
        <f>IF(D29&lt;&gt;0,D30/D29-1,"")</f>
        <v/>
      </c>
      <c r="Q30" s="43">
        <f>IFERROR(D30/100,0)</f>
        <v/>
      </c>
    </row>
    <row r="31" ht="21" customHeight="1">
      <c r="A31" s="7" t="inlineStr">
        <is>
          <t>612-2</t>
        </is>
      </c>
      <c r="B31" s="8" t="inlineStr">
        <is>
          <t>入札（公共）</t>
        </is>
      </c>
      <c r="C31" s="40" t="inlineStr">
        <is>
          <t>2025-06</t>
        </is>
      </c>
      <c r="D31" s="41">
        <f>IFERROR(VLOOKUP(C31,▼売上原票!$A:$P,4,0),0)</f>
        <v/>
      </c>
      <c r="E31" s="12" t="n">
        <v>1800000</v>
      </c>
      <c r="F31" s="12" t="n">
        <v>520000</v>
      </c>
      <c r="G31" s="12" t="n">
        <v>240000</v>
      </c>
      <c r="H31" s="12" t="n">
        <v>1200000</v>
      </c>
      <c r="I31" s="12" t="n">
        <v>180000</v>
      </c>
      <c r="J31" s="12" t="n">
        <v>120000</v>
      </c>
      <c r="K31" s="13">
        <f>E31+F31+G31+H31+I31+J31</f>
        <v/>
      </c>
      <c r="L31" s="14">
        <f>D31-K31</f>
        <v/>
      </c>
      <c r="M31" s="15">
        <f>IF(D31&lt;&gt;0,L31/D31,0)</f>
        <v/>
      </c>
      <c r="N31" s="42">
        <f>IF(D31=0,"—",IF(M31&gt;=0.25,"◎ 優良",IF(M31&gt;=0.15,"○ 良好",IF(M31&gt;=0.05,"△ 要注意","× 赤字"))))</f>
        <v/>
      </c>
      <c r="O31" s="17" t="inlineStr">
        <is>
          <t>C002都営</t>
        </is>
      </c>
      <c r="P31" s="18">
        <f>IF(D30&lt;&gt;0,D31/D30-1,"")</f>
        <v/>
      </c>
      <c r="Q31" s="43">
        <f>IFERROR(D31/100,0)</f>
        <v/>
      </c>
    </row>
    <row r="32" ht="21" customHeight="1">
      <c r="A32" s="7" t="inlineStr">
        <is>
          <t>612-2</t>
        </is>
      </c>
      <c r="B32" s="8" t="inlineStr">
        <is>
          <t>入札（公共）</t>
        </is>
      </c>
      <c r="C32" s="40" t="inlineStr">
        <is>
          <t>2025-07</t>
        </is>
      </c>
      <c r="D32" s="41">
        <f>IFERROR(VLOOKUP(C32,▼売上原票!$A:$P,4,0),0)</f>
        <v/>
      </c>
      <c r="E32" s="12" t="n">
        <v>1800000</v>
      </c>
      <c r="F32" s="12" t="n">
        <v>520000</v>
      </c>
      <c r="G32" s="12" t="n">
        <v>240000</v>
      </c>
      <c r="H32" s="12" t="n">
        <v>1200000</v>
      </c>
      <c r="I32" s="12" t="n">
        <v>180000</v>
      </c>
      <c r="J32" s="12" t="n">
        <v>120000</v>
      </c>
      <c r="K32" s="13">
        <f>E32+F32+G32+H32+I32+J32</f>
        <v/>
      </c>
      <c r="L32" s="14">
        <f>D32-K32</f>
        <v/>
      </c>
      <c r="M32" s="15">
        <f>IF(D32&lt;&gt;0,L32/D32,0)</f>
        <v/>
      </c>
      <c r="N32" s="42">
        <f>IF(D32=0,"—",IF(M32&gt;=0.25,"◎ 優良",IF(M32&gt;=0.15,"○ 良好",IF(M32&gt;=0.05,"△ 要注意","× 赤字"))))</f>
        <v/>
      </c>
      <c r="O32" s="17" t="inlineStr">
        <is>
          <t>C002都営</t>
        </is>
      </c>
      <c r="P32" s="18">
        <f>IF(D31&lt;&gt;0,D32/D31-1,"")</f>
        <v/>
      </c>
      <c r="Q32" s="43">
        <f>IFERROR(D32/100,0)</f>
        <v/>
      </c>
    </row>
    <row r="33" ht="21" customHeight="1">
      <c r="A33" s="7" t="inlineStr">
        <is>
          <t>612-2</t>
        </is>
      </c>
      <c r="B33" s="8" t="inlineStr">
        <is>
          <t>入札（公共）</t>
        </is>
      </c>
      <c r="C33" s="40" t="inlineStr">
        <is>
          <t>2025-08</t>
        </is>
      </c>
      <c r="D33" s="41">
        <f>IFERROR(VLOOKUP(C33,▼売上原票!$A:$P,4,0),0)</f>
        <v/>
      </c>
      <c r="E33" s="12" t="n">
        <v>1800000</v>
      </c>
      <c r="F33" s="12" t="n">
        <v>520000</v>
      </c>
      <c r="G33" s="12" t="n">
        <v>240000</v>
      </c>
      <c r="H33" s="12" t="n">
        <v>1200000</v>
      </c>
      <c r="I33" s="12" t="n">
        <v>180000</v>
      </c>
      <c r="J33" s="12" t="n">
        <v>120000</v>
      </c>
      <c r="K33" s="13">
        <f>E33+F33+G33+H33+I33+J33</f>
        <v/>
      </c>
      <c r="L33" s="14">
        <f>D33-K33</f>
        <v/>
      </c>
      <c r="M33" s="15">
        <f>IF(D33&lt;&gt;0,L33/D33,0)</f>
        <v/>
      </c>
      <c r="N33" s="42">
        <f>IF(D33=0,"—",IF(M33&gt;=0.25,"◎ 優良",IF(M33&gt;=0.15,"○ 良好",IF(M33&gt;=0.05,"△ 要注意","× 赤字"))))</f>
        <v/>
      </c>
      <c r="O33" s="17" t="inlineStr">
        <is>
          <t>C002都営</t>
        </is>
      </c>
      <c r="P33" s="18">
        <f>IF(D32&lt;&gt;0,D33/D32-1,"")</f>
        <v/>
      </c>
      <c r="Q33" s="43">
        <f>IFERROR(D33/100,0)</f>
        <v/>
      </c>
    </row>
    <row r="34" ht="5" customHeight="1">
      <c r="A34" s="44" t="n"/>
      <c r="B34" s="44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  <c r="M34" s="44" t="n"/>
      <c r="N34" s="44" t="n"/>
      <c r="O34" s="44" t="n"/>
      <c r="P34" s="44" t="n"/>
      <c r="Q34" s="44" t="n"/>
    </row>
    <row r="35" ht="21" customHeight="1">
      <c r="A35" s="20" t="inlineStr">
        <is>
          <t>613-1</t>
        </is>
      </c>
      <c r="B35" s="21" t="inlineStr">
        <is>
          <t>車輌</t>
        </is>
      </c>
      <c r="C35" s="40" t="inlineStr">
        <is>
          <t>2024-07</t>
        </is>
      </c>
      <c r="D35" s="41">
        <f>IFERROR(VLOOKUP(C35,▼売上原票!$A:$P,5,0),0)</f>
        <v/>
      </c>
      <c r="E35" s="12" t="n">
        <v>180000</v>
      </c>
      <c r="F35" s="12" t="n">
        <v>55000</v>
      </c>
      <c r="G35" s="12" t="n">
        <v>180000</v>
      </c>
      <c r="H35" s="12" t="n"/>
      <c r="I35" s="12" t="n">
        <v>15000</v>
      </c>
      <c r="J35" s="12" t="n">
        <v>20000</v>
      </c>
      <c r="K35" s="13">
        <f>E35+F35+G35+H35+I35+J35</f>
        <v/>
      </c>
      <c r="L35" s="14">
        <f>D35-K35</f>
        <v/>
      </c>
      <c r="M35" s="15">
        <f>IF(D35&lt;&gt;0,L35/D35,0)</f>
        <v/>
      </c>
      <c r="N35" s="42">
        <f>IF(D35=0,"—",IF(M35&gt;=0.25,"◎ 優良",IF(M35&gt;=0.15,"○ 良好",IF(M35&gt;=0.05,"△ 要注意","× 赤字"))))</f>
        <v/>
      </c>
      <c r="O35" s="23" t="inlineStr">
        <is>
          <t>C003一般</t>
        </is>
      </c>
      <c r="P35" s="23" t="inlineStr">
        <is>
          <t>—</t>
        </is>
      </c>
      <c r="Q35" s="45">
        <f>IFERROR(D35/100,0)</f>
        <v/>
      </c>
    </row>
    <row r="36" ht="21" customHeight="1">
      <c r="A36" s="20" t="inlineStr">
        <is>
          <t>613-1</t>
        </is>
      </c>
      <c r="B36" s="21" t="inlineStr">
        <is>
          <t>車輌</t>
        </is>
      </c>
      <c r="C36" s="40" t="inlineStr">
        <is>
          <t>2024-08</t>
        </is>
      </c>
      <c r="D36" s="41">
        <f>IFERROR(VLOOKUP(C36,▼売上原票!$A:$P,5,0),0)</f>
        <v/>
      </c>
      <c r="E36" s="12" t="n">
        <v>180000</v>
      </c>
      <c r="F36" s="12" t="n">
        <v>55000</v>
      </c>
      <c r="G36" s="12" t="n">
        <v>180000</v>
      </c>
      <c r="H36" s="12" t="n"/>
      <c r="I36" s="12" t="n">
        <v>15000</v>
      </c>
      <c r="J36" s="12" t="n">
        <v>20000</v>
      </c>
      <c r="K36" s="13">
        <f>E36+F36+G36+H36+I36+J36</f>
        <v/>
      </c>
      <c r="L36" s="14">
        <f>D36-K36</f>
        <v/>
      </c>
      <c r="M36" s="15">
        <f>IF(D36&lt;&gt;0,L36/D36,0)</f>
        <v/>
      </c>
      <c r="N36" s="42">
        <f>IF(D36=0,"—",IF(M36&gt;=0.25,"◎ 優良",IF(M36&gt;=0.15,"○ 良好",IF(M36&gt;=0.05,"△ 要注意","× 赤字"))))</f>
        <v/>
      </c>
      <c r="O36" s="23" t="inlineStr">
        <is>
          <t>C003一般</t>
        </is>
      </c>
      <c r="P36" s="24">
        <f>IF(D35&lt;&gt;0,D36/D35-1,"")</f>
        <v/>
      </c>
      <c r="Q36" s="45">
        <f>IFERROR(D36/100,0)</f>
        <v/>
      </c>
    </row>
    <row r="37" ht="21" customHeight="1">
      <c r="A37" s="20" t="inlineStr">
        <is>
          <t>613-1</t>
        </is>
      </c>
      <c r="B37" s="21" t="inlineStr">
        <is>
          <t>車輌</t>
        </is>
      </c>
      <c r="C37" s="40" t="inlineStr">
        <is>
          <t>2024-09</t>
        </is>
      </c>
      <c r="D37" s="41">
        <f>IFERROR(VLOOKUP(C37,▼売上原票!$A:$P,5,0),0)</f>
        <v/>
      </c>
      <c r="E37" s="12" t="n">
        <v>180000</v>
      </c>
      <c r="F37" s="12" t="n">
        <v>55000</v>
      </c>
      <c r="G37" s="12" t="n">
        <v>180000</v>
      </c>
      <c r="H37" s="12" t="n"/>
      <c r="I37" s="12" t="n">
        <v>15000</v>
      </c>
      <c r="J37" s="12" t="n">
        <v>20000</v>
      </c>
      <c r="K37" s="13">
        <f>E37+F37+G37+H37+I37+J37</f>
        <v/>
      </c>
      <c r="L37" s="14">
        <f>D37-K37</f>
        <v/>
      </c>
      <c r="M37" s="15">
        <f>IF(D37&lt;&gt;0,L37/D37,0)</f>
        <v/>
      </c>
      <c r="N37" s="42">
        <f>IF(D37=0,"—",IF(M37&gt;=0.25,"◎ 優良",IF(M37&gt;=0.15,"○ 良好",IF(M37&gt;=0.05,"△ 要注意","× 赤字"))))</f>
        <v/>
      </c>
      <c r="O37" s="23" t="inlineStr">
        <is>
          <t>C003一般</t>
        </is>
      </c>
      <c r="P37" s="24">
        <f>IF(D36&lt;&gt;0,D37/D36-1,"")</f>
        <v/>
      </c>
      <c r="Q37" s="45">
        <f>IFERROR(D37/100,0)</f>
        <v/>
      </c>
    </row>
    <row r="38" ht="21" customHeight="1">
      <c r="A38" s="20" t="inlineStr">
        <is>
          <t>613-1</t>
        </is>
      </c>
      <c r="B38" s="21" t="inlineStr">
        <is>
          <t>車輌</t>
        </is>
      </c>
      <c r="C38" s="40" t="inlineStr">
        <is>
          <t>2024-10</t>
        </is>
      </c>
      <c r="D38" s="41">
        <f>IFERROR(VLOOKUP(C38,▼売上原票!$A:$P,5,0),0)</f>
        <v/>
      </c>
      <c r="E38" s="12" t="n">
        <v>180000</v>
      </c>
      <c r="F38" s="12" t="n">
        <v>55000</v>
      </c>
      <c r="G38" s="12" t="n">
        <v>180000</v>
      </c>
      <c r="H38" s="12" t="n"/>
      <c r="I38" s="12" t="n">
        <v>15000</v>
      </c>
      <c r="J38" s="12" t="n">
        <v>20000</v>
      </c>
      <c r="K38" s="13">
        <f>E38+F38+G38+H38+I38+J38</f>
        <v/>
      </c>
      <c r="L38" s="14">
        <f>D38-K38</f>
        <v/>
      </c>
      <c r="M38" s="15">
        <f>IF(D38&lt;&gt;0,L38/D38,0)</f>
        <v/>
      </c>
      <c r="N38" s="42">
        <f>IF(D38=0,"—",IF(M38&gt;=0.25,"◎ 優良",IF(M38&gt;=0.15,"○ 良好",IF(M38&gt;=0.05,"△ 要注意","× 赤字"))))</f>
        <v/>
      </c>
      <c r="O38" s="23" t="inlineStr">
        <is>
          <t>C003一般</t>
        </is>
      </c>
      <c r="P38" s="24">
        <f>IF(D37&lt;&gt;0,D38/D37-1,"")</f>
        <v/>
      </c>
      <c r="Q38" s="45">
        <f>IFERROR(D38/100,0)</f>
        <v/>
      </c>
    </row>
    <row r="39" ht="21" customHeight="1">
      <c r="A39" s="20" t="inlineStr">
        <is>
          <t>613-1</t>
        </is>
      </c>
      <c r="B39" s="21" t="inlineStr">
        <is>
          <t>車輌</t>
        </is>
      </c>
      <c r="C39" s="40" t="inlineStr">
        <is>
          <t>2024-11</t>
        </is>
      </c>
      <c r="D39" s="41">
        <f>IFERROR(VLOOKUP(C39,▼売上原票!$A:$P,5,0),0)</f>
        <v/>
      </c>
      <c r="E39" s="12" t="n">
        <v>180000</v>
      </c>
      <c r="F39" s="12" t="n">
        <v>55000</v>
      </c>
      <c r="G39" s="12" t="n">
        <v>180000</v>
      </c>
      <c r="H39" s="12" t="n"/>
      <c r="I39" s="12" t="n">
        <v>15000</v>
      </c>
      <c r="J39" s="12" t="n">
        <v>20000</v>
      </c>
      <c r="K39" s="13">
        <f>E39+F39+G39+H39+I39+J39</f>
        <v/>
      </c>
      <c r="L39" s="14">
        <f>D39-K39</f>
        <v/>
      </c>
      <c r="M39" s="15">
        <f>IF(D39&lt;&gt;0,L39/D39,0)</f>
        <v/>
      </c>
      <c r="N39" s="42">
        <f>IF(D39=0,"—",IF(M39&gt;=0.25,"◎ 優良",IF(M39&gt;=0.15,"○ 良好",IF(M39&gt;=0.05,"△ 要注意","× 赤字"))))</f>
        <v/>
      </c>
      <c r="O39" s="23" t="inlineStr">
        <is>
          <t>C003一般</t>
        </is>
      </c>
      <c r="P39" s="24">
        <f>IF(D38&lt;&gt;0,D39/D38-1,"")</f>
        <v/>
      </c>
      <c r="Q39" s="45">
        <f>IFERROR(D39/100,0)</f>
        <v/>
      </c>
    </row>
    <row r="40" ht="21" customHeight="1">
      <c r="A40" s="20" t="inlineStr">
        <is>
          <t>613-1</t>
        </is>
      </c>
      <c r="B40" s="21" t="inlineStr">
        <is>
          <t>車輌</t>
        </is>
      </c>
      <c r="C40" s="40" t="inlineStr">
        <is>
          <t>2024-12</t>
        </is>
      </c>
      <c r="D40" s="41">
        <f>IFERROR(VLOOKUP(C40,▼売上原票!$A:$P,5,0),0)</f>
        <v/>
      </c>
      <c r="E40" s="12" t="n">
        <v>180000</v>
      </c>
      <c r="F40" s="12" t="n">
        <v>55000</v>
      </c>
      <c r="G40" s="12" t="n">
        <v>180000</v>
      </c>
      <c r="H40" s="12" t="n"/>
      <c r="I40" s="12" t="n">
        <v>15000</v>
      </c>
      <c r="J40" s="12" t="n">
        <v>20000</v>
      </c>
      <c r="K40" s="13">
        <f>E40+F40+G40+H40+I40+J40</f>
        <v/>
      </c>
      <c r="L40" s="14">
        <f>D40-K40</f>
        <v/>
      </c>
      <c r="M40" s="15">
        <f>IF(D40&lt;&gt;0,L40/D40,0)</f>
        <v/>
      </c>
      <c r="N40" s="42">
        <f>IF(D40=0,"—",IF(M40&gt;=0.25,"◎ 優良",IF(M40&gt;=0.15,"○ 良好",IF(M40&gt;=0.05,"△ 要注意","× 赤字"))))</f>
        <v/>
      </c>
      <c r="O40" s="23" t="inlineStr">
        <is>
          <t>C003一般</t>
        </is>
      </c>
      <c r="P40" s="24">
        <f>IF(D39&lt;&gt;0,D40/D39-1,"")</f>
        <v/>
      </c>
      <c r="Q40" s="45">
        <f>IFERROR(D40/100,0)</f>
        <v/>
      </c>
    </row>
    <row r="41" ht="21" customHeight="1">
      <c r="A41" s="20" t="inlineStr">
        <is>
          <t>613-1</t>
        </is>
      </c>
      <c r="B41" s="21" t="inlineStr">
        <is>
          <t>車輌</t>
        </is>
      </c>
      <c r="C41" s="40" t="inlineStr">
        <is>
          <t>2025-01</t>
        </is>
      </c>
      <c r="D41" s="41">
        <f>IFERROR(VLOOKUP(C41,▼売上原票!$A:$P,5,0),0)</f>
        <v/>
      </c>
      <c r="E41" s="12" t="n">
        <v>180000</v>
      </c>
      <c r="F41" s="12" t="n">
        <v>55000</v>
      </c>
      <c r="G41" s="12" t="n">
        <v>180000</v>
      </c>
      <c r="H41" s="12" t="n"/>
      <c r="I41" s="12" t="n">
        <v>15000</v>
      </c>
      <c r="J41" s="12" t="n">
        <v>20000</v>
      </c>
      <c r="K41" s="13">
        <f>E41+F41+G41+H41+I41+J41</f>
        <v/>
      </c>
      <c r="L41" s="14">
        <f>D41-K41</f>
        <v/>
      </c>
      <c r="M41" s="15">
        <f>IF(D41&lt;&gt;0,L41/D41,0)</f>
        <v/>
      </c>
      <c r="N41" s="42">
        <f>IF(D41=0,"—",IF(M41&gt;=0.25,"◎ 優良",IF(M41&gt;=0.15,"○ 良好",IF(M41&gt;=0.05,"△ 要注意","× 赤字"))))</f>
        <v/>
      </c>
      <c r="O41" s="23" t="inlineStr">
        <is>
          <t>C003一般</t>
        </is>
      </c>
      <c r="P41" s="24">
        <f>IF(D40&lt;&gt;0,D41/D40-1,"")</f>
        <v/>
      </c>
      <c r="Q41" s="45">
        <f>IFERROR(D41/100,0)</f>
        <v/>
      </c>
    </row>
    <row r="42" ht="21" customHeight="1">
      <c r="A42" s="20" t="inlineStr">
        <is>
          <t>613-1</t>
        </is>
      </c>
      <c r="B42" s="21" t="inlineStr">
        <is>
          <t>車輌</t>
        </is>
      </c>
      <c r="C42" s="40" t="inlineStr">
        <is>
          <t>2025-02</t>
        </is>
      </c>
      <c r="D42" s="41">
        <f>IFERROR(VLOOKUP(C42,▼売上原票!$A:$P,5,0),0)</f>
        <v/>
      </c>
      <c r="E42" s="12" t="n">
        <v>180000</v>
      </c>
      <c r="F42" s="12" t="n">
        <v>55000</v>
      </c>
      <c r="G42" s="12" t="n">
        <v>180000</v>
      </c>
      <c r="H42" s="12" t="n"/>
      <c r="I42" s="12" t="n">
        <v>15000</v>
      </c>
      <c r="J42" s="12" t="n">
        <v>20000</v>
      </c>
      <c r="K42" s="13">
        <f>E42+F42+G42+H42+I42+J42</f>
        <v/>
      </c>
      <c r="L42" s="14">
        <f>D42-K42</f>
        <v/>
      </c>
      <c r="M42" s="15">
        <f>IF(D42&lt;&gt;0,L42/D42,0)</f>
        <v/>
      </c>
      <c r="N42" s="42">
        <f>IF(D42=0,"—",IF(M42&gt;=0.25,"◎ 優良",IF(M42&gt;=0.15,"○ 良好",IF(M42&gt;=0.05,"△ 要注意","× 赤字"))))</f>
        <v/>
      </c>
      <c r="O42" s="23" t="inlineStr">
        <is>
          <t>C003一般</t>
        </is>
      </c>
      <c r="P42" s="24">
        <f>IF(D41&lt;&gt;0,D42/D41-1,"")</f>
        <v/>
      </c>
      <c r="Q42" s="45">
        <f>IFERROR(D42/100,0)</f>
        <v/>
      </c>
    </row>
    <row r="43" ht="21" customHeight="1">
      <c r="A43" s="20" t="inlineStr">
        <is>
          <t>613-1</t>
        </is>
      </c>
      <c r="B43" s="21" t="inlineStr">
        <is>
          <t>車輌</t>
        </is>
      </c>
      <c r="C43" s="40" t="inlineStr">
        <is>
          <t>2025-03</t>
        </is>
      </c>
      <c r="D43" s="41">
        <f>IFERROR(VLOOKUP(C43,▼売上原票!$A:$P,5,0),0)</f>
        <v/>
      </c>
      <c r="E43" s="12" t="n">
        <v>180000</v>
      </c>
      <c r="F43" s="12" t="n">
        <v>55000</v>
      </c>
      <c r="G43" s="12" t="n">
        <v>180000</v>
      </c>
      <c r="H43" s="12" t="n"/>
      <c r="I43" s="12" t="n">
        <v>15000</v>
      </c>
      <c r="J43" s="12" t="n">
        <v>20000</v>
      </c>
      <c r="K43" s="13">
        <f>E43+F43+G43+H43+I43+J43</f>
        <v/>
      </c>
      <c r="L43" s="14">
        <f>D43-K43</f>
        <v/>
      </c>
      <c r="M43" s="15">
        <f>IF(D43&lt;&gt;0,L43/D43,0)</f>
        <v/>
      </c>
      <c r="N43" s="42">
        <f>IF(D43=0,"—",IF(M43&gt;=0.25,"◎ 優良",IF(M43&gt;=0.15,"○ 良好",IF(M43&gt;=0.05,"△ 要注意","× 赤字"))))</f>
        <v/>
      </c>
      <c r="O43" s="23" t="inlineStr">
        <is>
          <t>C003一般</t>
        </is>
      </c>
      <c r="P43" s="24">
        <f>IF(D42&lt;&gt;0,D43/D42-1,"")</f>
        <v/>
      </c>
      <c r="Q43" s="45">
        <f>IFERROR(D43/100,0)</f>
        <v/>
      </c>
    </row>
    <row r="44" ht="21" customHeight="1">
      <c r="A44" s="20" t="inlineStr">
        <is>
          <t>613-1</t>
        </is>
      </c>
      <c r="B44" s="21" t="inlineStr">
        <is>
          <t>車輌</t>
        </is>
      </c>
      <c r="C44" s="40" t="inlineStr">
        <is>
          <t>2025-04</t>
        </is>
      </c>
      <c r="D44" s="41">
        <f>IFERROR(VLOOKUP(C44,▼売上原票!$A:$P,5,0),0)</f>
        <v/>
      </c>
      <c r="E44" s="12" t="n">
        <v>180000</v>
      </c>
      <c r="F44" s="12" t="n">
        <v>55000</v>
      </c>
      <c r="G44" s="12" t="n">
        <v>180000</v>
      </c>
      <c r="H44" s="12" t="n"/>
      <c r="I44" s="12" t="n">
        <v>15000</v>
      </c>
      <c r="J44" s="12" t="n">
        <v>20000</v>
      </c>
      <c r="K44" s="13">
        <f>E44+F44+G44+H44+I44+J44</f>
        <v/>
      </c>
      <c r="L44" s="14">
        <f>D44-K44</f>
        <v/>
      </c>
      <c r="M44" s="15">
        <f>IF(D44&lt;&gt;0,L44/D44,0)</f>
        <v/>
      </c>
      <c r="N44" s="42">
        <f>IF(D44=0,"—",IF(M44&gt;=0.25,"◎ 優良",IF(M44&gt;=0.15,"○ 良好",IF(M44&gt;=0.05,"△ 要注意","× 赤字"))))</f>
        <v/>
      </c>
      <c r="O44" s="23" t="inlineStr">
        <is>
          <t>C003一般</t>
        </is>
      </c>
      <c r="P44" s="24">
        <f>IF(D43&lt;&gt;0,D44/D43-1,"")</f>
        <v/>
      </c>
      <c r="Q44" s="45">
        <f>IFERROR(D44/100,0)</f>
        <v/>
      </c>
    </row>
    <row r="45" ht="21" customHeight="1">
      <c r="A45" s="20" t="inlineStr">
        <is>
          <t>613-1</t>
        </is>
      </c>
      <c r="B45" s="21" t="inlineStr">
        <is>
          <t>車輌</t>
        </is>
      </c>
      <c r="C45" s="40" t="inlineStr">
        <is>
          <t>2025-05</t>
        </is>
      </c>
      <c r="D45" s="41">
        <f>IFERROR(VLOOKUP(C45,▼売上原票!$A:$P,5,0),0)</f>
        <v/>
      </c>
      <c r="E45" s="12" t="n">
        <v>180000</v>
      </c>
      <c r="F45" s="12" t="n">
        <v>55000</v>
      </c>
      <c r="G45" s="12" t="n">
        <v>180000</v>
      </c>
      <c r="H45" s="12" t="n"/>
      <c r="I45" s="12" t="n">
        <v>15000</v>
      </c>
      <c r="J45" s="12" t="n">
        <v>20000</v>
      </c>
      <c r="K45" s="13">
        <f>E45+F45+G45+H45+I45+J45</f>
        <v/>
      </c>
      <c r="L45" s="14">
        <f>D45-K45</f>
        <v/>
      </c>
      <c r="M45" s="15">
        <f>IF(D45&lt;&gt;0,L45/D45,0)</f>
        <v/>
      </c>
      <c r="N45" s="42">
        <f>IF(D45=0,"—",IF(M45&gt;=0.25,"◎ 優良",IF(M45&gt;=0.15,"○ 良好",IF(M45&gt;=0.05,"△ 要注意","× 赤字"))))</f>
        <v/>
      </c>
      <c r="O45" s="23" t="inlineStr">
        <is>
          <t>C003一般</t>
        </is>
      </c>
      <c r="P45" s="24">
        <f>IF(D44&lt;&gt;0,D45/D44-1,"")</f>
        <v/>
      </c>
      <c r="Q45" s="45">
        <f>IFERROR(D45/100,0)</f>
        <v/>
      </c>
    </row>
    <row r="46" ht="21" customHeight="1">
      <c r="A46" s="20" t="inlineStr">
        <is>
          <t>613-1</t>
        </is>
      </c>
      <c r="B46" s="21" t="inlineStr">
        <is>
          <t>車輌</t>
        </is>
      </c>
      <c r="C46" s="40" t="inlineStr">
        <is>
          <t>2025-06</t>
        </is>
      </c>
      <c r="D46" s="41">
        <f>IFERROR(VLOOKUP(C46,▼売上原票!$A:$P,5,0),0)</f>
        <v/>
      </c>
      <c r="E46" s="12" t="n">
        <v>180000</v>
      </c>
      <c r="F46" s="12" t="n">
        <v>55000</v>
      </c>
      <c r="G46" s="12" t="n">
        <v>180000</v>
      </c>
      <c r="H46" s="12" t="n"/>
      <c r="I46" s="12" t="n">
        <v>15000</v>
      </c>
      <c r="J46" s="12" t="n">
        <v>20000</v>
      </c>
      <c r="K46" s="13">
        <f>E46+F46+G46+H46+I46+J46</f>
        <v/>
      </c>
      <c r="L46" s="14">
        <f>D46-K46</f>
        <v/>
      </c>
      <c r="M46" s="15">
        <f>IF(D46&lt;&gt;0,L46/D46,0)</f>
        <v/>
      </c>
      <c r="N46" s="42">
        <f>IF(D46=0,"—",IF(M46&gt;=0.25,"◎ 優良",IF(M46&gt;=0.15,"○ 良好",IF(M46&gt;=0.05,"△ 要注意","× 赤字"))))</f>
        <v/>
      </c>
      <c r="O46" s="23" t="inlineStr">
        <is>
          <t>C003一般</t>
        </is>
      </c>
      <c r="P46" s="24">
        <f>IF(D45&lt;&gt;0,D46/D45-1,"")</f>
        <v/>
      </c>
      <c r="Q46" s="45">
        <f>IFERROR(D46/100,0)</f>
        <v/>
      </c>
    </row>
    <row r="47" ht="21" customHeight="1">
      <c r="A47" s="20" t="inlineStr">
        <is>
          <t>613-1</t>
        </is>
      </c>
      <c r="B47" s="21" t="inlineStr">
        <is>
          <t>車輌</t>
        </is>
      </c>
      <c r="C47" s="40" t="inlineStr">
        <is>
          <t>2025-07</t>
        </is>
      </c>
      <c r="D47" s="41">
        <f>IFERROR(VLOOKUP(C47,▼売上原票!$A:$P,5,0),0)</f>
        <v/>
      </c>
      <c r="E47" s="12" t="n">
        <v>180000</v>
      </c>
      <c r="F47" s="12" t="n">
        <v>55000</v>
      </c>
      <c r="G47" s="12" t="n">
        <v>180000</v>
      </c>
      <c r="H47" s="12" t="n"/>
      <c r="I47" s="12" t="n">
        <v>15000</v>
      </c>
      <c r="J47" s="12" t="n">
        <v>20000</v>
      </c>
      <c r="K47" s="13">
        <f>E47+F47+G47+H47+I47+J47</f>
        <v/>
      </c>
      <c r="L47" s="14">
        <f>D47-K47</f>
        <v/>
      </c>
      <c r="M47" s="15">
        <f>IF(D47&lt;&gt;0,L47/D47,0)</f>
        <v/>
      </c>
      <c r="N47" s="42">
        <f>IF(D47=0,"—",IF(M47&gt;=0.25,"◎ 優良",IF(M47&gt;=0.15,"○ 良好",IF(M47&gt;=0.05,"△ 要注意","× 赤字"))))</f>
        <v/>
      </c>
      <c r="O47" s="23" t="inlineStr">
        <is>
          <t>C003一般</t>
        </is>
      </c>
      <c r="P47" s="24">
        <f>IF(D46&lt;&gt;0,D47/D46-1,"")</f>
        <v/>
      </c>
      <c r="Q47" s="45">
        <f>IFERROR(D47/100,0)</f>
        <v/>
      </c>
    </row>
    <row r="48" ht="21" customHeight="1">
      <c r="A48" s="20" t="inlineStr">
        <is>
          <t>613-1</t>
        </is>
      </c>
      <c r="B48" s="21" t="inlineStr">
        <is>
          <t>車輌</t>
        </is>
      </c>
      <c r="C48" s="40" t="inlineStr">
        <is>
          <t>2025-08</t>
        </is>
      </c>
      <c r="D48" s="41">
        <f>IFERROR(VLOOKUP(C48,▼売上原票!$A:$P,5,0),0)</f>
        <v/>
      </c>
      <c r="E48" s="12" t="n">
        <v>180000</v>
      </c>
      <c r="F48" s="12" t="n">
        <v>55000</v>
      </c>
      <c r="G48" s="12" t="n">
        <v>180000</v>
      </c>
      <c r="H48" s="12" t="n"/>
      <c r="I48" s="12" t="n">
        <v>15000</v>
      </c>
      <c r="J48" s="12" t="n">
        <v>20000</v>
      </c>
      <c r="K48" s="13">
        <f>E48+F48+G48+H48+I48+J48</f>
        <v/>
      </c>
      <c r="L48" s="14">
        <f>D48-K48</f>
        <v/>
      </c>
      <c r="M48" s="15">
        <f>IF(D48&lt;&gt;0,L48/D48,0)</f>
        <v/>
      </c>
      <c r="N48" s="42">
        <f>IF(D48=0,"—",IF(M48&gt;=0.25,"◎ 優良",IF(M48&gt;=0.15,"○ 良好",IF(M48&gt;=0.05,"△ 要注意","× 赤字"))))</f>
        <v/>
      </c>
      <c r="O48" s="23" t="inlineStr">
        <is>
          <t>C003一般</t>
        </is>
      </c>
      <c r="P48" s="24">
        <f>IF(D47&lt;&gt;0,D48/D47-1,"")</f>
        <v/>
      </c>
      <c r="Q48" s="45">
        <f>IFERROR(D48/100,0)</f>
        <v/>
      </c>
    </row>
    <row r="49" ht="5" customHeight="1">
      <c r="A49" s="44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4" t="n"/>
      <c r="N49" s="44" t="n"/>
      <c r="O49" s="44" t="n"/>
      <c r="P49" s="44" t="n"/>
      <c r="Q49" s="44" t="n"/>
    </row>
    <row r="50" ht="21" customHeight="1">
      <c r="A50" s="20" t="inlineStr">
        <is>
          <t>613-2</t>
        </is>
      </c>
      <c r="B50" s="21" t="inlineStr">
        <is>
          <t>KC</t>
        </is>
      </c>
      <c r="C50" s="40" t="inlineStr">
        <is>
          <t>2024-07</t>
        </is>
      </c>
      <c r="D50" s="41">
        <f>IFERROR(VLOOKUP(C50,▼売上原票!$A:$P,6,0),0)</f>
        <v/>
      </c>
      <c r="E50" s="12" t="n"/>
      <c r="F50" s="12" t="n"/>
      <c r="G50" s="12" t="n"/>
      <c r="H50" s="12" t="n"/>
      <c r="I50" s="12" t="n"/>
      <c r="J50" s="12" t="n"/>
      <c r="K50" s="13">
        <f>E50+F50+G50+H50+I50+J50</f>
        <v/>
      </c>
      <c r="L50" s="14">
        <f>D50-K50</f>
        <v/>
      </c>
      <c r="M50" s="15">
        <f>IF(D50&lt;&gt;0,L50/D50,0)</f>
        <v/>
      </c>
      <c r="N50" s="42">
        <f>IF(D50=0,"—",IF(M50&gt;=0.25,"◎ 優良",IF(M50&gt;=0.15,"○ 良好",IF(M50&gt;=0.05,"△ 要注意","× 赤字"))))</f>
        <v/>
      </c>
      <c r="O50" s="23" t="inlineStr">
        <is>
          <t>別管理</t>
        </is>
      </c>
      <c r="P50" s="23" t="inlineStr">
        <is>
          <t>—</t>
        </is>
      </c>
      <c r="Q50" s="45">
        <f>IFERROR(D50/100,0)</f>
        <v/>
      </c>
    </row>
    <row r="51" ht="21" customHeight="1">
      <c r="A51" s="20" t="inlineStr">
        <is>
          <t>613-2</t>
        </is>
      </c>
      <c r="B51" s="21" t="inlineStr">
        <is>
          <t>KC</t>
        </is>
      </c>
      <c r="C51" s="40" t="inlineStr">
        <is>
          <t>2024-08</t>
        </is>
      </c>
      <c r="D51" s="41">
        <f>IFERROR(VLOOKUP(C51,▼売上原票!$A:$P,6,0),0)</f>
        <v/>
      </c>
      <c r="E51" s="12" t="n"/>
      <c r="F51" s="12" t="n"/>
      <c r="G51" s="12" t="n"/>
      <c r="H51" s="12" t="n"/>
      <c r="I51" s="12" t="n"/>
      <c r="J51" s="12" t="n"/>
      <c r="K51" s="13">
        <f>E51+F51+G51+H51+I51+J51</f>
        <v/>
      </c>
      <c r="L51" s="14">
        <f>D51-K51</f>
        <v/>
      </c>
      <c r="M51" s="15">
        <f>IF(D51&lt;&gt;0,L51/D51,0)</f>
        <v/>
      </c>
      <c r="N51" s="42">
        <f>IF(D51=0,"—",IF(M51&gt;=0.25,"◎ 優良",IF(M51&gt;=0.15,"○ 良好",IF(M51&gt;=0.05,"△ 要注意","× 赤字"))))</f>
        <v/>
      </c>
      <c r="O51" s="23" t="inlineStr">
        <is>
          <t>別管理</t>
        </is>
      </c>
      <c r="P51" s="24">
        <f>IF(D50&lt;&gt;0,D51/D50-1,"")</f>
        <v/>
      </c>
      <c r="Q51" s="45">
        <f>IFERROR(D51/100,0)</f>
        <v/>
      </c>
    </row>
    <row r="52" ht="21" customHeight="1">
      <c r="A52" s="20" t="inlineStr">
        <is>
          <t>613-2</t>
        </is>
      </c>
      <c r="B52" s="21" t="inlineStr">
        <is>
          <t>KC</t>
        </is>
      </c>
      <c r="C52" s="40" t="inlineStr">
        <is>
          <t>2024-09</t>
        </is>
      </c>
      <c r="D52" s="41">
        <f>IFERROR(VLOOKUP(C52,▼売上原票!$A:$P,6,0),0)</f>
        <v/>
      </c>
      <c r="E52" s="12" t="n"/>
      <c r="F52" s="12" t="n"/>
      <c r="G52" s="12" t="n"/>
      <c r="H52" s="12" t="n"/>
      <c r="I52" s="12" t="n"/>
      <c r="J52" s="12" t="n"/>
      <c r="K52" s="13">
        <f>E52+F52+G52+H52+I52+J52</f>
        <v/>
      </c>
      <c r="L52" s="14">
        <f>D52-K52</f>
        <v/>
      </c>
      <c r="M52" s="15">
        <f>IF(D52&lt;&gt;0,L52/D52,0)</f>
        <v/>
      </c>
      <c r="N52" s="42">
        <f>IF(D52=0,"—",IF(M52&gt;=0.25,"◎ 優良",IF(M52&gt;=0.15,"○ 良好",IF(M52&gt;=0.05,"△ 要注意","× 赤字"))))</f>
        <v/>
      </c>
      <c r="O52" s="23" t="inlineStr">
        <is>
          <t>別管理</t>
        </is>
      </c>
      <c r="P52" s="24">
        <f>IF(D51&lt;&gt;0,D52/D51-1,"")</f>
        <v/>
      </c>
      <c r="Q52" s="45">
        <f>IFERROR(D52/100,0)</f>
        <v/>
      </c>
    </row>
    <row r="53" ht="21" customHeight="1">
      <c r="A53" s="20" t="inlineStr">
        <is>
          <t>613-2</t>
        </is>
      </c>
      <c r="B53" s="21" t="inlineStr">
        <is>
          <t>KC</t>
        </is>
      </c>
      <c r="C53" s="40" t="inlineStr">
        <is>
          <t>2024-10</t>
        </is>
      </c>
      <c r="D53" s="41">
        <f>IFERROR(VLOOKUP(C53,▼売上原票!$A:$P,6,0),0)</f>
        <v/>
      </c>
      <c r="E53" s="12" t="n"/>
      <c r="F53" s="12" t="n"/>
      <c r="G53" s="12" t="n"/>
      <c r="H53" s="12" t="n"/>
      <c r="I53" s="12" t="n"/>
      <c r="J53" s="12" t="n"/>
      <c r="K53" s="13">
        <f>E53+F53+G53+H53+I53+J53</f>
        <v/>
      </c>
      <c r="L53" s="14">
        <f>D53-K53</f>
        <v/>
      </c>
      <c r="M53" s="15">
        <f>IF(D53&lt;&gt;0,L53/D53,0)</f>
        <v/>
      </c>
      <c r="N53" s="42">
        <f>IF(D53=0,"—",IF(M53&gt;=0.25,"◎ 優良",IF(M53&gt;=0.15,"○ 良好",IF(M53&gt;=0.05,"△ 要注意","× 赤字"))))</f>
        <v/>
      </c>
      <c r="O53" s="23" t="inlineStr">
        <is>
          <t>別管理</t>
        </is>
      </c>
      <c r="P53" s="24">
        <f>IF(D52&lt;&gt;0,D53/D52-1,"")</f>
        <v/>
      </c>
      <c r="Q53" s="45">
        <f>IFERROR(D53/100,0)</f>
        <v/>
      </c>
    </row>
    <row r="54" ht="21" customHeight="1">
      <c r="A54" s="20" t="inlineStr">
        <is>
          <t>613-2</t>
        </is>
      </c>
      <c r="B54" s="21" t="inlineStr">
        <is>
          <t>KC</t>
        </is>
      </c>
      <c r="C54" s="40" t="inlineStr">
        <is>
          <t>2024-11</t>
        </is>
      </c>
      <c r="D54" s="41">
        <f>IFERROR(VLOOKUP(C54,▼売上原票!$A:$P,6,0),0)</f>
        <v/>
      </c>
      <c r="E54" s="12" t="n"/>
      <c r="F54" s="12" t="n"/>
      <c r="G54" s="12" t="n"/>
      <c r="H54" s="12" t="n"/>
      <c r="I54" s="12" t="n"/>
      <c r="J54" s="12" t="n"/>
      <c r="K54" s="13">
        <f>E54+F54+G54+H54+I54+J54</f>
        <v/>
      </c>
      <c r="L54" s="14">
        <f>D54-K54</f>
        <v/>
      </c>
      <c r="M54" s="15">
        <f>IF(D54&lt;&gt;0,L54/D54,0)</f>
        <v/>
      </c>
      <c r="N54" s="42">
        <f>IF(D54=0,"—",IF(M54&gt;=0.25,"◎ 優良",IF(M54&gt;=0.15,"○ 良好",IF(M54&gt;=0.05,"△ 要注意","× 赤字"))))</f>
        <v/>
      </c>
      <c r="O54" s="23" t="inlineStr">
        <is>
          <t>別管理</t>
        </is>
      </c>
      <c r="P54" s="24">
        <f>IF(D53&lt;&gt;0,D54/D53-1,"")</f>
        <v/>
      </c>
      <c r="Q54" s="45">
        <f>IFERROR(D54/100,0)</f>
        <v/>
      </c>
    </row>
    <row r="55" ht="21" customHeight="1">
      <c r="A55" s="20" t="inlineStr">
        <is>
          <t>613-2</t>
        </is>
      </c>
      <c r="B55" s="21" t="inlineStr">
        <is>
          <t>KC</t>
        </is>
      </c>
      <c r="C55" s="40" t="inlineStr">
        <is>
          <t>2024-12</t>
        </is>
      </c>
      <c r="D55" s="41">
        <f>IFERROR(VLOOKUP(C55,▼売上原票!$A:$P,6,0),0)</f>
        <v/>
      </c>
      <c r="E55" s="12" t="n"/>
      <c r="F55" s="12" t="n"/>
      <c r="G55" s="12" t="n"/>
      <c r="H55" s="12" t="n"/>
      <c r="I55" s="12" t="n"/>
      <c r="J55" s="12" t="n"/>
      <c r="K55" s="13">
        <f>E55+F55+G55+H55+I55+J55</f>
        <v/>
      </c>
      <c r="L55" s="14">
        <f>D55-K55</f>
        <v/>
      </c>
      <c r="M55" s="15">
        <f>IF(D55&lt;&gt;0,L55/D55,0)</f>
        <v/>
      </c>
      <c r="N55" s="42">
        <f>IF(D55=0,"—",IF(M55&gt;=0.25,"◎ 優良",IF(M55&gt;=0.15,"○ 良好",IF(M55&gt;=0.05,"△ 要注意","× 赤字"))))</f>
        <v/>
      </c>
      <c r="O55" s="23" t="inlineStr">
        <is>
          <t>別管理</t>
        </is>
      </c>
      <c r="P55" s="24">
        <f>IF(D54&lt;&gt;0,D55/D54-1,"")</f>
        <v/>
      </c>
      <c r="Q55" s="45">
        <f>IFERROR(D55/100,0)</f>
        <v/>
      </c>
    </row>
    <row r="56" ht="21" customHeight="1">
      <c r="A56" s="20" t="inlineStr">
        <is>
          <t>613-2</t>
        </is>
      </c>
      <c r="B56" s="21" t="inlineStr">
        <is>
          <t>KC</t>
        </is>
      </c>
      <c r="C56" s="40" t="inlineStr">
        <is>
          <t>2025-01</t>
        </is>
      </c>
      <c r="D56" s="41">
        <f>IFERROR(VLOOKUP(C56,▼売上原票!$A:$P,6,0),0)</f>
        <v/>
      </c>
      <c r="E56" s="12" t="n"/>
      <c r="F56" s="12" t="n"/>
      <c r="G56" s="12" t="n"/>
      <c r="H56" s="12" t="n"/>
      <c r="I56" s="12" t="n"/>
      <c r="J56" s="12" t="n"/>
      <c r="K56" s="13">
        <f>E56+F56+G56+H56+I56+J56</f>
        <v/>
      </c>
      <c r="L56" s="14">
        <f>D56-K56</f>
        <v/>
      </c>
      <c r="M56" s="15">
        <f>IF(D56&lt;&gt;0,L56/D56,0)</f>
        <v/>
      </c>
      <c r="N56" s="42">
        <f>IF(D56=0,"—",IF(M56&gt;=0.25,"◎ 優良",IF(M56&gt;=0.15,"○ 良好",IF(M56&gt;=0.05,"△ 要注意","× 赤字"))))</f>
        <v/>
      </c>
      <c r="O56" s="23" t="inlineStr">
        <is>
          <t>別管理</t>
        </is>
      </c>
      <c r="P56" s="24">
        <f>IF(D55&lt;&gt;0,D56/D55-1,"")</f>
        <v/>
      </c>
      <c r="Q56" s="45">
        <f>IFERROR(D56/100,0)</f>
        <v/>
      </c>
    </row>
    <row r="57" ht="21" customHeight="1">
      <c r="A57" s="20" t="inlineStr">
        <is>
          <t>613-2</t>
        </is>
      </c>
      <c r="B57" s="21" t="inlineStr">
        <is>
          <t>KC</t>
        </is>
      </c>
      <c r="C57" s="40" t="inlineStr">
        <is>
          <t>2025-02</t>
        </is>
      </c>
      <c r="D57" s="41">
        <f>IFERROR(VLOOKUP(C57,▼売上原票!$A:$P,6,0),0)</f>
        <v/>
      </c>
      <c r="E57" s="12" t="n"/>
      <c r="F57" s="12" t="n"/>
      <c r="G57" s="12" t="n"/>
      <c r="H57" s="12" t="n"/>
      <c r="I57" s="12" t="n"/>
      <c r="J57" s="12" t="n"/>
      <c r="K57" s="13">
        <f>E57+F57+G57+H57+I57+J57</f>
        <v/>
      </c>
      <c r="L57" s="14">
        <f>D57-K57</f>
        <v/>
      </c>
      <c r="M57" s="15">
        <f>IF(D57&lt;&gt;0,L57/D57,0)</f>
        <v/>
      </c>
      <c r="N57" s="42">
        <f>IF(D57=0,"—",IF(M57&gt;=0.25,"◎ 優良",IF(M57&gt;=0.15,"○ 良好",IF(M57&gt;=0.05,"△ 要注意","× 赤字"))))</f>
        <v/>
      </c>
      <c r="O57" s="23" t="inlineStr">
        <is>
          <t>別管理</t>
        </is>
      </c>
      <c r="P57" s="24">
        <f>IF(D56&lt;&gt;0,D57/D56-1,"")</f>
        <v/>
      </c>
      <c r="Q57" s="45">
        <f>IFERROR(D57/100,0)</f>
        <v/>
      </c>
    </row>
    <row r="58" ht="21" customHeight="1">
      <c r="A58" s="20" t="inlineStr">
        <is>
          <t>613-2</t>
        </is>
      </c>
      <c r="B58" s="21" t="inlineStr">
        <is>
          <t>KC</t>
        </is>
      </c>
      <c r="C58" s="40" t="inlineStr">
        <is>
          <t>2025-03</t>
        </is>
      </c>
      <c r="D58" s="41">
        <f>IFERROR(VLOOKUP(C58,▼売上原票!$A:$P,6,0),0)</f>
        <v/>
      </c>
      <c r="E58" s="12" t="n"/>
      <c r="F58" s="12" t="n"/>
      <c r="G58" s="12" t="n"/>
      <c r="H58" s="12" t="n"/>
      <c r="I58" s="12" t="n"/>
      <c r="J58" s="12" t="n"/>
      <c r="K58" s="13">
        <f>E58+F58+G58+H58+I58+J58</f>
        <v/>
      </c>
      <c r="L58" s="14">
        <f>D58-K58</f>
        <v/>
      </c>
      <c r="M58" s="15">
        <f>IF(D58&lt;&gt;0,L58/D58,0)</f>
        <v/>
      </c>
      <c r="N58" s="42">
        <f>IF(D58=0,"—",IF(M58&gt;=0.25,"◎ 優良",IF(M58&gt;=0.15,"○ 良好",IF(M58&gt;=0.05,"△ 要注意","× 赤字"))))</f>
        <v/>
      </c>
      <c r="O58" s="23" t="inlineStr">
        <is>
          <t>別管理</t>
        </is>
      </c>
      <c r="P58" s="24">
        <f>IF(D57&lt;&gt;0,D58/D57-1,"")</f>
        <v/>
      </c>
      <c r="Q58" s="45">
        <f>IFERROR(D58/100,0)</f>
        <v/>
      </c>
    </row>
    <row r="59" ht="21" customHeight="1">
      <c r="A59" s="20" t="inlineStr">
        <is>
          <t>613-2</t>
        </is>
      </c>
      <c r="B59" s="21" t="inlineStr">
        <is>
          <t>KC</t>
        </is>
      </c>
      <c r="C59" s="40" t="inlineStr">
        <is>
          <t>2025-04</t>
        </is>
      </c>
      <c r="D59" s="41">
        <f>IFERROR(VLOOKUP(C59,▼売上原票!$A:$P,6,0),0)</f>
        <v/>
      </c>
      <c r="E59" s="12" t="n"/>
      <c r="F59" s="12" t="n"/>
      <c r="G59" s="12" t="n"/>
      <c r="H59" s="12" t="n"/>
      <c r="I59" s="12" t="n"/>
      <c r="J59" s="12" t="n"/>
      <c r="K59" s="13">
        <f>E59+F59+G59+H59+I59+J59</f>
        <v/>
      </c>
      <c r="L59" s="14">
        <f>D59-K59</f>
        <v/>
      </c>
      <c r="M59" s="15">
        <f>IF(D59&lt;&gt;0,L59/D59,0)</f>
        <v/>
      </c>
      <c r="N59" s="42">
        <f>IF(D59=0,"—",IF(M59&gt;=0.25,"◎ 優良",IF(M59&gt;=0.15,"○ 良好",IF(M59&gt;=0.05,"△ 要注意","× 赤字"))))</f>
        <v/>
      </c>
      <c r="O59" s="23" t="inlineStr">
        <is>
          <t>別管理</t>
        </is>
      </c>
      <c r="P59" s="24">
        <f>IF(D58&lt;&gt;0,D59/D58-1,"")</f>
        <v/>
      </c>
      <c r="Q59" s="45">
        <f>IFERROR(D59/100,0)</f>
        <v/>
      </c>
    </row>
    <row r="60" ht="21" customHeight="1">
      <c r="A60" s="20" t="inlineStr">
        <is>
          <t>613-2</t>
        </is>
      </c>
      <c r="B60" s="21" t="inlineStr">
        <is>
          <t>KC</t>
        </is>
      </c>
      <c r="C60" s="40" t="inlineStr">
        <is>
          <t>2025-05</t>
        </is>
      </c>
      <c r="D60" s="41">
        <f>IFERROR(VLOOKUP(C60,▼売上原票!$A:$P,6,0),0)</f>
        <v/>
      </c>
      <c r="E60" s="12" t="n"/>
      <c r="F60" s="12" t="n"/>
      <c r="G60" s="12" t="n"/>
      <c r="H60" s="12" t="n"/>
      <c r="I60" s="12" t="n"/>
      <c r="J60" s="12" t="n"/>
      <c r="K60" s="13">
        <f>E60+F60+G60+H60+I60+J60</f>
        <v/>
      </c>
      <c r="L60" s="14">
        <f>D60-K60</f>
        <v/>
      </c>
      <c r="M60" s="15">
        <f>IF(D60&lt;&gt;0,L60/D60,0)</f>
        <v/>
      </c>
      <c r="N60" s="42">
        <f>IF(D60=0,"—",IF(M60&gt;=0.25,"◎ 優良",IF(M60&gt;=0.15,"○ 良好",IF(M60&gt;=0.05,"△ 要注意","× 赤字"))))</f>
        <v/>
      </c>
      <c r="O60" s="23" t="inlineStr">
        <is>
          <t>別管理</t>
        </is>
      </c>
      <c r="P60" s="24">
        <f>IF(D59&lt;&gt;0,D60/D59-1,"")</f>
        <v/>
      </c>
      <c r="Q60" s="45">
        <f>IFERROR(D60/100,0)</f>
        <v/>
      </c>
    </row>
    <row r="61" ht="21" customHeight="1">
      <c r="A61" s="20" t="inlineStr">
        <is>
          <t>613-2</t>
        </is>
      </c>
      <c r="B61" s="21" t="inlineStr">
        <is>
          <t>KC</t>
        </is>
      </c>
      <c r="C61" s="40" t="inlineStr">
        <is>
          <t>2025-06</t>
        </is>
      </c>
      <c r="D61" s="41">
        <f>IFERROR(VLOOKUP(C61,▼売上原票!$A:$P,6,0),0)</f>
        <v/>
      </c>
      <c r="E61" s="12" t="n"/>
      <c r="F61" s="12" t="n"/>
      <c r="G61" s="12" t="n"/>
      <c r="H61" s="12" t="n"/>
      <c r="I61" s="12" t="n"/>
      <c r="J61" s="12" t="n"/>
      <c r="K61" s="13">
        <f>E61+F61+G61+H61+I61+J61</f>
        <v/>
      </c>
      <c r="L61" s="14">
        <f>D61-K61</f>
        <v/>
      </c>
      <c r="M61" s="15">
        <f>IF(D61&lt;&gt;0,L61/D61,0)</f>
        <v/>
      </c>
      <c r="N61" s="42">
        <f>IF(D61=0,"—",IF(M61&gt;=0.25,"◎ 優良",IF(M61&gt;=0.15,"○ 良好",IF(M61&gt;=0.05,"△ 要注意","× 赤字"))))</f>
        <v/>
      </c>
      <c r="O61" s="23" t="inlineStr">
        <is>
          <t>別管理</t>
        </is>
      </c>
      <c r="P61" s="24">
        <f>IF(D60&lt;&gt;0,D61/D60-1,"")</f>
        <v/>
      </c>
      <c r="Q61" s="45">
        <f>IFERROR(D61/100,0)</f>
        <v/>
      </c>
    </row>
    <row r="62" ht="21" customHeight="1">
      <c r="A62" s="20" t="inlineStr">
        <is>
          <t>613-2</t>
        </is>
      </c>
      <c r="B62" s="21" t="inlineStr">
        <is>
          <t>KC</t>
        </is>
      </c>
      <c r="C62" s="40" t="inlineStr">
        <is>
          <t>2025-07</t>
        </is>
      </c>
      <c r="D62" s="41">
        <f>IFERROR(VLOOKUP(C62,▼売上原票!$A:$P,6,0),0)</f>
        <v/>
      </c>
      <c r="E62" s="12" t="n"/>
      <c r="F62" s="12" t="n"/>
      <c r="G62" s="12" t="n"/>
      <c r="H62" s="12" t="n"/>
      <c r="I62" s="12" t="n"/>
      <c r="J62" s="12" t="n"/>
      <c r="K62" s="13">
        <f>E62+F62+G62+H62+I62+J62</f>
        <v/>
      </c>
      <c r="L62" s="14">
        <f>D62-K62</f>
        <v/>
      </c>
      <c r="M62" s="15">
        <f>IF(D62&lt;&gt;0,L62/D62,0)</f>
        <v/>
      </c>
      <c r="N62" s="42">
        <f>IF(D62=0,"—",IF(M62&gt;=0.25,"◎ 優良",IF(M62&gt;=0.15,"○ 良好",IF(M62&gt;=0.05,"△ 要注意","× 赤字"))))</f>
        <v/>
      </c>
      <c r="O62" s="23" t="inlineStr">
        <is>
          <t>別管理</t>
        </is>
      </c>
      <c r="P62" s="24">
        <f>IF(D61&lt;&gt;0,D62/D61-1,"")</f>
        <v/>
      </c>
      <c r="Q62" s="45">
        <f>IFERROR(D62/100,0)</f>
        <v/>
      </c>
    </row>
    <row r="63" ht="21" customHeight="1">
      <c r="A63" s="20" t="inlineStr">
        <is>
          <t>613-2</t>
        </is>
      </c>
      <c r="B63" s="21" t="inlineStr">
        <is>
          <t>KC</t>
        </is>
      </c>
      <c r="C63" s="40" t="inlineStr">
        <is>
          <t>2025-08</t>
        </is>
      </c>
      <c r="D63" s="41">
        <f>IFERROR(VLOOKUP(C63,▼売上原票!$A:$P,6,0),0)</f>
        <v/>
      </c>
      <c r="E63" s="12" t="n"/>
      <c r="F63" s="12" t="n"/>
      <c r="G63" s="12" t="n"/>
      <c r="H63" s="12" t="n"/>
      <c r="I63" s="12" t="n"/>
      <c r="J63" s="12" t="n"/>
      <c r="K63" s="13">
        <f>E63+F63+G63+H63+I63+J63</f>
        <v/>
      </c>
      <c r="L63" s="14">
        <f>D63-K63</f>
        <v/>
      </c>
      <c r="M63" s="15">
        <f>IF(D63&lt;&gt;0,L63/D63,0)</f>
        <v/>
      </c>
      <c r="N63" s="42">
        <f>IF(D63=0,"—",IF(M63&gt;=0.25,"◎ 優良",IF(M63&gt;=0.15,"○ 良好",IF(M63&gt;=0.05,"△ 要注意","× 赤字"))))</f>
        <v/>
      </c>
      <c r="O63" s="23" t="inlineStr">
        <is>
          <t>別管理</t>
        </is>
      </c>
      <c r="P63" s="24">
        <f>IF(D62&lt;&gt;0,D63/D62-1,"")</f>
        <v/>
      </c>
      <c r="Q63" s="45">
        <f>IFERROR(D63/100,0)</f>
        <v/>
      </c>
    </row>
    <row r="64" ht="5" customHeight="1">
      <c r="A64" s="44" t="n"/>
      <c r="B64" s="44" t="n"/>
      <c r="C64" s="44" t="n"/>
      <c r="D64" s="44" t="n"/>
      <c r="E64" s="44" t="n"/>
      <c r="F64" s="44" t="n"/>
      <c r="G64" s="44" t="n"/>
      <c r="H64" s="44" t="n"/>
      <c r="I64" s="44" t="n"/>
      <c r="J64" s="44" t="n"/>
      <c r="K64" s="44" t="n"/>
      <c r="L64" s="44" t="n"/>
      <c r="M64" s="44" t="n"/>
      <c r="N64" s="44" t="n"/>
      <c r="O64" s="44" t="n"/>
      <c r="P64" s="44" t="n"/>
      <c r="Q64" s="44" t="n"/>
    </row>
    <row r="65" ht="21" customHeight="1">
      <c r="A65" s="16" t="inlineStr">
        <is>
          <t>614-1</t>
        </is>
      </c>
      <c r="B65" s="25" t="inlineStr">
        <is>
          <t>コンテナ</t>
        </is>
      </c>
      <c r="C65" s="40" t="inlineStr">
        <is>
          <t>2024-07</t>
        </is>
      </c>
      <c r="D65" s="41">
        <f>IFERROR(VLOOKUP(C65,▼売上原票!$A:$P,7,0),0)</f>
        <v/>
      </c>
      <c r="E65" s="12" t="n">
        <v>85000</v>
      </c>
      <c r="F65" s="12" t="n">
        <v>25000</v>
      </c>
      <c r="G65" s="12" t="n">
        <v>15000</v>
      </c>
      <c r="H65" s="12" t="n"/>
      <c r="I65" s="12" t="n">
        <v>20000</v>
      </c>
      <c r="J65" s="12" t="n">
        <v>10000</v>
      </c>
      <c r="K65" s="13">
        <f>E65+F65+G65+H65+I65+J65</f>
        <v/>
      </c>
      <c r="L65" s="14">
        <f>D65-K65</f>
        <v/>
      </c>
      <c r="M65" s="15">
        <f>IF(D65&lt;&gt;0,L65/D65,0)</f>
        <v/>
      </c>
      <c r="N65" s="42">
        <f>IF(D65=0,"—",IF(M65&gt;=0.25,"◎ 優良",IF(M65&gt;=0.15,"○ 良好",IF(M65&gt;=0.05,"△ 要注意","× 赤字"))))</f>
        <v/>
      </c>
      <c r="O65" s="27" t="inlineStr">
        <is>
          <t>C003一般</t>
        </is>
      </c>
      <c r="P65" s="27" t="inlineStr">
        <is>
          <t>—</t>
        </is>
      </c>
      <c r="Q65" s="46">
        <f>IFERROR(D65/100,0)</f>
        <v/>
      </c>
    </row>
    <row r="66" ht="21" customHeight="1">
      <c r="A66" s="16" t="inlineStr">
        <is>
          <t>614-1</t>
        </is>
      </c>
      <c r="B66" s="25" t="inlineStr">
        <is>
          <t>コンテナ</t>
        </is>
      </c>
      <c r="C66" s="40" t="inlineStr">
        <is>
          <t>2024-08</t>
        </is>
      </c>
      <c r="D66" s="41">
        <f>IFERROR(VLOOKUP(C66,▼売上原票!$A:$P,7,0),0)</f>
        <v/>
      </c>
      <c r="E66" s="12" t="n">
        <v>85000</v>
      </c>
      <c r="F66" s="12" t="n">
        <v>25000</v>
      </c>
      <c r="G66" s="12" t="n">
        <v>15000</v>
      </c>
      <c r="H66" s="12" t="n"/>
      <c r="I66" s="12" t="n">
        <v>20000</v>
      </c>
      <c r="J66" s="12" t="n">
        <v>10000</v>
      </c>
      <c r="K66" s="13">
        <f>E66+F66+G66+H66+I66+J66</f>
        <v/>
      </c>
      <c r="L66" s="14">
        <f>D66-K66</f>
        <v/>
      </c>
      <c r="M66" s="15">
        <f>IF(D66&lt;&gt;0,L66/D66,0)</f>
        <v/>
      </c>
      <c r="N66" s="42">
        <f>IF(D66=0,"—",IF(M66&gt;=0.25,"◎ 優良",IF(M66&gt;=0.15,"○ 良好",IF(M66&gt;=0.05,"△ 要注意","× 赤字"))))</f>
        <v/>
      </c>
      <c r="O66" s="27" t="inlineStr">
        <is>
          <t>C003一般</t>
        </is>
      </c>
      <c r="P66" s="28">
        <f>IF(D65&lt;&gt;0,D66/D65-1,"")</f>
        <v/>
      </c>
      <c r="Q66" s="46">
        <f>IFERROR(D66/100,0)</f>
        <v/>
      </c>
    </row>
    <row r="67" ht="21" customHeight="1">
      <c r="A67" s="16" t="inlineStr">
        <is>
          <t>614-1</t>
        </is>
      </c>
      <c r="B67" s="25" t="inlineStr">
        <is>
          <t>コンテナ</t>
        </is>
      </c>
      <c r="C67" s="40" t="inlineStr">
        <is>
          <t>2024-09</t>
        </is>
      </c>
      <c r="D67" s="41">
        <f>IFERROR(VLOOKUP(C67,▼売上原票!$A:$P,7,0),0)</f>
        <v/>
      </c>
      <c r="E67" s="12" t="n">
        <v>85000</v>
      </c>
      <c r="F67" s="12" t="n">
        <v>25000</v>
      </c>
      <c r="G67" s="12" t="n">
        <v>15000</v>
      </c>
      <c r="H67" s="12" t="n"/>
      <c r="I67" s="12" t="n">
        <v>20000</v>
      </c>
      <c r="J67" s="12" t="n">
        <v>10000</v>
      </c>
      <c r="K67" s="13">
        <f>E67+F67+G67+H67+I67+J67</f>
        <v/>
      </c>
      <c r="L67" s="14">
        <f>D67-K67</f>
        <v/>
      </c>
      <c r="M67" s="15">
        <f>IF(D67&lt;&gt;0,L67/D67,0)</f>
        <v/>
      </c>
      <c r="N67" s="42">
        <f>IF(D67=0,"—",IF(M67&gt;=0.25,"◎ 優良",IF(M67&gt;=0.15,"○ 良好",IF(M67&gt;=0.05,"△ 要注意","× 赤字"))))</f>
        <v/>
      </c>
      <c r="O67" s="27" t="inlineStr">
        <is>
          <t>C003一般</t>
        </is>
      </c>
      <c r="P67" s="28">
        <f>IF(D66&lt;&gt;0,D67/D66-1,"")</f>
        <v/>
      </c>
      <c r="Q67" s="46">
        <f>IFERROR(D67/100,0)</f>
        <v/>
      </c>
    </row>
    <row r="68" ht="21" customHeight="1">
      <c r="A68" s="16" t="inlineStr">
        <is>
          <t>614-1</t>
        </is>
      </c>
      <c r="B68" s="25" t="inlineStr">
        <is>
          <t>コンテナ</t>
        </is>
      </c>
      <c r="C68" s="40" t="inlineStr">
        <is>
          <t>2024-10</t>
        </is>
      </c>
      <c r="D68" s="41">
        <f>IFERROR(VLOOKUP(C68,▼売上原票!$A:$P,7,0),0)</f>
        <v/>
      </c>
      <c r="E68" s="12" t="n">
        <v>85000</v>
      </c>
      <c r="F68" s="12" t="n">
        <v>25000</v>
      </c>
      <c r="G68" s="12" t="n">
        <v>15000</v>
      </c>
      <c r="H68" s="12" t="n"/>
      <c r="I68" s="12" t="n">
        <v>20000</v>
      </c>
      <c r="J68" s="12" t="n">
        <v>10000</v>
      </c>
      <c r="K68" s="13">
        <f>E68+F68+G68+H68+I68+J68</f>
        <v/>
      </c>
      <c r="L68" s="14">
        <f>D68-K68</f>
        <v/>
      </c>
      <c r="M68" s="15">
        <f>IF(D68&lt;&gt;0,L68/D68,0)</f>
        <v/>
      </c>
      <c r="N68" s="42">
        <f>IF(D68=0,"—",IF(M68&gt;=0.25,"◎ 優良",IF(M68&gt;=0.15,"○ 良好",IF(M68&gt;=0.05,"△ 要注意","× 赤字"))))</f>
        <v/>
      </c>
      <c r="O68" s="27" t="inlineStr">
        <is>
          <t>C003一般</t>
        </is>
      </c>
      <c r="P68" s="28">
        <f>IF(D67&lt;&gt;0,D68/D67-1,"")</f>
        <v/>
      </c>
      <c r="Q68" s="46">
        <f>IFERROR(D68/100,0)</f>
        <v/>
      </c>
    </row>
    <row r="69" ht="21" customHeight="1">
      <c r="A69" s="16" t="inlineStr">
        <is>
          <t>614-1</t>
        </is>
      </c>
      <c r="B69" s="25" t="inlineStr">
        <is>
          <t>コンテナ</t>
        </is>
      </c>
      <c r="C69" s="40" t="inlineStr">
        <is>
          <t>2024-11</t>
        </is>
      </c>
      <c r="D69" s="41">
        <f>IFERROR(VLOOKUP(C69,▼売上原票!$A:$P,7,0),0)</f>
        <v/>
      </c>
      <c r="E69" s="12" t="n">
        <v>85000</v>
      </c>
      <c r="F69" s="12" t="n">
        <v>25000</v>
      </c>
      <c r="G69" s="12" t="n">
        <v>15000</v>
      </c>
      <c r="H69" s="12" t="n"/>
      <c r="I69" s="12" t="n">
        <v>20000</v>
      </c>
      <c r="J69" s="12" t="n">
        <v>10000</v>
      </c>
      <c r="K69" s="13">
        <f>E69+F69+G69+H69+I69+J69</f>
        <v/>
      </c>
      <c r="L69" s="14">
        <f>D69-K69</f>
        <v/>
      </c>
      <c r="M69" s="15">
        <f>IF(D69&lt;&gt;0,L69/D69,0)</f>
        <v/>
      </c>
      <c r="N69" s="42">
        <f>IF(D69=0,"—",IF(M69&gt;=0.25,"◎ 優良",IF(M69&gt;=0.15,"○ 良好",IF(M69&gt;=0.05,"△ 要注意","× 赤字"))))</f>
        <v/>
      </c>
      <c r="O69" s="27" t="inlineStr">
        <is>
          <t>C003一般</t>
        </is>
      </c>
      <c r="P69" s="28">
        <f>IF(D68&lt;&gt;0,D69/D68-1,"")</f>
        <v/>
      </c>
      <c r="Q69" s="46">
        <f>IFERROR(D69/100,0)</f>
        <v/>
      </c>
    </row>
    <row r="70" ht="21" customHeight="1">
      <c r="A70" s="16" t="inlineStr">
        <is>
          <t>614-1</t>
        </is>
      </c>
      <c r="B70" s="25" t="inlineStr">
        <is>
          <t>コンテナ</t>
        </is>
      </c>
      <c r="C70" s="40" t="inlineStr">
        <is>
          <t>2024-12</t>
        </is>
      </c>
      <c r="D70" s="41">
        <f>IFERROR(VLOOKUP(C70,▼売上原票!$A:$P,7,0),0)</f>
        <v/>
      </c>
      <c r="E70" s="12" t="n">
        <v>85000</v>
      </c>
      <c r="F70" s="12" t="n">
        <v>25000</v>
      </c>
      <c r="G70" s="12" t="n">
        <v>15000</v>
      </c>
      <c r="H70" s="12" t="n"/>
      <c r="I70" s="12" t="n">
        <v>20000</v>
      </c>
      <c r="J70" s="12" t="n">
        <v>10000</v>
      </c>
      <c r="K70" s="13">
        <f>E70+F70+G70+H70+I70+J70</f>
        <v/>
      </c>
      <c r="L70" s="14">
        <f>D70-K70</f>
        <v/>
      </c>
      <c r="M70" s="15">
        <f>IF(D70&lt;&gt;0,L70/D70,0)</f>
        <v/>
      </c>
      <c r="N70" s="42">
        <f>IF(D70=0,"—",IF(M70&gt;=0.25,"◎ 優良",IF(M70&gt;=0.15,"○ 良好",IF(M70&gt;=0.05,"△ 要注意","× 赤字"))))</f>
        <v/>
      </c>
      <c r="O70" s="27" t="inlineStr">
        <is>
          <t>C003一般</t>
        </is>
      </c>
      <c r="P70" s="28">
        <f>IF(D69&lt;&gt;0,D70/D69-1,"")</f>
        <v/>
      </c>
      <c r="Q70" s="46">
        <f>IFERROR(D70/100,0)</f>
        <v/>
      </c>
    </row>
    <row r="71" ht="21" customHeight="1">
      <c r="A71" s="16" t="inlineStr">
        <is>
          <t>614-1</t>
        </is>
      </c>
      <c r="B71" s="25" t="inlineStr">
        <is>
          <t>コンテナ</t>
        </is>
      </c>
      <c r="C71" s="40" t="inlineStr">
        <is>
          <t>2025-01</t>
        </is>
      </c>
      <c r="D71" s="41">
        <f>IFERROR(VLOOKUP(C71,▼売上原票!$A:$P,7,0),0)</f>
        <v/>
      </c>
      <c r="E71" s="12" t="n">
        <v>85000</v>
      </c>
      <c r="F71" s="12" t="n">
        <v>25000</v>
      </c>
      <c r="G71" s="12" t="n">
        <v>15000</v>
      </c>
      <c r="H71" s="12" t="n"/>
      <c r="I71" s="12" t="n">
        <v>20000</v>
      </c>
      <c r="J71" s="12" t="n">
        <v>10000</v>
      </c>
      <c r="K71" s="13">
        <f>E71+F71+G71+H71+I71+J71</f>
        <v/>
      </c>
      <c r="L71" s="14">
        <f>D71-K71</f>
        <v/>
      </c>
      <c r="M71" s="15">
        <f>IF(D71&lt;&gt;0,L71/D71,0)</f>
        <v/>
      </c>
      <c r="N71" s="42">
        <f>IF(D71=0,"—",IF(M71&gt;=0.25,"◎ 優良",IF(M71&gt;=0.15,"○ 良好",IF(M71&gt;=0.05,"△ 要注意","× 赤字"))))</f>
        <v/>
      </c>
      <c r="O71" s="27" t="inlineStr">
        <is>
          <t>C003一般</t>
        </is>
      </c>
      <c r="P71" s="28">
        <f>IF(D70&lt;&gt;0,D71/D70-1,"")</f>
        <v/>
      </c>
      <c r="Q71" s="46">
        <f>IFERROR(D71/100,0)</f>
        <v/>
      </c>
    </row>
    <row r="72" ht="21" customHeight="1">
      <c r="A72" s="16" t="inlineStr">
        <is>
          <t>614-1</t>
        </is>
      </c>
      <c r="B72" s="25" t="inlineStr">
        <is>
          <t>コンテナ</t>
        </is>
      </c>
      <c r="C72" s="40" t="inlineStr">
        <is>
          <t>2025-02</t>
        </is>
      </c>
      <c r="D72" s="41">
        <f>IFERROR(VLOOKUP(C72,▼売上原票!$A:$P,7,0),0)</f>
        <v/>
      </c>
      <c r="E72" s="12" t="n">
        <v>85000</v>
      </c>
      <c r="F72" s="12" t="n">
        <v>25000</v>
      </c>
      <c r="G72" s="12" t="n">
        <v>15000</v>
      </c>
      <c r="H72" s="12" t="n"/>
      <c r="I72" s="12" t="n">
        <v>20000</v>
      </c>
      <c r="J72" s="12" t="n">
        <v>10000</v>
      </c>
      <c r="K72" s="13">
        <f>E72+F72+G72+H72+I72+J72</f>
        <v/>
      </c>
      <c r="L72" s="14">
        <f>D72-K72</f>
        <v/>
      </c>
      <c r="M72" s="15">
        <f>IF(D72&lt;&gt;0,L72/D72,0)</f>
        <v/>
      </c>
      <c r="N72" s="42">
        <f>IF(D72=0,"—",IF(M72&gt;=0.25,"◎ 優良",IF(M72&gt;=0.15,"○ 良好",IF(M72&gt;=0.05,"△ 要注意","× 赤字"))))</f>
        <v/>
      </c>
      <c r="O72" s="27" t="inlineStr">
        <is>
          <t>C003一般</t>
        </is>
      </c>
      <c r="P72" s="28">
        <f>IF(D71&lt;&gt;0,D72/D71-1,"")</f>
        <v/>
      </c>
      <c r="Q72" s="46">
        <f>IFERROR(D72/100,0)</f>
        <v/>
      </c>
    </row>
    <row r="73" ht="21" customHeight="1">
      <c r="A73" s="16" t="inlineStr">
        <is>
          <t>614-1</t>
        </is>
      </c>
      <c r="B73" s="25" t="inlineStr">
        <is>
          <t>コンテナ</t>
        </is>
      </c>
      <c r="C73" s="40" t="inlineStr">
        <is>
          <t>2025-03</t>
        </is>
      </c>
      <c r="D73" s="41">
        <f>IFERROR(VLOOKUP(C73,▼売上原票!$A:$P,7,0),0)</f>
        <v/>
      </c>
      <c r="E73" s="12" t="n">
        <v>85000</v>
      </c>
      <c r="F73" s="12" t="n">
        <v>25000</v>
      </c>
      <c r="G73" s="12" t="n">
        <v>15000</v>
      </c>
      <c r="H73" s="12" t="n"/>
      <c r="I73" s="12" t="n">
        <v>20000</v>
      </c>
      <c r="J73" s="12" t="n">
        <v>10000</v>
      </c>
      <c r="K73" s="13">
        <f>E73+F73+G73+H73+I73+J73</f>
        <v/>
      </c>
      <c r="L73" s="14">
        <f>D73-K73</f>
        <v/>
      </c>
      <c r="M73" s="15">
        <f>IF(D73&lt;&gt;0,L73/D73,0)</f>
        <v/>
      </c>
      <c r="N73" s="42">
        <f>IF(D73=0,"—",IF(M73&gt;=0.25,"◎ 優良",IF(M73&gt;=0.15,"○ 良好",IF(M73&gt;=0.05,"△ 要注意","× 赤字"))))</f>
        <v/>
      </c>
      <c r="O73" s="27" t="inlineStr">
        <is>
          <t>C003一般</t>
        </is>
      </c>
      <c r="P73" s="28">
        <f>IF(D72&lt;&gt;0,D73/D72-1,"")</f>
        <v/>
      </c>
      <c r="Q73" s="46">
        <f>IFERROR(D73/100,0)</f>
        <v/>
      </c>
    </row>
    <row r="74" ht="21" customHeight="1">
      <c r="A74" s="16" t="inlineStr">
        <is>
          <t>614-1</t>
        </is>
      </c>
      <c r="B74" s="25" t="inlineStr">
        <is>
          <t>コンテナ</t>
        </is>
      </c>
      <c r="C74" s="40" t="inlineStr">
        <is>
          <t>2025-04</t>
        </is>
      </c>
      <c r="D74" s="41">
        <f>IFERROR(VLOOKUP(C74,▼売上原票!$A:$P,7,0),0)</f>
        <v/>
      </c>
      <c r="E74" s="12" t="n">
        <v>85000</v>
      </c>
      <c r="F74" s="12" t="n">
        <v>25000</v>
      </c>
      <c r="G74" s="12" t="n">
        <v>15000</v>
      </c>
      <c r="H74" s="12" t="n"/>
      <c r="I74" s="12" t="n">
        <v>20000</v>
      </c>
      <c r="J74" s="12" t="n">
        <v>10000</v>
      </c>
      <c r="K74" s="13">
        <f>E74+F74+G74+H74+I74+J74</f>
        <v/>
      </c>
      <c r="L74" s="14">
        <f>D74-K74</f>
        <v/>
      </c>
      <c r="M74" s="15">
        <f>IF(D74&lt;&gt;0,L74/D74,0)</f>
        <v/>
      </c>
      <c r="N74" s="42">
        <f>IF(D74=0,"—",IF(M74&gt;=0.25,"◎ 優良",IF(M74&gt;=0.15,"○ 良好",IF(M74&gt;=0.05,"△ 要注意","× 赤字"))))</f>
        <v/>
      </c>
      <c r="O74" s="27" t="inlineStr">
        <is>
          <t>C003一般</t>
        </is>
      </c>
      <c r="P74" s="28">
        <f>IF(D73&lt;&gt;0,D74/D73-1,"")</f>
        <v/>
      </c>
      <c r="Q74" s="46">
        <f>IFERROR(D74/100,0)</f>
        <v/>
      </c>
    </row>
    <row r="75" ht="21" customHeight="1">
      <c r="A75" s="16" t="inlineStr">
        <is>
          <t>614-1</t>
        </is>
      </c>
      <c r="B75" s="25" t="inlineStr">
        <is>
          <t>コンテナ</t>
        </is>
      </c>
      <c r="C75" s="40" t="inlineStr">
        <is>
          <t>2025-05</t>
        </is>
      </c>
      <c r="D75" s="41">
        <f>IFERROR(VLOOKUP(C75,▼売上原票!$A:$P,7,0),0)</f>
        <v/>
      </c>
      <c r="E75" s="12" t="n">
        <v>85000</v>
      </c>
      <c r="F75" s="12" t="n">
        <v>25000</v>
      </c>
      <c r="G75" s="12" t="n">
        <v>15000</v>
      </c>
      <c r="H75" s="12" t="n"/>
      <c r="I75" s="12" t="n">
        <v>20000</v>
      </c>
      <c r="J75" s="12" t="n">
        <v>10000</v>
      </c>
      <c r="K75" s="13">
        <f>E75+F75+G75+H75+I75+J75</f>
        <v/>
      </c>
      <c r="L75" s="14">
        <f>D75-K75</f>
        <v/>
      </c>
      <c r="M75" s="15">
        <f>IF(D75&lt;&gt;0,L75/D75,0)</f>
        <v/>
      </c>
      <c r="N75" s="42">
        <f>IF(D75=0,"—",IF(M75&gt;=0.25,"◎ 優良",IF(M75&gt;=0.15,"○ 良好",IF(M75&gt;=0.05,"△ 要注意","× 赤字"))))</f>
        <v/>
      </c>
      <c r="O75" s="27" t="inlineStr">
        <is>
          <t>C003一般</t>
        </is>
      </c>
      <c r="P75" s="28">
        <f>IF(D74&lt;&gt;0,D75/D74-1,"")</f>
        <v/>
      </c>
      <c r="Q75" s="46">
        <f>IFERROR(D75/100,0)</f>
        <v/>
      </c>
    </row>
    <row r="76" ht="21" customHeight="1">
      <c r="A76" s="16" t="inlineStr">
        <is>
          <t>614-1</t>
        </is>
      </c>
      <c r="B76" s="25" t="inlineStr">
        <is>
          <t>コンテナ</t>
        </is>
      </c>
      <c r="C76" s="40" t="inlineStr">
        <is>
          <t>2025-06</t>
        </is>
      </c>
      <c r="D76" s="41">
        <f>IFERROR(VLOOKUP(C76,▼売上原票!$A:$P,7,0),0)</f>
        <v/>
      </c>
      <c r="E76" s="12" t="n">
        <v>85000</v>
      </c>
      <c r="F76" s="12" t="n">
        <v>25000</v>
      </c>
      <c r="G76" s="12" t="n">
        <v>15000</v>
      </c>
      <c r="H76" s="12" t="n"/>
      <c r="I76" s="12" t="n">
        <v>20000</v>
      </c>
      <c r="J76" s="12" t="n">
        <v>10000</v>
      </c>
      <c r="K76" s="13">
        <f>E76+F76+G76+H76+I76+J76</f>
        <v/>
      </c>
      <c r="L76" s="14">
        <f>D76-K76</f>
        <v/>
      </c>
      <c r="M76" s="15">
        <f>IF(D76&lt;&gt;0,L76/D76,0)</f>
        <v/>
      </c>
      <c r="N76" s="42">
        <f>IF(D76=0,"—",IF(M76&gt;=0.25,"◎ 優良",IF(M76&gt;=0.15,"○ 良好",IF(M76&gt;=0.05,"△ 要注意","× 赤字"))))</f>
        <v/>
      </c>
      <c r="O76" s="27" t="inlineStr">
        <is>
          <t>C003一般</t>
        </is>
      </c>
      <c r="P76" s="28">
        <f>IF(D75&lt;&gt;0,D76/D75-1,"")</f>
        <v/>
      </c>
      <c r="Q76" s="46">
        <f>IFERROR(D76/100,0)</f>
        <v/>
      </c>
    </row>
    <row r="77" ht="21" customHeight="1">
      <c r="A77" s="16" t="inlineStr">
        <is>
          <t>614-1</t>
        </is>
      </c>
      <c r="B77" s="25" t="inlineStr">
        <is>
          <t>コンテナ</t>
        </is>
      </c>
      <c r="C77" s="40" t="inlineStr">
        <is>
          <t>2025-07</t>
        </is>
      </c>
      <c r="D77" s="41">
        <f>IFERROR(VLOOKUP(C77,▼売上原票!$A:$P,7,0),0)</f>
        <v/>
      </c>
      <c r="E77" s="12" t="n">
        <v>85000</v>
      </c>
      <c r="F77" s="12" t="n">
        <v>25000</v>
      </c>
      <c r="G77" s="12" t="n">
        <v>15000</v>
      </c>
      <c r="H77" s="12" t="n"/>
      <c r="I77" s="12" t="n">
        <v>20000</v>
      </c>
      <c r="J77" s="12" t="n">
        <v>10000</v>
      </c>
      <c r="K77" s="13">
        <f>E77+F77+G77+H77+I77+J77</f>
        <v/>
      </c>
      <c r="L77" s="14">
        <f>D77-K77</f>
        <v/>
      </c>
      <c r="M77" s="15">
        <f>IF(D77&lt;&gt;0,L77/D77,0)</f>
        <v/>
      </c>
      <c r="N77" s="42">
        <f>IF(D77=0,"—",IF(M77&gt;=0.25,"◎ 優良",IF(M77&gt;=0.15,"○ 良好",IF(M77&gt;=0.05,"△ 要注意","× 赤字"))))</f>
        <v/>
      </c>
      <c r="O77" s="27" t="inlineStr">
        <is>
          <t>C003一般</t>
        </is>
      </c>
      <c r="P77" s="28">
        <f>IF(D76&lt;&gt;0,D77/D76-1,"")</f>
        <v/>
      </c>
      <c r="Q77" s="46">
        <f>IFERROR(D77/100,0)</f>
        <v/>
      </c>
    </row>
    <row r="78" ht="21" customHeight="1">
      <c r="A78" s="16" t="inlineStr">
        <is>
          <t>614-1</t>
        </is>
      </c>
      <c r="B78" s="25" t="inlineStr">
        <is>
          <t>コンテナ</t>
        </is>
      </c>
      <c r="C78" s="40" t="inlineStr">
        <is>
          <t>2025-08</t>
        </is>
      </c>
      <c r="D78" s="41">
        <f>IFERROR(VLOOKUP(C78,▼売上原票!$A:$P,7,0),0)</f>
        <v/>
      </c>
      <c r="E78" s="12" t="n">
        <v>85000</v>
      </c>
      <c r="F78" s="12" t="n">
        <v>25000</v>
      </c>
      <c r="G78" s="12" t="n">
        <v>15000</v>
      </c>
      <c r="H78" s="12" t="n"/>
      <c r="I78" s="12" t="n">
        <v>20000</v>
      </c>
      <c r="J78" s="12" t="n">
        <v>10000</v>
      </c>
      <c r="K78" s="13">
        <f>E78+F78+G78+H78+I78+J78</f>
        <v/>
      </c>
      <c r="L78" s="14">
        <f>D78-K78</f>
        <v/>
      </c>
      <c r="M78" s="15">
        <f>IF(D78&lt;&gt;0,L78/D78,0)</f>
        <v/>
      </c>
      <c r="N78" s="42">
        <f>IF(D78=0,"—",IF(M78&gt;=0.25,"◎ 優良",IF(M78&gt;=0.15,"○ 良好",IF(M78&gt;=0.05,"△ 要注意","× 赤字"))))</f>
        <v/>
      </c>
      <c r="O78" s="27" t="inlineStr">
        <is>
          <t>C003一般</t>
        </is>
      </c>
      <c r="P78" s="28">
        <f>IF(D77&lt;&gt;0,D78/D77-1,"")</f>
        <v/>
      </c>
      <c r="Q78" s="46">
        <f>IFERROR(D78/100,0)</f>
        <v/>
      </c>
    </row>
    <row r="79" ht="5" customHeight="1">
      <c r="A79" s="44" t="n"/>
      <c r="B79" s="44" t="n"/>
      <c r="C79" s="44" t="n"/>
      <c r="D79" s="44" t="n"/>
      <c r="E79" s="44" t="n"/>
      <c r="F79" s="44" t="n"/>
      <c r="G79" s="44" t="n"/>
      <c r="H79" s="44" t="n"/>
      <c r="I79" s="44" t="n"/>
      <c r="J79" s="44" t="n"/>
      <c r="K79" s="44" t="n"/>
      <c r="L79" s="44" t="n"/>
      <c r="M79" s="44" t="n"/>
      <c r="N79" s="44" t="n"/>
      <c r="O79" s="44" t="n"/>
      <c r="P79" s="44" t="n"/>
      <c r="Q79" s="44" t="n"/>
    </row>
    <row r="80" ht="21" customHeight="1">
      <c r="A80" s="16" t="inlineStr">
        <is>
          <t>614-2</t>
        </is>
      </c>
      <c r="B80" s="25" t="inlineStr">
        <is>
          <t>ENDO</t>
        </is>
      </c>
      <c r="C80" s="40" t="inlineStr">
        <is>
          <t>2024-07</t>
        </is>
      </c>
      <c r="D80" s="41">
        <f>IFERROR(VLOOKUP(C80,▼売上原票!$A:$P,8,0),0)</f>
        <v/>
      </c>
      <c r="E80" s="12" t="n">
        <v>120000</v>
      </c>
      <c r="F80" s="12" t="n">
        <v>38000</v>
      </c>
      <c r="G80" s="12" t="n">
        <v>18000</v>
      </c>
      <c r="H80" s="12" t="n"/>
      <c r="I80" s="12" t="n">
        <v>25000</v>
      </c>
      <c r="J80" s="12" t="n">
        <v>12000</v>
      </c>
      <c r="K80" s="13">
        <f>E80+F80+G80+H80+I80+J80</f>
        <v/>
      </c>
      <c r="L80" s="14">
        <f>D80-K80</f>
        <v/>
      </c>
      <c r="M80" s="15">
        <f>IF(D80&lt;&gt;0,L80/D80,0)</f>
        <v/>
      </c>
      <c r="N80" s="42">
        <f>IF(D80=0,"—",IF(M80&gt;=0.25,"◎ 優良",IF(M80&gt;=0.15,"○ 良好",IF(M80&gt;=0.05,"△ 要注意","× 赤字"))))</f>
        <v/>
      </c>
      <c r="O80" s="27" t="inlineStr">
        <is>
          <t>C003一般</t>
        </is>
      </c>
      <c r="P80" s="27" t="inlineStr">
        <is>
          <t>—</t>
        </is>
      </c>
      <c r="Q80" s="46">
        <f>IFERROR(D80/100,0)</f>
        <v/>
      </c>
    </row>
    <row r="81" ht="21" customHeight="1">
      <c r="A81" s="16" t="inlineStr">
        <is>
          <t>614-2</t>
        </is>
      </c>
      <c r="B81" s="25" t="inlineStr">
        <is>
          <t>ENDO</t>
        </is>
      </c>
      <c r="C81" s="40" t="inlineStr">
        <is>
          <t>2024-08</t>
        </is>
      </c>
      <c r="D81" s="41">
        <f>IFERROR(VLOOKUP(C81,▼売上原票!$A:$P,8,0),0)</f>
        <v/>
      </c>
      <c r="E81" s="12" t="n">
        <v>120000</v>
      </c>
      <c r="F81" s="12" t="n">
        <v>38000</v>
      </c>
      <c r="G81" s="12" t="n">
        <v>18000</v>
      </c>
      <c r="H81" s="12" t="n"/>
      <c r="I81" s="12" t="n">
        <v>25000</v>
      </c>
      <c r="J81" s="12" t="n">
        <v>12000</v>
      </c>
      <c r="K81" s="13">
        <f>E81+F81+G81+H81+I81+J81</f>
        <v/>
      </c>
      <c r="L81" s="14">
        <f>D81-K81</f>
        <v/>
      </c>
      <c r="M81" s="15">
        <f>IF(D81&lt;&gt;0,L81/D81,0)</f>
        <v/>
      </c>
      <c r="N81" s="42">
        <f>IF(D81=0,"—",IF(M81&gt;=0.25,"◎ 優良",IF(M81&gt;=0.15,"○ 良好",IF(M81&gt;=0.05,"△ 要注意","× 赤字"))))</f>
        <v/>
      </c>
      <c r="O81" s="27" t="inlineStr">
        <is>
          <t>C003一般</t>
        </is>
      </c>
      <c r="P81" s="28">
        <f>IF(D80&lt;&gt;0,D81/D80-1,"")</f>
        <v/>
      </c>
      <c r="Q81" s="46">
        <f>IFERROR(D81/100,0)</f>
        <v/>
      </c>
    </row>
    <row r="82" ht="21" customHeight="1">
      <c r="A82" s="16" t="inlineStr">
        <is>
          <t>614-2</t>
        </is>
      </c>
      <c r="B82" s="25" t="inlineStr">
        <is>
          <t>ENDO</t>
        </is>
      </c>
      <c r="C82" s="40" t="inlineStr">
        <is>
          <t>2024-09</t>
        </is>
      </c>
      <c r="D82" s="41">
        <f>IFERROR(VLOOKUP(C82,▼売上原票!$A:$P,8,0),0)</f>
        <v/>
      </c>
      <c r="E82" s="12" t="n">
        <v>120000</v>
      </c>
      <c r="F82" s="12" t="n">
        <v>38000</v>
      </c>
      <c r="G82" s="12" t="n">
        <v>18000</v>
      </c>
      <c r="H82" s="12" t="n"/>
      <c r="I82" s="12" t="n">
        <v>25000</v>
      </c>
      <c r="J82" s="12" t="n">
        <v>12000</v>
      </c>
      <c r="K82" s="13">
        <f>E82+F82+G82+H82+I82+J82</f>
        <v/>
      </c>
      <c r="L82" s="14">
        <f>D82-K82</f>
        <v/>
      </c>
      <c r="M82" s="15">
        <f>IF(D82&lt;&gt;0,L82/D82,0)</f>
        <v/>
      </c>
      <c r="N82" s="42">
        <f>IF(D82=0,"—",IF(M82&gt;=0.25,"◎ 優良",IF(M82&gt;=0.15,"○ 良好",IF(M82&gt;=0.05,"△ 要注意","× 赤字"))))</f>
        <v/>
      </c>
      <c r="O82" s="27" t="inlineStr">
        <is>
          <t>C003一般</t>
        </is>
      </c>
      <c r="P82" s="28">
        <f>IF(D81&lt;&gt;0,D82/D81-1,"")</f>
        <v/>
      </c>
      <c r="Q82" s="46">
        <f>IFERROR(D82/100,0)</f>
        <v/>
      </c>
    </row>
    <row r="83" ht="21" customHeight="1">
      <c r="A83" s="16" t="inlineStr">
        <is>
          <t>614-2</t>
        </is>
      </c>
      <c r="B83" s="25" t="inlineStr">
        <is>
          <t>ENDO</t>
        </is>
      </c>
      <c r="C83" s="40" t="inlineStr">
        <is>
          <t>2024-10</t>
        </is>
      </c>
      <c r="D83" s="41">
        <f>IFERROR(VLOOKUP(C83,▼売上原票!$A:$P,8,0),0)</f>
        <v/>
      </c>
      <c r="E83" s="12" t="n">
        <v>120000</v>
      </c>
      <c r="F83" s="12" t="n">
        <v>38000</v>
      </c>
      <c r="G83" s="12" t="n">
        <v>18000</v>
      </c>
      <c r="H83" s="12" t="n"/>
      <c r="I83" s="12" t="n">
        <v>25000</v>
      </c>
      <c r="J83" s="12" t="n">
        <v>12000</v>
      </c>
      <c r="K83" s="13">
        <f>E83+F83+G83+H83+I83+J83</f>
        <v/>
      </c>
      <c r="L83" s="14">
        <f>D83-K83</f>
        <v/>
      </c>
      <c r="M83" s="15">
        <f>IF(D83&lt;&gt;0,L83/D83,0)</f>
        <v/>
      </c>
      <c r="N83" s="42">
        <f>IF(D83=0,"—",IF(M83&gt;=0.25,"◎ 優良",IF(M83&gt;=0.15,"○ 良好",IF(M83&gt;=0.05,"△ 要注意","× 赤字"))))</f>
        <v/>
      </c>
      <c r="O83" s="27" t="inlineStr">
        <is>
          <t>C003一般</t>
        </is>
      </c>
      <c r="P83" s="28">
        <f>IF(D82&lt;&gt;0,D83/D82-1,"")</f>
        <v/>
      </c>
      <c r="Q83" s="46">
        <f>IFERROR(D83/100,0)</f>
        <v/>
      </c>
    </row>
    <row r="84" ht="21" customHeight="1">
      <c r="A84" s="16" t="inlineStr">
        <is>
          <t>614-2</t>
        </is>
      </c>
      <c r="B84" s="25" t="inlineStr">
        <is>
          <t>ENDO</t>
        </is>
      </c>
      <c r="C84" s="40" t="inlineStr">
        <is>
          <t>2024-11</t>
        </is>
      </c>
      <c r="D84" s="41">
        <f>IFERROR(VLOOKUP(C84,▼売上原票!$A:$P,8,0),0)</f>
        <v/>
      </c>
      <c r="E84" s="12" t="n">
        <v>120000</v>
      </c>
      <c r="F84" s="12" t="n">
        <v>38000</v>
      </c>
      <c r="G84" s="12" t="n">
        <v>18000</v>
      </c>
      <c r="H84" s="12" t="n"/>
      <c r="I84" s="12" t="n">
        <v>25000</v>
      </c>
      <c r="J84" s="12" t="n">
        <v>12000</v>
      </c>
      <c r="K84" s="13">
        <f>E84+F84+G84+H84+I84+J84</f>
        <v/>
      </c>
      <c r="L84" s="14">
        <f>D84-K84</f>
        <v/>
      </c>
      <c r="M84" s="15">
        <f>IF(D84&lt;&gt;0,L84/D84,0)</f>
        <v/>
      </c>
      <c r="N84" s="42">
        <f>IF(D84=0,"—",IF(M84&gt;=0.25,"◎ 優良",IF(M84&gt;=0.15,"○ 良好",IF(M84&gt;=0.05,"△ 要注意","× 赤字"))))</f>
        <v/>
      </c>
      <c r="O84" s="27" t="inlineStr">
        <is>
          <t>C003一般</t>
        </is>
      </c>
      <c r="P84" s="28">
        <f>IF(D83&lt;&gt;0,D84/D83-1,"")</f>
        <v/>
      </c>
      <c r="Q84" s="46">
        <f>IFERROR(D84/100,0)</f>
        <v/>
      </c>
    </row>
    <row r="85" ht="21" customHeight="1">
      <c r="A85" s="16" t="inlineStr">
        <is>
          <t>614-2</t>
        </is>
      </c>
      <c r="B85" s="25" t="inlineStr">
        <is>
          <t>ENDO</t>
        </is>
      </c>
      <c r="C85" s="40" t="inlineStr">
        <is>
          <t>2024-12</t>
        </is>
      </c>
      <c r="D85" s="41">
        <f>IFERROR(VLOOKUP(C85,▼売上原票!$A:$P,8,0),0)</f>
        <v/>
      </c>
      <c r="E85" s="12" t="n">
        <v>120000</v>
      </c>
      <c r="F85" s="12" t="n">
        <v>38000</v>
      </c>
      <c r="G85" s="12" t="n">
        <v>18000</v>
      </c>
      <c r="H85" s="12" t="n"/>
      <c r="I85" s="12" t="n">
        <v>25000</v>
      </c>
      <c r="J85" s="12" t="n">
        <v>12000</v>
      </c>
      <c r="K85" s="13">
        <f>E85+F85+G85+H85+I85+J85</f>
        <v/>
      </c>
      <c r="L85" s="14">
        <f>D85-K85</f>
        <v/>
      </c>
      <c r="M85" s="15">
        <f>IF(D85&lt;&gt;0,L85/D85,0)</f>
        <v/>
      </c>
      <c r="N85" s="42">
        <f>IF(D85=0,"—",IF(M85&gt;=0.25,"◎ 優良",IF(M85&gt;=0.15,"○ 良好",IF(M85&gt;=0.05,"△ 要注意","× 赤字"))))</f>
        <v/>
      </c>
      <c r="O85" s="27" t="inlineStr">
        <is>
          <t>C003一般</t>
        </is>
      </c>
      <c r="P85" s="28">
        <f>IF(D84&lt;&gt;0,D85/D84-1,"")</f>
        <v/>
      </c>
      <c r="Q85" s="46">
        <f>IFERROR(D85/100,0)</f>
        <v/>
      </c>
    </row>
    <row r="86" ht="21" customHeight="1">
      <c r="A86" s="16" t="inlineStr">
        <is>
          <t>614-2</t>
        </is>
      </c>
      <c r="B86" s="25" t="inlineStr">
        <is>
          <t>ENDO</t>
        </is>
      </c>
      <c r="C86" s="40" t="inlineStr">
        <is>
          <t>2025-01</t>
        </is>
      </c>
      <c r="D86" s="41">
        <f>IFERROR(VLOOKUP(C86,▼売上原票!$A:$P,8,0),0)</f>
        <v/>
      </c>
      <c r="E86" s="12" t="n">
        <v>120000</v>
      </c>
      <c r="F86" s="12" t="n">
        <v>38000</v>
      </c>
      <c r="G86" s="12" t="n">
        <v>18000</v>
      </c>
      <c r="H86" s="12" t="n"/>
      <c r="I86" s="12" t="n">
        <v>25000</v>
      </c>
      <c r="J86" s="12" t="n">
        <v>12000</v>
      </c>
      <c r="K86" s="13">
        <f>E86+F86+G86+H86+I86+J86</f>
        <v/>
      </c>
      <c r="L86" s="14">
        <f>D86-K86</f>
        <v/>
      </c>
      <c r="M86" s="15">
        <f>IF(D86&lt;&gt;0,L86/D86,0)</f>
        <v/>
      </c>
      <c r="N86" s="42">
        <f>IF(D86=0,"—",IF(M86&gt;=0.25,"◎ 優良",IF(M86&gt;=0.15,"○ 良好",IF(M86&gt;=0.05,"△ 要注意","× 赤字"))))</f>
        <v/>
      </c>
      <c r="O86" s="27" t="inlineStr">
        <is>
          <t>C003一般</t>
        </is>
      </c>
      <c r="P86" s="28">
        <f>IF(D85&lt;&gt;0,D86/D85-1,"")</f>
        <v/>
      </c>
      <c r="Q86" s="46">
        <f>IFERROR(D86/100,0)</f>
        <v/>
      </c>
    </row>
    <row r="87" ht="21" customHeight="1">
      <c r="A87" s="16" t="inlineStr">
        <is>
          <t>614-2</t>
        </is>
      </c>
      <c r="B87" s="25" t="inlineStr">
        <is>
          <t>ENDO</t>
        </is>
      </c>
      <c r="C87" s="40" t="inlineStr">
        <is>
          <t>2025-02</t>
        </is>
      </c>
      <c r="D87" s="41">
        <f>IFERROR(VLOOKUP(C87,▼売上原票!$A:$P,8,0),0)</f>
        <v/>
      </c>
      <c r="E87" s="12" t="n">
        <v>120000</v>
      </c>
      <c r="F87" s="12" t="n">
        <v>38000</v>
      </c>
      <c r="G87" s="12" t="n">
        <v>18000</v>
      </c>
      <c r="H87" s="12" t="n"/>
      <c r="I87" s="12" t="n">
        <v>25000</v>
      </c>
      <c r="J87" s="12" t="n">
        <v>12000</v>
      </c>
      <c r="K87" s="13">
        <f>E87+F87+G87+H87+I87+J87</f>
        <v/>
      </c>
      <c r="L87" s="14">
        <f>D87-K87</f>
        <v/>
      </c>
      <c r="M87" s="15">
        <f>IF(D87&lt;&gt;0,L87/D87,0)</f>
        <v/>
      </c>
      <c r="N87" s="42">
        <f>IF(D87=0,"—",IF(M87&gt;=0.25,"◎ 優良",IF(M87&gt;=0.15,"○ 良好",IF(M87&gt;=0.05,"△ 要注意","× 赤字"))))</f>
        <v/>
      </c>
      <c r="O87" s="27" t="inlineStr">
        <is>
          <t>C003一般</t>
        </is>
      </c>
      <c r="P87" s="28">
        <f>IF(D86&lt;&gt;0,D87/D86-1,"")</f>
        <v/>
      </c>
      <c r="Q87" s="46">
        <f>IFERROR(D87/100,0)</f>
        <v/>
      </c>
    </row>
    <row r="88" ht="21" customHeight="1">
      <c r="A88" s="16" t="inlineStr">
        <is>
          <t>614-2</t>
        </is>
      </c>
      <c r="B88" s="25" t="inlineStr">
        <is>
          <t>ENDO</t>
        </is>
      </c>
      <c r="C88" s="40" t="inlineStr">
        <is>
          <t>2025-03</t>
        </is>
      </c>
      <c r="D88" s="41">
        <f>IFERROR(VLOOKUP(C88,▼売上原票!$A:$P,8,0),0)</f>
        <v/>
      </c>
      <c r="E88" s="12" t="n">
        <v>120000</v>
      </c>
      <c r="F88" s="12" t="n">
        <v>38000</v>
      </c>
      <c r="G88" s="12" t="n">
        <v>18000</v>
      </c>
      <c r="H88" s="12" t="n"/>
      <c r="I88" s="12" t="n">
        <v>25000</v>
      </c>
      <c r="J88" s="12" t="n">
        <v>12000</v>
      </c>
      <c r="K88" s="13">
        <f>E88+F88+G88+H88+I88+J88</f>
        <v/>
      </c>
      <c r="L88" s="14">
        <f>D88-K88</f>
        <v/>
      </c>
      <c r="M88" s="15">
        <f>IF(D88&lt;&gt;0,L88/D88,0)</f>
        <v/>
      </c>
      <c r="N88" s="42">
        <f>IF(D88=0,"—",IF(M88&gt;=0.25,"◎ 優良",IF(M88&gt;=0.15,"○ 良好",IF(M88&gt;=0.05,"△ 要注意","× 赤字"))))</f>
        <v/>
      </c>
      <c r="O88" s="27" t="inlineStr">
        <is>
          <t>C003一般</t>
        </is>
      </c>
      <c r="P88" s="28">
        <f>IF(D87&lt;&gt;0,D88/D87-1,"")</f>
        <v/>
      </c>
      <c r="Q88" s="46">
        <f>IFERROR(D88/100,0)</f>
        <v/>
      </c>
    </row>
    <row r="89" ht="21" customHeight="1">
      <c r="A89" s="16" t="inlineStr">
        <is>
          <t>614-2</t>
        </is>
      </c>
      <c r="B89" s="25" t="inlineStr">
        <is>
          <t>ENDO</t>
        </is>
      </c>
      <c r="C89" s="40" t="inlineStr">
        <is>
          <t>2025-04</t>
        </is>
      </c>
      <c r="D89" s="41">
        <f>IFERROR(VLOOKUP(C89,▼売上原票!$A:$P,8,0),0)</f>
        <v/>
      </c>
      <c r="E89" s="12" t="n">
        <v>120000</v>
      </c>
      <c r="F89" s="12" t="n">
        <v>38000</v>
      </c>
      <c r="G89" s="12" t="n">
        <v>18000</v>
      </c>
      <c r="H89" s="12" t="n"/>
      <c r="I89" s="12" t="n">
        <v>25000</v>
      </c>
      <c r="J89" s="12" t="n">
        <v>12000</v>
      </c>
      <c r="K89" s="13">
        <f>E89+F89+G89+H89+I89+J89</f>
        <v/>
      </c>
      <c r="L89" s="14">
        <f>D89-K89</f>
        <v/>
      </c>
      <c r="M89" s="15">
        <f>IF(D89&lt;&gt;0,L89/D89,0)</f>
        <v/>
      </c>
      <c r="N89" s="42">
        <f>IF(D89=0,"—",IF(M89&gt;=0.25,"◎ 優良",IF(M89&gt;=0.15,"○ 良好",IF(M89&gt;=0.05,"△ 要注意","× 赤字"))))</f>
        <v/>
      </c>
      <c r="O89" s="27" t="inlineStr">
        <is>
          <t>C003一般</t>
        </is>
      </c>
      <c r="P89" s="28">
        <f>IF(D88&lt;&gt;0,D89/D88-1,"")</f>
        <v/>
      </c>
      <c r="Q89" s="46">
        <f>IFERROR(D89/100,0)</f>
        <v/>
      </c>
    </row>
    <row r="90" ht="21" customHeight="1">
      <c r="A90" s="16" t="inlineStr">
        <is>
          <t>614-2</t>
        </is>
      </c>
      <c r="B90" s="25" t="inlineStr">
        <is>
          <t>ENDO</t>
        </is>
      </c>
      <c r="C90" s="40" t="inlineStr">
        <is>
          <t>2025-05</t>
        </is>
      </c>
      <c r="D90" s="41">
        <f>IFERROR(VLOOKUP(C90,▼売上原票!$A:$P,8,0),0)</f>
        <v/>
      </c>
      <c r="E90" s="12" t="n">
        <v>120000</v>
      </c>
      <c r="F90" s="12" t="n">
        <v>38000</v>
      </c>
      <c r="G90" s="12" t="n">
        <v>18000</v>
      </c>
      <c r="H90" s="12" t="n"/>
      <c r="I90" s="12" t="n">
        <v>25000</v>
      </c>
      <c r="J90" s="12" t="n">
        <v>12000</v>
      </c>
      <c r="K90" s="13">
        <f>E90+F90+G90+H90+I90+J90</f>
        <v/>
      </c>
      <c r="L90" s="14">
        <f>D90-K90</f>
        <v/>
      </c>
      <c r="M90" s="15">
        <f>IF(D90&lt;&gt;0,L90/D90,0)</f>
        <v/>
      </c>
      <c r="N90" s="42">
        <f>IF(D90=0,"—",IF(M90&gt;=0.25,"◎ 優良",IF(M90&gt;=0.15,"○ 良好",IF(M90&gt;=0.05,"△ 要注意","× 赤字"))))</f>
        <v/>
      </c>
      <c r="O90" s="27" t="inlineStr">
        <is>
          <t>C003一般</t>
        </is>
      </c>
      <c r="P90" s="28">
        <f>IF(D89&lt;&gt;0,D90/D89-1,"")</f>
        <v/>
      </c>
      <c r="Q90" s="46">
        <f>IFERROR(D90/100,0)</f>
        <v/>
      </c>
    </row>
    <row r="91" ht="21" customHeight="1">
      <c r="A91" s="16" t="inlineStr">
        <is>
          <t>614-2</t>
        </is>
      </c>
      <c r="B91" s="25" t="inlineStr">
        <is>
          <t>ENDO</t>
        </is>
      </c>
      <c r="C91" s="40" t="inlineStr">
        <is>
          <t>2025-06</t>
        </is>
      </c>
      <c r="D91" s="41">
        <f>IFERROR(VLOOKUP(C91,▼売上原票!$A:$P,8,0),0)</f>
        <v/>
      </c>
      <c r="E91" s="12" t="n">
        <v>120000</v>
      </c>
      <c r="F91" s="12" t="n">
        <v>38000</v>
      </c>
      <c r="G91" s="12" t="n">
        <v>18000</v>
      </c>
      <c r="H91" s="12" t="n"/>
      <c r="I91" s="12" t="n">
        <v>25000</v>
      </c>
      <c r="J91" s="12" t="n">
        <v>12000</v>
      </c>
      <c r="K91" s="13">
        <f>E91+F91+G91+H91+I91+J91</f>
        <v/>
      </c>
      <c r="L91" s="14">
        <f>D91-K91</f>
        <v/>
      </c>
      <c r="M91" s="15">
        <f>IF(D91&lt;&gt;0,L91/D91,0)</f>
        <v/>
      </c>
      <c r="N91" s="42">
        <f>IF(D91=0,"—",IF(M91&gt;=0.25,"◎ 優良",IF(M91&gt;=0.15,"○ 良好",IF(M91&gt;=0.05,"△ 要注意","× 赤字"))))</f>
        <v/>
      </c>
      <c r="O91" s="27" t="inlineStr">
        <is>
          <t>C003一般</t>
        </is>
      </c>
      <c r="P91" s="28">
        <f>IF(D90&lt;&gt;0,D91/D90-1,"")</f>
        <v/>
      </c>
      <c r="Q91" s="46">
        <f>IFERROR(D91/100,0)</f>
        <v/>
      </c>
    </row>
    <row r="92" ht="21" customHeight="1">
      <c r="A92" s="16" t="inlineStr">
        <is>
          <t>614-2</t>
        </is>
      </c>
      <c r="B92" s="25" t="inlineStr">
        <is>
          <t>ENDO</t>
        </is>
      </c>
      <c r="C92" s="40" t="inlineStr">
        <is>
          <t>2025-07</t>
        </is>
      </c>
      <c r="D92" s="41">
        <f>IFERROR(VLOOKUP(C92,▼売上原票!$A:$P,8,0),0)</f>
        <v/>
      </c>
      <c r="E92" s="12" t="n">
        <v>120000</v>
      </c>
      <c r="F92" s="12" t="n">
        <v>38000</v>
      </c>
      <c r="G92" s="12" t="n">
        <v>18000</v>
      </c>
      <c r="H92" s="12" t="n"/>
      <c r="I92" s="12" t="n">
        <v>25000</v>
      </c>
      <c r="J92" s="12" t="n">
        <v>12000</v>
      </c>
      <c r="K92" s="13">
        <f>E92+F92+G92+H92+I92+J92</f>
        <v/>
      </c>
      <c r="L92" s="14">
        <f>D92-K92</f>
        <v/>
      </c>
      <c r="M92" s="15">
        <f>IF(D92&lt;&gt;0,L92/D92,0)</f>
        <v/>
      </c>
      <c r="N92" s="42">
        <f>IF(D92=0,"—",IF(M92&gt;=0.25,"◎ 優良",IF(M92&gt;=0.15,"○ 良好",IF(M92&gt;=0.05,"△ 要注意","× 赤字"))))</f>
        <v/>
      </c>
      <c r="O92" s="27" t="inlineStr">
        <is>
          <t>C003一般</t>
        </is>
      </c>
      <c r="P92" s="28">
        <f>IF(D91&lt;&gt;0,D92/D91-1,"")</f>
        <v/>
      </c>
      <c r="Q92" s="46">
        <f>IFERROR(D92/100,0)</f>
        <v/>
      </c>
    </row>
    <row r="93" ht="21" customHeight="1">
      <c r="A93" s="16" t="inlineStr">
        <is>
          <t>614-2</t>
        </is>
      </c>
      <c r="B93" s="25" t="inlineStr">
        <is>
          <t>ENDO</t>
        </is>
      </c>
      <c r="C93" s="40" t="inlineStr">
        <is>
          <t>2025-08</t>
        </is>
      </c>
      <c r="D93" s="41">
        <f>IFERROR(VLOOKUP(C93,▼売上原票!$A:$P,8,0),0)</f>
        <v/>
      </c>
      <c r="E93" s="12" t="n">
        <v>120000</v>
      </c>
      <c r="F93" s="12" t="n">
        <v>38000</v>
      </c>
      <c r="G93" s="12" t="n">
        <v>18000</v>
      </c>
      <c r="H93" s="12" t="n"/>
      <c r="I93" s="12" t="n">
        <v>25000</v>
      </c>
      <c r="J93" s="12" t="n">
        <v>12000</v>
      </c>
      <c r="K93" s="13">
        <f>E93+F93+G93+H93+I93+J93</f>
        <v/>
      </c>
      <c r="L93" s="14">
        <f>D93-K93</f>
        <v/>
      </c>
      <c r="M93" s="15">
        <f>IF(D93&lt;&gt;0,L93/D93,0)</f>
        <v/>
      </c>
      <c r="N93" s="42">
        <f>IF(D93=0,"—",IF(M93&gt;=0.25,"◎ 優良",IF(M93&gt;=0.15,"○ 良好",IF(M93&gt;=0.05,"△ 要注意","× 赤字"))))</f>
        <v/>
      </c>
      <c r="O93" s="27" t="inlineStr">
        <is>
          <t>C003一般</t>
        </is>
      </c>
      <c r="P93" s="28">
        <f>IF(D92&lt;&gt;0,D93/D92-1,"")</f>
        <v/>
      </c>
      <c r="Q93" s="46">
        <f>IFERROR(D93/100,0)</f>
        <v/>
      </c>
    </row>
    <row r="94" ht="5" customHeight="1">
      <c r="A94" s="44" t="n"/>
      <c r="B94" s="44" t="n"/>
      <c r="C94" s="44" t="n"/>
      <c r="D94" s="44" t="n"/>
      <c r="E94" s="44" t="n"/>
      <c r="F94" s="44" t="n"/>
      <c r="G94" s="44" t="n"/>
      <c r="H94" s="44" t="n"/>
      <c r="I94" s="44" t="n"/>
      <c r="J94" s="44" t="n"/>
      <c r="K94" s="44" t="n"/>
      <c r="L94" s="44" t="n"/>
      <c r="M94" s="44" t="n"/>
      <c r="N94" s="44" t="n"/>
      <c r="O94" s="44" t="n"/>
      <c r="P94" s="44" t="n"/>
      <c r="Q94" s="44" t="n"/>
    </row>
    <row r="95" ht="21" customHeight="1">
      <c r="A95" s="16" t="inlineStr">
        <is>
          <t>614-3</t>
        </is>
      </c>
      <c r="B95" s="25" t="inlineStr">
        <is>
          <t>現金</t>
        </is>
      </c>
      <c r="C95" s="40" t="inlineStr">
        <is>
          <t>2024-07</t>
        </is>
      </c>
      <c r="D95" s="41">
        <f>IFERROR(VLOOKUP(C95,▼売上原票!$A:$P,9,0),0)</f>
        <v/>
      </c>
      <c r="E95" s="12" t="n">
        <v>20000</v>
      </c>
      <c r="F95" s="12" t="n">
        <v>6000</v>
      </c>
      <c r="G95" s="12" t="n">
        <v>3000</v>
      </c>
      <c r="H95" s="12" t="n"/>
      <c r="I95" s="12" t="n">
        <v>5000</v>
      </c>
      <c r="J95" s="12" t="n">
        <v>3000</v>
      </c>
      <c r="K95" s="13">
        <f>E95+F95+G95+H95+I95+J95</f>
        <v/>
      </c>
      <c r="L95" s="14">
        <f>D95-K95</f>
        <v/>
      </c>
      <c r="M95" s="15">
        <f>IF(D95&lt;&gt;0,L95/D95,0)</f>
        <v/>
      </c>
      <c r="N95" s="42">
        <f>IF(D95=0,"—",IF(M95&gt;=0.25,"◎ 優良",IF(M95&gt;=0.15,"○ 良好",IF(M95&gt;=0.05,"△ 要注意","× 赤字"))))</f>
        <v/>
      </c>
      <c r="O95" s="27" t="inlineStr">
        <is>
          <t>C003一般</t>
        </is>
      </c>
      <c r="P95" s="27" t="inlineStr">
        <is>
          <t>—</t>
        </is>
      </c>
      <c r="Q95" s="46">
        <f>IFERROR(D95/100,0)</f>
        <v/>
      </c>
    </row>
    <row r="96" ht="21" customHeight="1">
      <c r="A96" s="16" t="inlineStr">
        <is>
          <t>614-3</t>
        </is>
      </c>
      <c r="B96" s="25" t="inlineStr">
        <is>
          <t>現金</t>
        </is>
      </c>
      <c r="C96" s="40" t="inlineStr">
        <is>
          <t>2024-08</t>
        </is>
      </c>
      <c r="D96" s="41">
        <f>IFERROR(VLOOKUP(C96,▼売上原票!$A:$P,9,0),0)</f>
        <v/>
      </c>
      <c r="E96" s="12" t="n">
        <v>20000</v>
      </c>
      <c r="F96" s="12" t="n">
        <v>6000</v>
      </c>
      <c r="G96" s="12" t="n">
        <v>3000</v>
      </c>
      <c r="H96" s="12" t="n"/>
      <c r="I96" s="12" t="n">
        <v>5000</v>
      </c>
      <c r="J96" s="12" t="n">
        <v>3000</v>
      </c>
      <c r="K96" s="13">
        <f>E96+F96+G96+H96+I96+J96</f>
        <v/>
      </c>
      <c r="L96" s="14">
        <f>D96-K96</f>
        <v/>
      </c>
      <c r="M96" s="15">
        <f>IF(D96&lt;&gt;0,L96/D96,0)</f>
        <v/>
      </c>
      <c r="N96" s="42">
        <f>IF(D96=0,"—",IF(M96&gt;=0.25,"◎ 優良",IF(M96&gt;=0.15,"○ 良好",IF(M96&gt;=0.05,"△ 要注意","× 赤字"))))</f>
        <v/>
      </c>
      <c r="O96" s="27" t="inlineStr">
        <is>
          <t>C003一般</t>
        </is>
      </c>
      <c r="P96" s="28">
        <f>IF(D95&lt;&gt;0,D96/D95-1,"")</f>
        <v/>
      </c>
      <c r="Q96" s="46">
        <f>IFERROR(D96/100,0)</f>
        <v/>
      </c>
    </row>
    <row r="97" ht="21" customHeight="1">
      <c r="A97" s="16" t="inlineStr">
        <is>
          <t>614-3</t>
        </is>
      </c>
      <c r="B97" s="25" t="inlineStr">
        <is>
          <t>現金</t>
        </is>
      </c>
      <c r="C97" s="40" t="inlineStr">
        <is>
          <t>2024-09</t>
        </is>
      </c>
      <c r="D97" s="41">
        <f>IFERROR(VLOOKUP(C97,▼売上原票!$A:$P,9,0),0)</f>
        <v/>
      </c>
      <c r="E97" s="12" t="n">
        <v>20000</v>
      </c>
      <c r="F97" s="12" t="n">
        <v>6000</v>
      </c>
      <c r="G97" s="12" t="n">
        <v>3000</v>
      </c>
      <c r="H97" s="12" t="n"/>
      <c r="I97" s="12" t="n">
        <v>5000</v>
      </c>
      <c r="J97" s="12" t="n">
        <v>3000</v>
      </c>
      <c r="K97" s="13">
        <f>E97+F97+G97+H97+I97+J97</f>
        <v/>
      </c>
      <c r="L97" s="14">
        <f>D97-K97</f>
        <v/>
      </c>
      <c r="M97" s="15">
        <f>IF(D97&lt;&gt;0,L97/D97,0)</f>
        <v/>
      </c>
      <c r="N97" s="42">
        <f>IF(D97=0,"—",IF(M97&gt;=0.25,"◎ 優良",IF(M97&gt;=0.15,"○ 良好",IF(M97&gt;=0.05,"△ 要注意","× 赤字"))))</f>
        <v/>
      </c>
      <c r="O97" s="27" t="inlineStr">
        <is>
          <t>C003一般</t>
        </is>
      </c>
      <c r="P97" s="28">
        <f>IF(D96&lt;&gt;0,D97/D96-1,"")</f>
        <v/>
      </c>
      <c r="Q97" s="46">
        <f>IFERROR(D97/100,0)</f>
        <v/>
      </c>
    </row>
    <row r="98" ht="21" customHeight="1">
      <c r="A98" s="16" t="inlineStr">
        <is>
          <t>614-3</t>
        </is>
      </c>
      <c r="B98" s="25" t="inlineStr">
        <is>
          <t>現金</t>
        </is>
      </c>
      <c r="C98" s="40" t="inlineStr">
        <is>
          <t>2024-10</t>
        </is>
      </c>
      <c r="D98" s="41">
        <f>IFERROR(VLOOKUP(C98,▼売上原票!$A:$P,9,0),0)</f>
        <v/>
      </c>
      <c r="E98" s="12" t="n">
        <v>20000</v>
      </c>
      <c r="F98" s="12" t="n">
        <v>6000</v>
      </c>
      <c r="G98" s="12" t="n">
        <v>3000</v>
      </c>
      <c r="H98" s="12" t="n"/>
      <c r="I98" s="12" t="n">
        <v>5000</v>
      </c>
      <c r="J98" s="12" t="n">
        <v>3000</v>
      </c>
      <c r="K98" s="13">
        <f>E98+F98+G98+H98+I98+J98</f>
        <v/>
      </c>
      <c r="L98" s="14">
        <f>D98-K98</f>
        <v/>
      </c>
      <c r="M98" s="15">
        <f>IF(D98&lt;&gt;0,L98/D98,0)</f>
        <v/>
      </c>
      <c r="N98" s="42">
        <f>IF(D98=0,"—",IF(M98&gt;=0.25,"◎ 優良",IF(M98&gt;=0.15,"○ 良好",IF(M98&gt;=0.05,"△ 要注意","× 赤字"))))</f>
        <v/>
      </c>
      <c r="O98" s="27" t="inlineStr">
        <is>
          <t>C003一般</t>
        </is>
      </c>
      <c r="P98" s="28">
        <f>IF(D97&lt;&gt;0,D98/D97-1,"")</f>
        <v/>
      </c>
      <c r="Q98" s="46">
        <f>IFERROR(D98/100,0)</f>
        <v/>
      </c>
    </row>
    <row r="99" ht="21" customHeight="1">
      <c r="A99" s="16" t="inlineStr">
        <is>
          <t>614-3</t>
        </is>
      </c>
      <c r="B99" s="25" t="inlineStr">
        <is>
          <t>現金</t>
        </is>
      </c>
      <c r="C99" s="40" t="inlineStr">
        <is>
          <t>2024-11</t>
        </is>
      </c>
      <c r="D99" s="41">
        <f>IFERROR(VLOOKUP(C99,▼売上原票!$A:$P,9,0),0)</f>
        <v/>
      </c>
      <c r="E99" s="12" t="n">
        <v>20000</v>
      </c>
      <c r="F99" s="12" t="n">
        <v>6000</v>
      </c>
      <c r="G99" s="12" t="n">
        <v>3000</v>
      </c>
      <c r="H99" s="12" t="n"/>
      <c r="I99" s="12" t="n">
        <v>5000</v>
      </c>
      <c r="J99" s="12" t="n">
        <v>3000</v>
      </c>
      <c r="K99" s="13">
        <f>E99+F99+G99+H99+I99+J99</f>
        <v/>
      </c>
      <c r="L99" s="14">
        <f>D99-K99</f>
        <v/>
      </c>
      <c r="M99" s="15">
        <f>IF(D99&lt;&gt;0,L99/D99,0)</f>
        <v/>
      </c>
      <c r="N99" s="42">
        <f>IF(D99=0,"—",IF(M99&gt;=0.25,"◎ 優良",IF(M99&gt;=0.15,"○ 良好",IF(M99&gt;=0.05,"△ 要注意","× 赤字"))))</f>
        <v/>
      </c>
      <c r="O99" s="27" t="inlineStr">
        <is>
          <t>C003一般</t>
        </is>
      </c>
      <c r="P99" s="28">
        <f>IF(D98&lt;&gt;0,D99/D98-1,"")</f>
        <v/>
      </c>
      <c r="Q99" s="46">
        <f>IFERROR(D99/100,0)</f>
        <v/>
      </c>
    </row>
    <row r="100" ht="21" customHeight="1">
      <c r="A100" s="16" t="inlineStr">
        <is>
          <t>614-3</t>
        </is>
      </c>
      <c r="B100" s="25" t="inlineStr">
        <is>
          <t>現金</t>
        </is>
      </c>
      <c r="C100" s="40" t="inlineStr">
        <is>
          <t>2024-12</t>
        </is>
      </c>
      <c r="D100" s="41">
        <f>IFERROR(VLOOKUP(C100,▼売上原票!$A:$P,9,0),0)</f>
        <v/>
      </c>
      <c r="E100" s="12" t="n">
        <v>20000</v>
      </c>
      <c r="F100" s="12" t="n">
        <v>6000</v>
      </c>
      <c r="G100" s="12" t="n">
        <v>3000</v>
      </c>
      <c r="H100" s="12" t="n"/>
      <c r="I100" s="12" t="n">
        <v>5000</v>
      </c>
      <c r="J100" s="12" t="n">
        <v>3000</v>
      </c>
      <c r="K100" s="13">
        <f>E100+F100+G100+H100+I100+J100</f>
        <v/>
      </c>
      <c r="L100" s="14">
        <f>D100-K100</f>
        <v/>
      </c>
      <c r="M100" s="15">
        <f>IF(D100&lt;&gt;0,L100/D100,0)</f>
        <v/>
      </c>
      <c r="N100" s="42">
        <f>IF(D100=0,"—",IF(M100&gt;=0.25,"◎ 優良",IF(M100&gt;=0.15,"○ 良好",IF(M100&gt;=0.05,"△ 要注意","× 赤字"))))</f>
        <v/>
      </c>
      <c r="O100" s="27" t="inlineStr">
        <is>
          <t>C003一般</t>
        </is>
      </c>
      <c r="P100" s="28">
        <f>IF(D99&lt;&gt;0,D100/D99-1,"")</f>
        <v/>
      </c>
      <c r="Q100" s="46">
        <f>IFERROR(D100/100,0)</f>
        <v/>
      </c>
    </row>
    <row r="101" ht="21" customHeight="1">
      <c r="A101" s="16" t="inlineStr">
        <is>
          <t>614-3</t>
        </is>
      </c>
      <c r="B101" s="25" t="inlineStr">
        <is>
          <t>現金</t>
        </is>
      </c>
      <c r="C101" s="40" t="inlineStr">
        <is>
          <t>2025-01</t>
        </is>
      </c>
      <c r="D101" s="41">
        <f>IFERROR(VLOOKUP(C101,▼売上原票!$A:$P,9,0),0)</f>
        <v/>
      </c>
      <c r="E101" s="12" t="n">
        <v>20000</v>
      </c>
      <c r="F101" s="12" t="n">
        <v>6000</v>
      </c>
      <c r="G101" s="12" t="n">
        <v>3000</v>
      </c>
      <c r="H101" s="12" t="n"/>
      <c r="I101" s="12" t="n">
        <v>5000</v>
      </c>
      <c r="J101" s="12" t="n">
        <v>3000</v>
      </c>
      <c r="K101" s="13">
        <f>E101+F101+G101+H101+I101+J101</f>
        <v/>
      </c>
      <c r="L101" s="14">
        <f>D101-K101</f>
        <v/>
      </c>
      <c r="M101" s="15">
        <f>IF(D101&lt;&gt;0,L101/D101,0)</f>
        <v/>
      </c>
      <c r="N101" s="42">
        <f>IF(D101=0,"—",IF(M101&gt;=0.25,"◎ 優良",IF(M101&gt;=0.15,"○ 良好",IF(M101&gt;=0.05,"△ 要注意","× 赤字"))))</f>
        <v/>
      </c>
      <c r="O101" s="27" t="inlineStr">
        <is>
          <t>C003一般</t>
        </is>
      </c>
      <c r="P101" s="28">
        <f>IF(D100&lt;&gt;0,D101/D100-1,"")</f>
        <v/>
      </c>
      <c r="Q101" s="46">
        <f>IFERROR(D101/100,0)</f>
        <v/>
      </c>
    </row>
    <row r="102" ht="21" customHeight="1">
      <c r="A102" s="16" t="inlineStr">
        <is>
          <t>614-3</t>
        </is>
      </c>
      <c r="B102" s="25" t="inlineStr">
        <is>
          <t>現金</t>
        </is>
      </c>
      <c r="C102" s="40" t="inlineStr">
        <is>
          <t>2025-02</t>
        </is>
      </c>
      <c r="D102" s="41">
        <f>IFERROR(VLOOKUP(C102,▼売上原票!$A:$P,9,0),0)</f>
        <v/>
      </c>
      <c r="E102" s="12" t="n">
        <v>20000</v>
      </c>
      <c r="F102" s="12" t="n">
        <v>6000</v>
      </c>
      <c r="G102" s="12" t="n">
        <v>3000</v>
      </c>
      <c r="H102" s="12" t="n"/>
      <c r="I102" s="12" t="n">
        <v>5000</v>
      </c>
      <c r="J102" s="12" t="n">
        <v>3000</v>
      </c>
      <c r="K102" s="13">
        <f>E102+F102+G102+H102+I102+J102</f>
        <v/>
      </c>
      <c r="L102" s="14">
        <f>D102-K102</f>
        <v/>
      </c>
      <c r="M102" s="15">
        <f>IF(D102&lt;&gt;0,L102/D102,0)</f>
        <v/>
      </c>
      <c r="N102" s="42">
        <f>IF(D102=0,"—",IF(M102&gt;=0.25,"◎ 優良",IF(M102&gt;=0.15,"○ 良好",IF(M102&gt;=0.05,"△ 要注意","× 赤字"))))</f>
        <v/>
      </c>
      <c r="O102" s="27" t="inlineStr">
        <is>
          <t>C003一般</t>
        </is>
      </c>
      <c r="P102" s="28">
        <f>IF(D101&lt;&gt;0,D102/D101-1,"")</f>
        <v/>
      </c>
      <c r="Q102" s="46">
        <f>IFERROR(D102/100,0)</f>
        <v/>
      </c>
    </row>
    <row r="103" ht="21" customHeight="1">
      <c r="A103" s="16" t="inlineStr">
        <is>
          <t>614-3</t>
        </is>
      </c>
      <c r="B103" s="25" t="inlineStr">
        <is>
          <t>現金</t>
        </is>
      </c>
      <c r="C103" s="40" t="inlineStr">
        <is>
          <t>2025-03</t>
        </is>
      </c>
      <c r="D103" s="41">
        <f>IFERROR(VLOOKUP(C103,▼売上原票!$A:$P,9,0),0)</f>
        <v/>
      </c>
      <c r="E103" s="12" t="n">
        <v>20000</v>
      </c>
      <c r="F103" s="12" t="n">
        <v>6000</v>
      </c>
      <c r="G103" s="12" t="n">
        <v>3000</v>
      </c>
      <c r="H103" s="12" t="n"/>
      <c r="I103" s="12" t="n">
        <v>5000</v>
      </c>
      <c r="J103" s="12" t="n">
        <v>3000</v>
      </c>
      <c r="K103" s="13">
        <f>E103+F103+G103+H103+I103+J103</f>
        <v/>
      </c>
      <c r="L103" s="14">
        <f>D103-K103</f>
        <v/>
      </c>
      <c r="M103" s="15">
        <f>IF(D103&lt;&gt;0,L103/D103,0)</f>
        <v/>
      </c>
      <c r="N103" s="42">
        <f>IF(D103=0,"—",IF(M103&gt;=0.25,"◎ 優良",IF(M103&gt;=0.15,"○ 良好",IF(M103&gt;=0.05,"△ 要注意","× 赤字"))))</f>
        <v/>
      </c>
      <c r="O103" s="27" t="inlineStr">
        <is>
          <t>C003一般</t>
        </is>
      </c>
      <c r="P103" s="28">
        <f>IF(D102&lt;&gt;0,D103/D102-1,"")</f>
        <v/>
      </c>
      <c r="Q103" s="46">
        <f>IFERROR(D103/100,0)</f>
        <v/>
      </c>
    </row>
    <row r="104" ht="21" customHeight="1">
      <c r="A104" s="16" t="inlineStr">
        <is>
          <t>614-3</t>
        </is>
      </c>
      <c r="B104" s="25" t="inlineStr">
        <is>
          <t>現金</t>
        </is>
      </c>
      <c r="C104" s="40" t="inlineStr">
        <is>
          <t>2025-04</t>
        </is>
      </c>
      <c r="D104" s="41">
        <f>IFERROR(VLOOKUP(C104,▼売上原票!$A:$P,9,0),0)</f>
        <v/>
      </c>
      <c r="E104" s="12" t="n">
        <v>20000</v>
      </c>
      <c r="F104" s="12" t="n">
        <v>6000</v>
      </c>
      <c r="G104" s="12" t="n">
        <v>3000</v>
      </c>
      <c r="H104" s="12" t="n"/>
      <c r="I104" s="12" t="n">
        <v>5000</v>
      </c>
      <c r="J104" s="12" t="n">
        <v>3000</v>
      </c>
      <c r="K104" s="13">
        <f>E104+F104+G104+H104+I104+J104</f>
        <v/>
      </c>
      <c r="L104" s="14">
        <f>D104-K104</f>
        <v/>
      </c>
      <c r="M104" s="15">
        <f>IF(D104&lt;&gt;0,L104/D104,0)</f>
        <v/>
      </c>
      <c r="N104" s="42">
        <f>IF(D104=0,"—",IF(M104&gt;=0.25,"◎ 優良",IF(M104&gt;=0.15,"○ 良好",IF(M104&gt;=0.05,"△ 要注意","× 赤字"))))</f>
        <v/>
      </c>
      <c r="O104" s="27" t="inlineStr">
        <is>
          <t>C003一般</t>
        </is>
      </c>
      <c r="P104" s="28">
        <f>IF(D103&lt;&gt;0,D104/D103-1,"")</f>
        <v/>
      </c>
      <c r="Q104" s="46">
        <f>IFERROR(D104/100,0)</f>
        <v/>
      </c>
    </row>
    <row r="105" ht="21" customHeight="1">
      <c r="A105" s="16" t="inlineStr">
        <is>
          <t>614-3</t>
        </is>
      </c>
      <c r="B105" s="25" t="inlineStr">
        <is>
          <t>現金</t>
        </is>
      </c>
      <c r="C105" s="40" t="inlineStr">
        <is>
          <t>2025-05</t>
        </is>
      </c>
      <c r="D105" s="41">
        <f>IFERROR(VLOOKUP(C105,▼売上原票!$A:$P,9,0),0)</f>
        <v/>
      </c>
      <c r="E105" s="12" t="n">
        <v>20000</v>
      </c>
      <c r="F105" s="12" t="n">
        <v>6000</v>
      </c>
      <c r="G105" s="12" t="n">
        <v>3000</v>
      </c>
      <c r="H105" s="12" t="n"/>
      <c r="I105" s="12" t="n">
        <v>5000</v>
      </c>
      <c r="J105" s="12" t="n">
        <v>3000</v>
      </c>
      <c r="K105" s="13">
        <f>E105+F105+G105+H105+I105+J105</f>
        <v/>
      </c>
      <c r="L105" s="14">
        <f>D105-K105</f>
        <v/>
      </c>
      <c r="M105" s="15">
        <f>IF(D105&lt;&gt;0,L105/D105,0)</f>
        <v/>
      </c>
      <c r="N105" s="42">
        <f>IF(D105=0,"—",IF(M105&gt;=0.25,"◎ 優良",IF(M105&gt;=0.15,"○ 良好",IF(M105&gt;=0.05,"△ 要注意","× 赤字"))))</f>
        <v/>
      </c>
      <c r="O105" s="27" t="inlineStr">
        <is>
          <t>C003一般</t>
        </is>
      </c>
      <c r="P105" s="28">
        <f>IF(D104&lt;&gt;0,D105/D104-1,"")</f>
        <v/>
      </c>
      <c r="Q105" s="46">
        <f>IFERROR(D105/100,0)</f>
        <v/>
      </c>
    </row>
    <row r="106" ht="21" customHeight="1">
      <c r="A106" s="16" t="inlineStr">
        <is>
          <t>614-3</t>
        </is>
      </c>
      <c r="B106" s="25" t="inlineStr">
        <is>
          <t>現金</t>
        </is>
      </c>
      <c r="C106" s="40" t="inlineStr">
        <is>
          <t>2025-06</t>
        </is>
      </c>
      <c r="D106" s="41">
        <f>IFERROR(VLOOKUP(C106,▼売上原票!$A:$P,9,0),0)</f>
        <v/>
      </c>
      <c r="E106" s="12" t="n">
        <v>20000</v>
      </c>
      <c r="F106" s="12" t="n">
        <v>6000</v>
      </c>
      <c r="G106" s="12" t="n">
        <v>3000</v>
      </c>
      <c r="H106" s="12" t="n"/>
      <c r="I106" s="12" t="n">
        <v>5000</v>
      </c>
      <c r="J106" s="12" t="n">
        <v>3000</v>
      </c>
      <c r="K106" s="13">
        <f>E106+F106+G106+H106+I106+J106</f>
        <v/>
      </c>
      <c r="L106" s="14">
        <f>D106-K106</f>
        <v/>
      </c>
      <c r="M106" s="15">
        <f>IF(D106&lt;&gt;0,L106/D106,0)</f>
        <v/>
      </c>
      <c r="N106" s="42">
        <f>IF(D106=0,"—",IF(M106&gt;=0.25,"◎ 優良",IF(M106&gt;=0.15,"○ 良好",IF(M106&gt;=0.05,"△ 要注意","× 赤字"))))</f>
        <v/>
      </c>
      <c r="O106" s="27" t="inlineStr">
        <is>
          <t>C003一般</t>
        </is>
      </c>
      <c r="P106" s="28">
        <f>IF(D105&lt;&gt;0,D106/D105-1,"")</f>
        <v/>
      </c>
      <c r="Q106" s="46">
        <f>IFERROR(D106/100,0)</f>
        <v/>
      </c>
    </row>
    <row r="107" ht="21" customHeight="1">
      <c r="A107" s="16" t="inlineStr">
        <is>
          <t>614-3</t>
        </is>
      </c>
      <c r="B107" s="25" t="inlineStr">
        <is>
          <t>現金</t>
        </is>
      </c>
      <c r="C107" s="40" t="inlineStr">
        <is>
          <t>2025-07</t>
        </is>
      </c>
      <c r="D107" s="41">
        <f>IFERROR(VLOOKUP(C107,▼売上原票!$A:$P,9,0),0)</f>
        <v/>
      </c>
      <c r="E107" s="12" t="n">
        <v>20000</v>
      </c>
      <c r="F107" s="12" t="n">
        <v>6000</v>
      </c>
      <c r="G107" s="12" t="n">
        <v>3000</v>
      </c>
      <c r="H107" s="12" t="n"/>
      <c r="I107" s="12" t="n">
        <v>5000</v>
      </c>
      <c r="J107" s="12" t="n">
        <v>3000</v>
      </c>
      <c r="K107" s="13">
        <f>E107+F107+G107+H107+I107+J107</f>
        <v/>
      </c>
      <c r="L107" s="14">
        <f>D107-K107</f>
        <v/>
      </c>
      <c r="M107" s="15">
        <f>IF(D107&lt;&gt;0,L107/D107,0)</f>
        <v/>
      </c>
      <c r="N107" s="42">
        <f>IF(D107=0,"—",IF(M107&gt;=0.25,"◎ 優良",IF(M107&gt;=0.15,"○ 良好",IF(M107&gt;=0.05,"△ 要注意","× 赤字"))))</f>
        <v/>
      </c>
      <c r="O107" s="27" t="inlineStr">
        <is>
          <t>C003一般</t>
        </is>
      </c>
      <c r="P107" s="28">
        <f>IF(D106&lt;&gt;0,D107/D106-1,"")</f>
        <v/>
      </c>
      <c r="Q107" s="46">
        <f>IFERROR(D107/100,0)</f>
        <v/>
      </c>
    </row>
    <row r="108" ht="21" customHeight="1">
      <c r="A108" s="16" t="inlineStr">
        <is>
          <t>614-3</t>
        </is>
      </c>
      <c r="B108" s="25" t="inlineStr">
        <is>
          <t>現金</t>
        </is>
      </c>
      <c r="C108" s="40" t="inlineStr">
        <is>
          <t>2025-08</t>
        </is>
      </c>
      <c r="D108" s="41">
        <f>IFERROR(VLOOKUP(C108,▼売上原票!$A:$P,9,0),0)</f>
        <v/>
      </c>
      <c r="E108" s="12" t="n">
        <v>20000</v>
      </c>
      <c r="F108" s="12" t="n">
        <v>6000</v>
      </c>
      <c r="G108" s="12" t="n">
        <v>3000</v>
      </c>
      <c r="H108" s="12" t="n"/>
      <c r="I108" s="12" t="n">
        <v>5000</v>
      </c>
      <c r="J108" s="12" t="n">
        <v>3000</v>
      </c>
      <c r="K108" s="13">
        <f>E108+F108+G108+H108+I108+J108</f>
        <v/>
      </c>
      <c r="L108" s="14">
        <f>D108-K108</f>
        <v/>
      </c>
      <c r="M108" s="15">
        <f>IF(D108&lt;&gt;0,L108/D108,0)</f>
        <v/>
      </c>
      <c r="N108" s="42">
        <f>IF(D108=0,"—",IF(M108&gt;=0.25,"◎ 優良",IF(M108&gt;=0.15,"○ 良好",IF(M108&gt;=0.05,"△ 要注意","× 赤字"))))</f>
        <v/>
      </c>
      <c r="O108" s="27" t="inlineStr">
        <is>
          <t>C003一般</t>
        </is>
      </c>
      <c r="P108" s="28">
        <f>IF(D107&lt;&gt;0,D108/D107-1,"")</f>
        <v/>
      </c>
      <c r="Q108" s="46">
        <f>IFERROR(D108/100,0)</f>
        <v/>
      </c>
    </row>
    <row r="109" ht="5" customHeight="1">
      <c r="A109" s="44" t="n"/>
      <c r="B109" s="44" t="n"/>
      <c r="C109" s="44" t="n"/>
      <c r="D109" s="44" t="n"/>
      <c r="E109" s="44" t="n"/>
      <c r="F109" s="44" t="n"/>
      <c r="G109" s="44" t="n"/>
      <c r="H109" s="44" t="n"/>
      <c r="I109" s="44" t="n"/>
      <c r="J109" s="44" t="n"/>
      <c r="K109" s="44" t="n"/>
      <c r="L109" s="44" t="n"/>
      <c r="M109" s="44" t="n"/>
      <c r="N109" s="44" t="n"/>
      <c r="O109" s="44" t="n"/>
      <c r="P109" s="44" t="n"/>
      <c r="Q109" s="44" t="n"/>
    </row>
    <row r="110" ht="21" customHeight="1">
      <c r="A110" s="7" t="inlineStr">
        <is>
          <t>615-1</t>
        </is>
      </c>
      <c r="B110" s="8" t="inlineStr">
        <is>
          <t>板橋</t>
        </is>
      </c>
      <c r="C110" s="40" t="inlineStr">
        <is>
          <t>2024-07</t>
        </is>
      </c>
      <c r="D110" s="41">
        <f>IFERROR(VLOOKUP(C110,▼売上原票!$A:$P,10,0),0)</f>
        <v/>
      </c>
      <c r="E110" s="12" t="n">
        <v>850000</v>
      </c>
      <c r="F110" s="12" t="n">
        <v>248000</v>
      </c>
      <c r="G110" s="12" t="n">
        <v>118000</v>
      </c>
      <c r="H110" s="12" t="n">
        <v>580000</v>
      </c>
      <c r="I110" s="12" t="n">
        <v>95000</v>
      </c>
      <c r="J110" s="12" t="n">
        <v>62000</v>
      </c>
      <c r="K110" s="13">
        <f>E110+F110+G110+H110+I110+J110</f>
        <v/>
      </c>
      <c r="L110" s="14">
        <f>D110-K110</f>
        <v/>
      </c>
      <c r="M110" s="15">
        <f>IF(D110&lt;&gt;0,L110/D110,0)</f>
        <v/>
      </c>
      <c r="N110" s="42">
        <f>IF(D110=0,"—",IF(M110&gt;=0.25,"◎ 優良",IF(M110&gt;=0.15,"○ 良好",IF(M110&gt;=0.05,"△ 要注意","× 赤字"))))</f>
        <v/>
      </c>
      <c r="O110" s="17" t="inlineStr">
        <is>
          <t>C001東急</t>
        </is>
      </c>
      <c r="P110" s="17" t="inlineStr">
        <is>
          <t>—</t>
        </is>
      </c>
      <c r="Q110" s="43">
        <f>IFERROR(D110/100,0)</f>
        <v/>
      </c>
    </row>
    <row r="111" ht="21" customHeight="1">
      <c r="A111" s="7" t="inlineStr">
        <is>
          <t>615-1</t>
        </is>
      </c>
      <c r="B111" s="8" t="inlineStr">
        <is>
          <t>板橋</t>
        </is>
      </c>
      <c r="C111" s="40" t="inlineStr">
        <is>
          <t>2024-08</t>
        </is>
      </c>
      <c r="D111" s="41">
        <f>IFERROR(VLOOKUP(C111,▼売上原票!$A:$P,10,0),0)</f>
        <v/>
      </c>
      <c r="E111" s="12" t="n">
        <v>850000</v>
      </c>
      <c r="F111" s="12" t="n">
        <v>248000</v>
      </c>
      <c r="G111" s="12" t="n">
        <v>118000</v>
      </c>
      <c r="H111" s="12" t="n">
        <v>580000</v>
      </c>
      <c r="I111" s="12" t="n">
        <v>95000</v>
      </c>
      <c r="J111" s="12" t="n">
        <v>62000</v>
      </c>
      <c r="K111" s="13">
        <f>E111+F111+G111+H111+I111+J111</f>
        <v/>
      </c>
      <c r="L111" s="14">
        <f>D111-K111</f>
        <v/>
      </c>
      <c r="M111" s="15">
        <f>IF(D111&lt;&gt;0,L111/D111,0)</f>
        <v/>
      </c>
      <c r="N111" s="42">
        <f>IF(D111=0,"—",IF(M111&gt;=0.25,"◎ 優良",IF(M111&gt;=0.15,"○ 良好",IF(M111&gt;=0.05,"△ 要注意","× 赤字"))))</f>
        <v/>
      </c>
      <c r="O111" s="17" t="inlineStr">
        <is>
          <t>C001東急</t>
        </is>
      </c>
      <c r="P111" s="18">
        <f>IF(D110&lt;&gt;0,D111/D110-1,"")</f>
        <v/>
      </c>
      <c r="Q111" s="43">
        <f>IFERROR(D111/100,0)</f>
        <v/>
      </c>
    </row>
    <row r="112" ht="21" customHeight="1">
      <c r="A112" s="7" t="inlineStr">
        <is>
          <t>615-1</t>
        </is>
      </c>
      <c r="B112" s="8" t="inlineStr">
        <is>
          <t>板橋</t>
        </is>
      </c>
      <c r="C112" s="40" t="inlineStr">
        <is>
          <t>2024-09</t>
        </is>
      </c>
      <c r="D112" s="41">
        <f>IFERROR(VLOOKUP(C112,▼売上原票!$A:$P,10,0),0)</f>
        <v/>
      </c>
      <c r="E112" s="12" t="n">
        <v>850000</v>
      </c>
      <c r="F112" s="12" t="n">
        <v>248000</v>
      </c>
      <c r="G112" s="12" t="n">
        <v>118000</v>
      </c>
      <c r="H112" s="12" t="n">
        <v>580000</v>
      </c>
      <c r="I112" s="12" t="n">
        <v>95000</v>
      </c>
      <c r="J112" s="12" t="n">
        <v>62000</v>
      </c>
      <c r="K112" s="13">
        <f>E112+F112+G112+H112+I112+J112</f>
        <v/>
      </c>
      <c r="L112" s="14">
        <f>D112-K112</f>
        <v/>
      </c>
      <c r="M112" s="15">
        <f>IF(D112&lt;&gt;0,L112/D112,0)</f>
        <v/>
      </c>
      <c r="N112" s="42">
        <f>IF(D112=0,"—",IF(M112&gt;=0.25,"◎ 優良",IF(M112&gt;=0.15,"○ 良好",IF(M112&gt;=0.05,"△ 要注意","× 赤字"))))</f>
        <v/>
      </c>
      <c r="O112" s="17" t="inlineStr">
        <is>
          <t>C001東急</t>
        </is>
      </c>
      <c r="P112" s="18">
        <f>IF(D111&lt;&gt;0,D112/D111-1,"")</f>
        <v/>
      </c>
      <c r="Q112" s="43">
        <f>IFERROR(D112/100,0)</f>
        <v/>
      </c>
    </row>
    <row r="113" ht="21" customHeight="1">
      <c r="A113" s="7" t="inlineStr">
        <is>
          <t>615-1</t>
        </is>
      </c>
      <c r="B113" s="8" t="inlineStr">
        <is>
          <t>板橋</t>
        </is>
      </c>
      <c r="C113" s="40" t="inlineStr">
        <is>
          <t>2024-10</t>
        </is>
      </c>
      <c r="D113" s="41">
        <f>IFERROR(VLOOKUP(C113,▼売上原票!$A:$P,10,0),0)</f>
        <v/>
      </c>
      <c r="E113" s="12" t="n">
        <v>850000</v>
      </c>
      <c r="F113" s="12" t="n">
        <v>248000</v>
      </c>
      <c r="G113" s="12" t="n">
        <v>118000</v>
      </c>
      <c r="H113" s="12" t="n">
        <v>580000</v>
      </c>
      <c r="I113" s="12" t="n">
        <v>95000</v>
      </c>
      <c r="J113" s="12" t="n">
        <v>62000</v>
      </c>
      <c r="K113" s="13">
        <f>E113+F113+G113+H113+I113+J113</f>
        <v/>
      </c>
      <c r="L113" s="14">
        <f>D113-K113</f>
        <v/>
      </c>
      <c r="M113" s="15">
        <f>IF(D113&lt;&gt;0,L113/D113,0)</f>
        <v/>
      </c>
      <c r="N113" s="42">
        <f>IF(D113=0,"—",IF(M113&gt;=0.25,"◎ 優良",IF(M113&gt;=0.15,"○ 良好",IF(M113&gt;=0.05,"△ 要注意","× 赤字"))))</f>
        <v/>
      </c>
      <c r="O113" s="17" t="inlineStr">
        <is>
          <t>C001東急</t>
        </is>
      </c>
      <c r="P113" s="18">
        <f>IF(D112&lt;&gt;0,D113/D112-1,"")</f>
        <v/>
      </c>
      <c r="Q113" s="43">
        <f>IFERROR(D113/100,0)</f>
        <v/>
      </c>
    </row>
    <row r="114" ht="21" customHeight="1">
      <c r="A114" s="7" t="inlineStr">
        <is>
          <t>615-1</t>
        </is>
      </c>
      <c r="B114" s="8" t="inlineStr">
        <is>
          <t>板橋</t>
        </is>
      </c>
      <c r="C114" s="40" t="inlineStr">
        <is>
          <t>2024-11</t>
        </is>
      </c>
      <c r="D114" s="41">
        <f>IFERROR(VLOOKUP(C114,▼売上原票!$A:$P,10,0),0)</f>
        <v/>
      </c>
      <c r="E114" s="12" t="n">
        <v>850000</v>
      </c>
      <c r="F114" s="12" t="n">
        <v>248000</v>
      </c>
      <c r="G114" s="12" t="n">
        <v>118000</v>
      </c>
      <c r="H114" s="12" t="n">
        <v>580000</v>
      </c>
      <c r="I114" s="12" t="n">
        <v>95000</v>
      </c>
      <c r="J114" s="12" t="n">
        <v>62000</v>
      </c>
      <c r="K114" s="13">
        <f>E114+F114+G114+H114+I114+J114</f>
        <v/>
      </c>
      <c r="L114" s="14">
        <f>D114-K114</f>
        <v/>
      </c>
      <c r="M114" s="15">
        <f>IF(D114&lt;&gt;0,L114/D114,0)</f>
        <v/>
      </c>
      <c r="N114" s="42">
        <f>IF(D114=0,"—",IF(M114&gt;=0.25,"◎ 優良",IF(M114&gt;=0.15,"○ 良好",IF(M114&gt;=0.05,"△ 要注意","× 赤字"))))</f>
        <v/>
      </c>
      <c r="O114" s="17" t="inlineStr">
        <is>
          <t>C001東急</t>
        </is>
      </c>
      <c r="P114" s="18">
        <f>IF(D113&lt;&gt;0,D114/D113-1,"")</f>
        <v/>
      </c>
      <c r="Q114" s="43">
        <f>IFERROR(D114/100,0)</f>
        <v/>
      </c>
    </row>
    <row r="115" ht="21" customHeight="1">
      <c r="A115" s="7" t="inlineStr">
        <is>
          <t>615-1</t>
        </is>
      </c>
      <c r="B115" s="8" t="inlineStr">
        <is>
          <t>板橋</t>
        </is>
      </c>
      <c r="C115" s="40" t="inlineStr">
        <is>
          <t>2024-12</t>
        </is>
      </c>
      <c r="D115" s="41">
        <f>IFERROR(VLOOKUP(C115,▼売上原票!$A:$P,10,0),0)</f>
        <v/>
      </c>
      <c r="E115" s="12" t="n">
        <v>850000</v>
      </c>
      <c r="F115" s="12" t="n">
        <v>248000</v>
      </c>
      <c r="G115" s="12" t="n">
        <v>118000</v>
      </c>
      <c r="H115" s="12" t="n">
        <v>580000</v>
      </c>
      <c r="I115" s="12" t="n">
        <v>95000</v>
      </c>
      <c r="J115" s="12" t="n">
        <v>62000</v>
      </c>
      <c r="K115" s="13">
        <f>E115+F115+G115+H115+I115+J115</f>
        <v/>
      </c>
      <c r="L115" s="14">
        <f>D115-K115</f>
        <v/>
      </c>
      <c r="M115" s="15">
        <f>IF(D115&lt;&gt;0,L115/D115,0)</f>
        <v/>
      </c>
      <c r="N115" s="42">
        <f>IF(D115=0,"—",IF(M115&gt;=0.25,"◎ 優良",IF(M115&gt;=0.15,"○ 良好",IF(M115&gt;=0.05,"△ 要注意","× 赤字"))))</f>
        <v/>
      </c>
      <c r="O115" s="17" t="inlineStr">
        <is>
          <t>C001東急</t>
        </is>
      </c>
      <c r="P115" s="18">
        <f>IF(D114&lt;&gt;0,D115/D114-1,"")</f>
        <v/>
      </c>
      <c r="Q115" s="43">
        <f>IFERROR(D115/100,0)</f>
        <v/>
      </c>
    </row>
    <row r="116" ht="21" customHeight="1">
      <c r="A116" s="7" t="inlineStr">
        <is>
          <t>615-1</t>
        </is>
      </c>
      <c r="B116" s="8" t="inlineStr">
        <is>
          <t>板橋</t>
        </is>
      </c>
      <c r="C116" s="40" t="inlineStr">
        <is>
          <t>2025-01</t>
        </is>
      </c>
      <c r="D116" s="41">
        <f>IFERROR(VLOOKUP(C116,▼売上原票!$A:$P,10,0),0)</f>
        <v/>
      </c>
      <c r="E116" s="12" t="n">
        <v>850000</v>
      </c>
      <c r="F116" s="12" t="n">
        <v>248000</v>
      </c>
      <c r="G116" s="12" t="n">
        <v>118000</v>
      </c>
      <c r="H116" s="12" t="n">
        <v>580000</v>
      </c>
      <c r="I116" s="12" t="n">
        <v>95000</v>
      </c>
      <c r="J116" s="12" t="n">
        <v>62000</v>
      </c>
      <c r="K116" s="13">
        <f>E116+F116+G116+H116+I116+J116</f>
        <v/>
      </c>
      <c r="L116" s="14">
        <f>D116-K116</f>
        <v/>
      </c>
      <c r="M116" s="15">
        <f>IF(D116&lt;&gt;0,L116/D116,0)</f>
        <v/>
      </c>
      <c r="N116" s="42">
        <f>IF(D116=0,"—",IF(M116&gt;=0.25,"◎ 優良",IF(M116&gt;=0.15,"○ 良好",IF(M116&gt;=0.05,"△ 要注意","× 赤字"))))</f>
        <v/>
      </c>
      <c r="O116" s="17" t="inlineStr">
        <is>
          <t>C001東急</t>
        </is>
      </c>
      <c r="P116" s="18">
        <f>IF(D115&lt;&gt;0,D116/D115-1,"")</f>
        <v/>
      </c>
      <c r="Q116" s="43">
        <f>IFERROR(D116/100,0)</f>
        <v/>
      </c>
    </row>
    <row r="117" ht="21" customHeight="1">
      <c r="A117" s="7" t="inlineStr">
        <is>
          <t>615-1</t>
        </is>
      </c>
      <c r="B117" s="8" t="inlineStr">
        <is>
          <t>板橋</t>
        </is>
      </c>
      <c r="C117" s="40" t="inlineStr">
        <is>
          <t>2025-02</t>
        </is>
      </c>
      <c r="D117" s="41">
        <f>IFERROR(VLOOKUP(C117,▼売上原票!$A:$P,10,0),0)</f>
        <v/>
      </c>
      <c r="E117" s="12" t="n">
        <v>850000</v>
      </c>
      <c r="F117" s="12" t="n">
        <v>248000</v>
      </c>
      <c r="G117" s="12" t="n">
        <v>118000</v>
      </c>
      <c r="H117" s="12" t="n">
        <v>580000</v>
      </c>
      <c r="I117" s="12" t="n">
        <v>95000</v>
      </c>
      <c r="J117" s="12" t="n">
        <v>62000</v>
      </c>
      <c r="K117" s="13">
        <f>E117+F117+G117+H117+I117+J117</f>
        <v/>
      </c>
      <c r="L117" s="14">
        <f>D117-K117</f>
        <v/>
      </c>
      <c r="M117" s="15">
        <f>IF(D117&lt;&gt;0,L117/D117,0)</f>
        <v/>
      </c>
      <c r="N117" s="42">
        <f>IF(D117=0,"—",IF(M117&gt;=0.25,"◎ 優良",IF(M117&gt;=0.15,"○ 良好",IF(M117&gt;=0.05,"△ 要注意","× 赤字"))))</f>
        <v/>
      </c>
      <c r="O117" s="17" t="inlineStr">
        <is>
          <t>C001東急</t>
        </is>
      </c>
      <c r="P117" s="18">
        <f>IF(D116&lt;&gt;0,D117/D116-1,"")</f>
        <v/>
      </c>
      <c r="Q117" s="43">
        <f>IFERROR(D117/100,0)</f>
        <v/>
      </c>
    </row>
    <row r="118" ht="21" customHeight="1">
      <c r="A118" s="7" t="inlineStr">
        <is>
          <t>615-1</t>
        </is>
      </c>
      <c r="B118" s="8" t="inlineStr">
        <is>
          <t>板橋</t>
        </is>
      </c>
      <c r="C118" s="40" t="inlineStr">
        <is>
          <t>2025-03</t>
        </is>
      </c>
      <c r="D118" s="41">
        <f>IFERROR(VLOOKUP(C118,▼売上原票!$A:$P,10,0),0)</f>
        <v/>
      </c>
      <c r="E118" s="12" t="n">
        <v>850000</v>
      </c>
      <c r="F118" s="12" t="n">
        <v>248000</v>
      </c>
      <c r="G118" s="12" t="n">
        <v>118000</v>
      </c>
      <c r="H118" s="12" t="n">
        <v>580000</v>
      </c>
      <c r="I118" s="12" t="n">
        <v>95000</v>
      </c>
      <c r="J118" s="12" t="n">
        <v>62000</v>
      </c>
      <c r="K118" s="13">
        <f>E118+F118+G118+H118+I118+J118</f>
        <v/>
      </c>
      <c r="L118" s="14">
        <f>D118-K118</f>
        <v/>
      </c>
      <c r="M118" s="15">
        <f>IF(D118&lt;&gt;0,L118/D118,0)</f>
        <v/>
      </c>
      <c r="N118" s="42">
        <f>IF(D118=0,"—",IF(M118&gt;=0.25,"◎ 優良",IF(M118&gt;=0.15,"○ 良好",IF(M118&gt;=0.05,"△ 要注意","× 赤字"))))</f>
        <v/>
      </c>
      <c r="O118" s="17" t="inlineStr">
        <is>
          <t>C001東急</t>
        </is>
      </c>
      <c r="P118" s="18">
        <f>IF(D117&lt;&gt;0,D118/D117-1,"")</f>
        <v/>
      </c>
      <c r="Q118" s="43">
        <f>IFERROR(D118/100,0)</f>
        <v/>
      </c>
    </row>
    <row r="119" ht="21" customHeight="1">
      <c r="A119" s="7" t="inlineStr">
        <is>
          <t>615-1</t>
        </is>
      </c>
      <c r="B119" s="8" t="inlineStr">
        <is>
          <t>板橋</t>
        </is>
      </c>
      <c r="C119" s="40" t="inlineStr">
        <is>
          <t>2025-04</t>
        </is>
      </c>
      <c r="D119" s="41">
        <f>IFERROR(VLOOKUP(C119,▼売上原票!$A:$P,10,0),0)</f>
        <v/>
      </c>
      <c r="E119" s="12" t="n">
        <v>850000</v>
      </c>
      <c r="F119" s="12" t="n">
        <v>248000</v>
      </c>
      <c r="G119" s="12" t="n">
        <v>118000</v>
      </c>
      <c r="H119" s="12" t="n">
        <v>580000</v>
      </c>
      <c r="I119" s="12" t="n">
        <v>95000</v>
      </c>
      <c r="J119" s="12" t="n">
        <v>62000</v>
      </c>
      <c r="K119" s="13">
        <f>E119+F119+G119+H119+I119+J119</f>
        <v/>
      </c>
      <c r="L119" s="14">
        <f>D119-K119</f>
        <v/>
      </c>
      <c r="M119" s="15">
        <f>IF(D119&lt;&gt;0,L119/D119,0)</f>
        <v/>
      </c>
      <c r="N119" s="42">
        <f>IF(D119=0,"—",IF(M119&gt;=0.25,"◎ 優良",IF(M119&gt;=0.15,"○ 良好",IF(M119&gt;=0.05,"△ 要注意","× 赤字"))))</f>
        <v/>
      </c>
      <c r="O119" s="17" t="inlineStr">
        <is>
          <t>C001東急</t>
        </is>
      </c>
      <c r="P119" s="18">
        <f>IF(D118&lt;&gt;0,D119/D118-1,"")</f>
        <v/>
      </c>
      <c r="Q119" s="43">
        <f>IFERROR(D119/100,0)</f>
        <v/>
      </c>
    </row>
    <row r="120" ht="21" customHeight="1">
      <c r="A120" s="7" t="inlineStr">
        <is>
          <t>615-1</t>
        </is>
      </c>
      <c r="B120" s="8" t="inlineStr">
        <is>
          <t>板橋</t>
        </is>
      </c>
      <c r="C120" s="40" t="inlineStr">
        <is>
          <t>2025-05</t>
        </is>
      </c>
      <c r="D120" s="41">
        <f>IFERROR(VLOOKUP(C120,▼売上原票!$A:$P,10,0),0)</f>
        <v/>
      </c>
      <c r="E120" s="12" t="n">
        <v>850000</v>
      </c>
      <c r="F120" s="12" t="n">
        <v>248000</v>
      </c>
      <c r="G120" s="12" t="n">
        <v>118000</v>
      </c>
      <c r="H120" s="12" t="n">
        <v>580000</v>
      </c>
      <c r="I120" s="12" t="n">
        <v>95000</v>
      </c>
      <c r="J120" s="12" t="n">
        <v>62000</v>
      </c>
      <c r="K120" s="13">
        <f>E120+F120+G120+H120+I120+J120</f>
        <v/>
      </c>
      <c r="L120" s="14">
        <f>D120-K120</f>
        <v/>
      </c>
      <c r="M120" s="15">
        <f>IF(D120&lt;&gt;0,L120/D120,0)</f>
        <v/>
      </c>
      <c r="N120" s="42">
        <f>IF(D120=0,"—",IF(M120&gt;=0.25,"◎ 優良",IF(M120&gt;=0.15,"○ 良好",IF(M120&gt;=0.05,"△ 要注意","× 赤字"))))</f>
        <v/>
      </c>
      <c r="O120" s="17" t="inlineStr">
        <is>
          <t>C001東急</t>
        </is>
      </c>
      <c r="P120" s="18">
        <f>IF(D119&lt;&gt;0,D120/D119-1,"")</f>
        <v/>
      </c>
      <c r="Q120" s="43">
        <f>IFERROR(D120/100,0)</f>
        <v/>
      </c>
    </row>
    <row r="121" ht="21" customHeight="1">
      <c r="A121" s="7" t="inlineStr">
        <is>
          <t>615-1</t>
        </is>
      </c>
      <c r="B121" s="8" t="inlineStr">
        <is>
          <t>板橋</t>
        </is>
      </c>
      <c r="C121" s="40" t="inlineStr">
        <is>
          <t>2025-06</t>
        </is>
      </c>
      <c r="D121" s="41">
        <f>IFERROR(VLOOKUP(C121,▼売上原票!$A:$P,10,0),0)</f>
        <v/>
      </c>
      <c r="E121" s="12" t="n">
        <v>850000</v>
      </c>
      <c r="F121" s="12" t="n">
        <v>248000</v>
      </c>
      <c r="G121" s="12" t="n">
        <v>118000</v>
      </c>
      <c r="H121" s="12" t="n">
        <v>580000</v>
      </c>
      <c r="I121" s="12" t="n">
        <v>95000</v>
      </c>
      <c r="J121" s="12" t="n">
        <v>62000</v>
      </c>
      <c r="K121" s="13">
        <f>E121+F121+G121+H121+I121+J121</f>
        <v/>
      </c>
      <c r="L121" s="14">
        <f>D121-K121</f>
        <v/>
      </c>
      <c r="M121" s="15">
        <f>IF(D121&lt;&gt;0,L121/D121,0)</f>
        <v/>
      </c>
      <c r="N121" s="42">
        <f>IF(D121=0,"—",IF(M121&gt;=0.25,"◎ 優良",IF(M121&gt;=0.15,"○ 良好",IF(M121&gt;=0.05,"△ 要注意","× 赤字"))))</f>
        <v/>
      </c>
      <c r="O121" s="17" t="inlineStr">
        <is>
          <t>C001東急</t>
        </is>
      </c>
      <c r="P121" s="18">
        <f>IF(D120&lt;&gt;0,D121/D120-1,"")</f>
        <v/>
      </c>
      <c r="Q121" s="43">
        <f>IFERROR(D121/100,0)</f>
        <v/>
      </c>
    </row>
    <row r="122" ht="21" customHeight="1">
      <c r="A122" s="7" t="inlineStr">
        <is>
          <t>615-1</t>
        </is>
      </c>
      <c r="B122" s="8" t="inlineStr">
        <is>
          <t>板橋</t>
        </is>
      </c>
      <c r="C122" s="40" t="inlineStr">
        <is>
          <t>2025-07</t>
        </is>
      </c>
      <c r="D122" s="41">
        <f>IFERROR(VLOOKUP(C122,▼売上原票!$A:$P,10,0),0)</f>
        <v/>
      </c>
      <c r="E122" s="12" t="n">
        <v>850000</v>
      </c>
      <c r="F122" s="12" t="n">
        <v>248000</v>
      </c>
      <c r="G122" s="12" t="n">
        <v>118000</v>
      </c>
      <c r="H122" s="12" t="n">
        <v>580000</v>
      </c>
      <c r="I122" s="12" t="n">
        <v>95000</v>
      </c>
      <c r="J122" s="12" t="n">
        <v>62000</v>
      </c>
      <c r="K122" s="13">
        <f>E122+F122+G122+H122+I122+J122</f>
        <v/>
      </c>
      <c r="L122" s="14">
        <f>D122-K122</f>
        <v/>
      </c>
      <c r="M122" s="15">
        <f>IF(D122&lt;&gt;0,L122/D122,0)</f>
        <v/>
      </c>
      <c r="N122" s="42">
        <f>IF(D122=0,"—",IF(M122&gt;=0.25,"◎ 優良",IF(M122&gt;=0.15,"○ 良好",IF(M122&gt;=0.05,"△ 要注意","× 赤字"))))</f>
        <v/>
      </c>
      <c r="O122" s="17" t="inlineStr">
        <is>
          <t>C001東急</t>
        </is>
      </c>
      <c r="P122" s="18">
        <f>IF(D121&lt;&gt;0,D122/D121-1,"")</f>
        <v/>
      </c>
      <c r="Q122" s="43">
        <f>IFERROR(D122/100,0)</f>
        <v/>
      </c>
    </row>
    <row r="123" ht="21" customHeight="1">
      <c r="A123" s="7" t="inlineStr">
        <is>
          <t>615-1</t>
        </is>
      </c>
      <c r="B123" s="8" t="inlineStr">
        <is>
          <t>板橋</t>
        </is>
      </c>
      <c r="C123" s="40" t="inlineStr">
        <is>
          <t>2025-08</t>
        </is>
      </c>
      <c r="D123" s="41">
        <f>IFERROR(VLOOKUP(C123,▼売上原票!$A:$P,10,0),0)</f>
        <v/>
      </c>
      <c r="E123" s="12" t="n">
        <v>850000</v>
      </c>
      <c r="F123" s="12" t="n">
        <v>248000</v>
      </c>
      <c r="G123" s="12" t="n">
        <v>118000</v>
      </c>
      <c r="H123" s="12" t="n">
        <v>580000</v>
      </c>
      <c r="I123" s="12" t="n">
        <v>95000</v>
      </c>
      <c r="J123" s="12" t="n">
        <v>62000</v>
      </c>
      <c r="K123" s="13">
        <f>E123+F123+G123+H123+I123+J123</f>
        <v/>
      </c>
      <c r="L123" s="14">
        <f>D123-K123</f>
        <v/>
      </c>
      <c r="M123" s="15">
        <f>IF(D123&lt;&gt;0,L123/D123,0)</f>
        <v/>
      </c>
      <c r="N123" s="42">
        <f>IF(D123=0,"—",IF(M123&gt;=0.25,"◎ 優良",IF(M123&gt;=0.15,"○ 良好",IF(M123&gt;=0.05,"△ 要注意","× 赤字"))))</f>
        <v/>
      </c>
      <c r="O123" s="17" t="inlineStr">
        <is>
          <t>C001東急</t>
        </is>
      </c>
      <c r="P123" s="18">
        <f>IF(D122&lt;&gt;0,D123/D122-1,"")</f>
        <v/>
      </c>
      <c r="Q123" s="43">
        <f>IFERROR(D123/100,0)</f>
        <v/>
      </c>
    </row>
    <row r="124" ht="5" customHeight="1">
      <c r="A124" s="44" t="n"/>
      <c r="B124" s="44" t="n"/>
      <c r="C124" s="44" t="n"/>
      <c r="D124" s="44" t="n"/>
      <c r="E124" s="44" t="n"/>
      <c r="F124" s="44" t="n"/>
      <c r="G124" s="44" t="n"/>
      <c r="H124" s="44" t="n"/>
      <c r="I124" s="44" t="n"/>
      <c r="J124" s="44" t="n"/>
      <c r="K124" s="44" t="n"/>
      <c r="L124" s="44" t="n"/>
      <c r="M124" s="44" t="n"/>
      <c r="N124" s="44" t="n"/>
      <c r="O124" s="44" t="n"/>
      <c r="P124" s="44" t="n"/>
      <c r="Q124" s="44" t="n"/>
    </row>
    <row r="125" ht="21" customHeight="1">
      <c r="A125" s="7" t="inlineStr">
        <is>
          <t>615-2</t>
        </is>
      </c>
      <c r="B125" s="8" t="inlineStr">
        <is>
          <t>新横浜</t>
        </is>
      </c>
      <c r="C125" s="40" t="inlineStr">
        <is>
          <t>2024-07</t>
        </is>
      </c>
      <c r="D125" s="41">
        <f>IFERROR(VLOOKUP(C125,▼売上原票!$A:$P,11,0),0)</f>
        <v/>
      </c>
      <c r="E125" s="12" t="n">
        <v>280000</v>
      </c>
      <c r="F125" s="12" t="n">
        <v>82000</v>
      </c>
      <c r="G125" s="12" t="n">
        <v>38000</v>
      </c>
      <c r="H125" s="12" t="n">
        <v>195000</v>
      </c>
      <c r="I125" s="12" t="n">
        <v>32000</v>
      </c>
      <c r="J125" s="12" t="n">
        <v>20000</v>
      </c>
      <c r="K125" s="13">
        <f>E125+F125+G125+H125+I125+J125</f>
        <v/>
      </c>
      <c r="L125" s="14">
        <f>D125-K125</f>
        <v/>
      </c>
      <c r="M125" s="15">
        <f>IF(D125&lt;&gt;0,L125/D125,0)</f>
        <v/>
      </c>
      <c r="N125" s="42">
        <f>IF(D125=0,"—",IF(M125&gt;=0.25,"◎ 優良",IF(M125&gt;=0.15,"○ 良好",IF(M125&gt;=0.05,"△ 要注意","× 赤字"))))</f>
        <v/>
      </c>
      <c r="O125" s="17" t="inlineStr">
        <is>
          <t>C003一般</t>
        </is>
      </c>
      <c r="P125" s="17" t="inlineStr">
        <is>
          <t>—</t>
        </is>
      </c>
      <c r="Q125" s="43">
        <f>IFERROR(D125/100,0)</f>
        <v/>
      </c>
    </row>
    <row r="126" ht="21" customHeight="1">
      <c r="A126" s="7" t="inlineStr">
        <is>
          <t>615-2</t>
        </is>
      </c>
      <c r="B126" s="8" t="inlineStr">
        <is>
          <t>新横浜</t>
        </is>
      </c>
      <c r="C126" s="40" t="inlineStr">
        <is>
          <t>2024-08</t>
        </is>
      </c>
      <c r="D126" s="41">
        <f>IFERROR(VLOOKUP(C126,▼売上原票!$A:$P,11,0),0)</f>
        <v/>
      </c>
      <c r="E126" s="12" t="n">
        <v>280000</v>
      </c>
      <c r="F126" s="12" t="n">
        <v>82000</v>
      </c>
      <c r="G126" s="12" t="n">
        <v>38000</v>
      </c>
      <c r="H126" s="12" t="n">
        <v>195000</v>
      </c>
      <c r="I126" s="12" t="n">
        <v>32000</v>
      </c>
      <c r="J126" s="12" t="n">
        <v>20000</v>
      </c>
      <c r="K126" s="13">
        <f>E126+F126+G126+H126+I126+J126</f>
        <v/>
      </c>
      <c r="L126" s="14">
        <f>D126-K126</f>
        <v/>
      </c>
      <c r="M126" s="15">
        <f>IF(D126&lt;&gt;0,L126/D126,0)</f>
        <v/>
      </c>
      <c r="N126" s="42">
        <f>IF(D126=0,"—",IF(M126&gt;=0.25,"◎ 優良",IF(M126&gt;=0.15,"○ 良好",IF(M126&gt;=0.05,"△ 要注意","× 赤字"))))</f>
        <v/>
      </c>
      <c r="O126" s="17" t="inlineStr">
        <is>
          <t>C003一般</t>
        </is>
      </c>
      <c r="P126" s="18">
        <f>IF(D125&lt;&gt;0,D126/D125-1,"")</f>
        <v/>
      </c>
      <c r="Q126" s="43">
        <f>IFERROR(D126/100,0)</f>
        <v/>
      </c>
    </row>
    <row r="127" ht="21" customHeight="1">
      <c r="A127" s="7" t="inlineStr">
        <is>
          <t>615-2</t>
        </is>
      </c>
      <c r="B127" s="8" t="inlineStr">
        <is>
          <t>新横浜</t>
        </is>
      </c>
      <c r="C127" s="40" t="inlineStr">
        <is>
          <t>2024-09</t>
        </is>
      </c>
      <c r="D127" s="41">
        <f>IFERROR(VLOOKUP(C127,▼売上原票!$A:$P,11,0),0)</f>
        <v/>
      </c>
      <c r="E127" s="12" t="n">
        <v>280000</v>
      </c>
      <c r="F127" s="12" t="n">
        <v>82000</v>
      </c>
      <c r="G127" s="12" t="n">
        <v>38000</v>
      </c>
      <c r="H127" s="12" t="n">
        <v>195000</v>
      </c>
      <c r="I127" s="12" t="n">
        <v>32000</v>
      </c>
      <c r="J127" s="12" t="n">
        <v>20000</v>
      </c>
      <c r="K127" s="13">
        <f>E127+F127+G127+H127+I127+J127</f>
        <v/>
      </c>
      <c r="L127" s="14">
        <f>D127-K127</f>
        <v/>
      </c>
      <c r="M127" s="15">
        <f>IF(D127&lt;&gt;0,L127/D127,0)</f>
        <v/>
      </c>
      <c r="N127" s="42">
        <f>IF(D127=0,"—",IF(M127&gt;=0.25,"◎ 優良",IF(M127&gt;=0.15,"○ 良好",IF(M127&gt;=0.05,"△ 要注意","× 赤字"))))</f>
        <v/>
      </c>
      <c r="O127" s="17" t="inlineStr">
        <is>
          <t>C003一般</t>
        </is>
      </c>
      <c r="P127" s="18">
        <f>IF(D126&lt;&gt;0,D127/D126-1,"")</f>
        <v/>
      </c>
      <c r="Q127" s="43">
        <f>IFERROR(D127/100,0)</f>
        <v/>
      </c>
    </row>
    <row r="128" ht="21" customHeight="1">
      <c r="A128" s="7" t="inlineStr">
        <is>
          <t>615-2</t>
        </is>
      </c>
      <c r="B128" s="8" t="inlineStr">
        <is>
          <t>新横浜</t>
        </is>
      </c>
      <c r="C128" s="40" t="inlineStr">
        <is>
          <t>2024-10</t>
        </is>
      </c>
      <c r="D128" s="41">
        <f>IFERROR(VLOOKUP(C128,▼売上原票!$A:$P,11,0),0)</f>
        <v/>
      </c>
      <c r="E128" s="12" t="n">
        <v>280000</v>
      </c>
      <c r="F128" s="12" t="n">
        <v>82000</v>
      </c>
      <c r="G128" s="12" t="n">
        <v>38000</v>
      </c>
      <c r="H128" s="12" t="n">
        <v>195000</v>
      </c>
      <c r="I128" s="12" t="n">
        <v>32000</v>
      </c>
      <c r="J128" s="12" t="n">
        <v>20000</v>
      </c>
      <c r="K128" s="13">
        <f>E128+F128+G128+H128+I128+J128</f>
        <v/>
      </c>
      <c r="L128" s="14">
        <f>D128-K128</f>
        <v/>
      </c>
      <c r="M128" s="15">
        <f>IF(D128&lt;&gt;0,L128/D128,0)</f>
        <v/>
      </c>
      <c r="N128" s="42">
        <f>IF(D128=0,"—",IF(M128&gt;=0.25,"◎ 優良",IF(M128&gt;=0.15,"○ 良好",IF(M128&gt;=0.05,"△ 要注意","× 赤字"))))</f>
        <v/>
      </c>
      <c r="O128" s="17" t="inlineStr">
        <is>
          <t>C003一般</t>
        </is>
      </c>
      <c r="P128" s="18">
        <f>IF(D127&lt;&gt;0,D128/D127-1,"")</f>
        <v/>
      </c>
      <c r="Q128" s="43">
        <f>IFERROR(D128/100,0)</f>
        <v/>
      </c>
    </row>
    <row r="129" ht="21" customHeight="1">
      <c r="A129" s="7" t="inlineStr">
        <is>
          <t>615-2</t>
        </is>
      </c>
      <c r="B129" s="8" t="inlineStr">
        <is>
          <t>新横浜</t>
        </is>
      </c>
      <c r="C129" s="40" t="inlineStr">
        <is>
          <t>2024-11</t>
        </is>
      </c>
      <c r="D129" s="41">
        <f>IFERROR(VLOOKUP(C129,▼売上原票!$A:$P,11,0),0)</f>
        <v/>
      </c>
      <c r="E129" s="12" t="n">
        <v>280000</v>
      </c>
      <c r="F129" s="12" t="n">
        <v>82000</v>
      </c>
      <c r="G129" s="12" t="n">
        <v>38000</v>
      </c>
      <c r="H129" s="12" t="n">
        <v>195000</v>
      </c>
      <c r="I129" s="12" t="n">
        <v>32000</v>
      </c>
      <c r="J129" s="12" t="n">
        <v>20000</v>
      </c>
      <c r="K129" s="13">
        <f>E129+F129+G129+H129+I129+J129</f>
        <v/>
      </c>
      <c r="L129" s="14">
        <f>D129-K129</f>
        <v/>
      </c>
      <c r="M129" s="15">
        <f>IF(D129&lt;&gt;0,L129/D129,0)</f>
        <v/>
      </c>
      <c r="N129" s="42">
        <f>IF(D129=0,"—",IF(M129&gt;=0.25,"◎ 優良",IF(M129&gt;=0.15,"○ 良好",IF(M129&gt;=0.05,"△ 要注意","× 赤字"))))</f>
        <v/>
      </c>
      <c r="O129" s="17" t="inlineStr">
        <is>
          <t>C003一般</t>
        </is>
      </c>
      <c r="P129" s="18">
        <f>IF(D128&lt;&gt;0,D129/D128-1,"")</f>
        <v/>
      </c>
      <c r="Q129" s="43">
        <f>IFERROR(D129/100,0)</f>
        <v/>
      </c>
    </row>
    <row r="130" ht="21" customHeight="1">
      <c r="A130" s="7" t="inlineStr">
        <is>
          <t>615-2</t>
        </is>
      </c>
      <c r="B130" s="8" t="inlineStr">
        <is>
          <t>新横浜</t>
        </is>
      </c>
      <c r="C130" s="40" t="inlineStr">
        <is>
          <t>2024-12</t>
        </is>
      </c>
      <c r="D130" s="41">
        <f>IFERROR(VLOOKUP(C130,▼売上原票!$A:$P,11,0),0)</f>
        <v/>
      </c>
      <c r="E130" s="12" t="n">
        <v>280000</v>
      </c>
      <c r="F130" s="12" t="n">
        <v>82000</v>
      </c>
      <c r="G130" s="12" t="n">
        <v>38000</v>
      </c>
      <c r="H130" s="12" t="n">
        <v>195000</v>
      </c>
      <c r="I130" s="12" t="n">
        <v>32000</v>
      </c>
      <c r="J130" s="12" t="n">
        <v>20000</v>
      </c>
      <c r="K130" s="13">
        <f>E130+F130+G130+H130+I130+J130</f>
        <v/>
      </c>
      <c r="L130" s="14">
        <f>D130-K130</f>
        <v/>
      </c>
      <c r="M130" s="15">
        <f>IF(D130&lt;&gt;0,L130/D130,0)</f>
        <v/>
      </c>
      <c r="N130" s="42">
        <f>IF(D130=0,"—",IF(M130&gt;=0.25,"◎ 優良",IF(M130&gt;=0.15,"○ 良好",IF(M130&gt;=0.05,"△ 要注意","× 赤字"))))</f>
        <v/>
      </c>
      <c r="O130" s="17" t="inlineStr">
        <is>
          <t>C003一般</t>
        </is>
      </c>
      <c r="P130" s="18">
        <f>IF(D129&lt;&gt;0,D130/D129-1,"")</f>
        <v/>
      </c>
      <c r="Q130" s="43">
        <f>IFERROR(D130/100,0)</f>
        <v/>
      </c>
    </row>
    <row r="131" ht="21" customHeight="1">
      <c r="A131" s="7" t="inlineStr">
        <is>
          <t>615-2</t>
        </is>
      </c>
      <c r="B131" s="8" t="inlineStr">
        <is>
          <t>新横浜</t>
        </is>
      </c>
      <c r="C131" s="40" t="inlineStr">
        <is>
          <t>2025-01</t>
        </is>
      </c>
      <c r="D131" s="41">
        <f>IFERROR(VLOOKUP(C131,▼売上原票!$A:$P,11,0),0)</f>
        <v/>
      </c>
      <c r="E131" s="12" t="n">
        <v>280000</v>
      </c>
      <c r="F131" s="12" t="n">
        <v>82000</v>
      </c>
      <c r="G131" s="12" t="n">
        <v>38000</v>
      </c>
      <c r="H131" s="12" t="n">
        <v>195000</v>
      </c>
      <c r="I131" s="12" t="n">
        <v>32000</v>
      </c>
      <c r="J131" s="12" t="n">
        <v>20000</v>
      </c>
      <c r="K131" s="13">
        <f>E131+F131+G131+H131+I131+J131</f>
        <v/>
      </c>
      <c r="L131" s="14">
        <f>D131-K131</f>
        <v/>
      </c>
      <c r="M131" s="15">
        <f>IF(D131&lt;&gt;0,L131/D131,0)</f>
        <v/>
      </c>
      <c r="N131" s="42">
        <f>IF(D131=0,"—",IF(M131&gt;=0.25,"◎ 優良",IF(M131&gt;=0.15,"○ 良好",IF(M131&gt;=0.05,"△ 要注意","× 赤字"))))</f>
        <v/>
      </c>
      <c r="O131" s="17" t="inlineStr">
        <is>
          <t>C003一般</t>
        </is>
      </c>
      <c r="P131" s="18">
        <f>IF(D130&lt;&gt;0,D131/D130-1,"")</f>
        <v/>
      </c>
      <c r="Q131" s="43">
        <f>IFERROR(D131/100,0)</f>
        <v/>
      </c>
    </row>
    <row r="132" ht="21" customHeight="1">
      <c r="A132" s="7" t="inlineStr">
        <is>
          <t>615-2</t>
        </is>
      </c>
      <c r="B132" s="8" t="inlineStr">
        <is>
          <t>新横浜</t>
        </is>
      </c>
      <c r="C132" s="40" t="inlineStr">
        <is>
          <t>2025-02</t>
        </is>
      </c>
      <c r="D132" s="41">
        <f>IFERROR(VLOOKUP(C132,▼売上原票!$A:$P,11,0),0)</f>
        <v/>
      </c>
      <c r="E132" s="12" t="n">
        <v>280000</v>
      </c>
      <c r="F132" s="12" t="n">
        <v>82000</v>
      </c>
      <c r="G132" s="12" t="n">
        <v>38000</v>
      </c>
      <c r="H132" s="12" t="n">
        <v>195000</v>
      </c>
      <c r="I132" s="12" t="n">
        <v>32000</v>
      </c>
      <c r="J132" s="12" t="n">
        <v>20000</v>
      </c>
      <c r="K132" s="13">
        <f>E132+F132+G132+H132+I132+J132</f>
        <v/>
      </c>
      <c r="L132" s="14">
        <f>D132-K132</f>
        <v/>
      </c>
      <c r="M132" s="15">
        <f>IF(D132&lt;&gt;0,L132/D132,0)</f>
        <v/>
      </c>
      <c r="N132" s="42">
        <f>IF(D132=0,"—",IF(M132&gt;=0.25,"◎ 優良",IF(M132&gt;=0.15,"○ 良好",IF(M132&gt;=0.05,"△ 要注意","× 赤字"))))</f>
        <v/>
      </c>
      <c r="O132" s="17" t="inlineStr">
        <is>
          <t>C003一般</t>
        </is>
      </c>
      <c r="P132" s="18">
        <f>IF(D131&lt;&gt;0,D132/D131-1,"")</f>
        <v/>
      </c>
      <c r="Q132" s="43">
        <f>IFERROR(D132/100,0)</f>
        <v/>
      </c>
    </row>
    <row r="133" ht="21" customHeight="1">
      <c r="A133" s="7" t="inlineStr">
        <is>
          <t>615-2</t>
        </is>
      </c>
      <c r="B133" s="8" t="inlineStr">
        <is>
          <t>新横浜</t>
        </is>
      </c>
      <c r="C133" s="40" t="inlineStr">
        <is>
          <t>2025-03</t>
        </is>
      </c>
      <c r="D133" s="41">
        <f>IFERROR(VLOOKUP(C133,▼売上原票!$A:$P,11,0),0)</f>
        <v/>
      </c>
      <c r="E133" s="12" t="n">
        <v>280000</v>
      </c>
      <c r="F133" s="12" t="n">
        <v>82000</v>
      </c>
      <c r="G133" s="12" t="n">
        <v>38000</v>
      </c>
      <c r="H133" s="12" t="n">
        <v>195000</v>
      </c>
      <c r="I133" s="12" t="n">
        <v>32000</v>
      </c>
      <c r="J133" s="12" t="n">
        <v>20000</v>
      </c>
      <c r="K133" s="13">
        <f>E133+F133+G133+H133+I133+J133</f>
        <v/>
      </c>
      <c r="L133" s="14">
        <f>D133-K133</f>
        <v/>
      </c>
      <c r="M133" s="15">
        <f>IF(D133&lt;&gt;0,L133/D133,0)</f>
        <v/>
      </c>
      <c r="N133" s="42">
        <f>IF(D133=0,"—",IF(M133&gt;=0.25,"◎ 優良",IF(M133&gt;=0.15,"○ 良好",IF(M133&gt;=0.05,"△ 要注意","× 赤字"))))</f>
        <v/>
      </c>
      <c r="O133" s="17" t="inlineStr">
        <is>
          <t>C003一般</t>
        </is>
      </c>
      <c r="P133" s="18">
        <f>IF(D132&lt;&gt;0,D133/D132-1,"")</f>
        <v/>
      </c>
      <c r="Q133" s="43">
        <f>IFERROR(D133/100,0)</f>
        <v/>
      </c>
    </row>
    <row r="134" ht="21" customHeight="1">
      <c r="A134" s="7" t="inlineStr">
        <is>
          <t>615-2</t>
        </is>
      </c>
      <c r="B134" s="8" t="inlineStr">
        <is>
          <t>新横浜</t>
        </is>
      </c>
      <c r="C134" s="40" t="inlineStr">
        <is>
          <t>2025-04</t>
        </is>
      </c>
      <c r="D134" s="41">
        <f>IFERROR(VLOOKUP(C134,▼売上原票!$A:$P,11,0),0)</f>
        <v/>
      </c>
      <c r="E134" s="12" t="n">
        <v>280000</v>
      </c>
      <c r="F134" s="12" t="n">
        <v>82000</v>
      </c>
      <c r="G134" s="12" t="n">
        <v>38000</v>
      </c>
      <c r="H134" s="12" t="n">
        <v>195000</v>
      </c>
      <c r="I134" s="12" t="n">
        <v>32000</v>
      </c>
      <c r="J134" s="12" t="n">
        <v>20000</v>
      </c>
      <c r="K134" s="13">
        <f>E134+F134+G134+H134+I134+J134</f>
        <v/>
      </c>
      <c r="L134" s="14">
        <f>D134-K134</f>
        <v/>
      </c>
      <c r="M134" s="15">
        <f>IF(D134&lt;&gt;0,L134/D134,0)</f>
        <v/>
      </c>
      <c r="N134" s="42">
        <f>IF(D134=0,"—",IF(M134&gt;=0.25,"◎ 優良",IF(M134&gt;=0.15,"○ 良好",IF(M134&gt;=0.05,"△ 要注意","× 赤字"))))</f>
        <v/>
      </c>
      <c r="O134" s="17" t="inlineStr">
        <is>
          <t>C003一般</t>
        </is>
      </c>
      <c r="P134" s="18">
        <f>IF(D133&lt;&gt;0,D134/D133-1,"")</f>
        <v/>
      </c>
      <c r="Q134" s="43">
        <f>IFERROR(D134/100,0)</f>
        <v/>
      </c>
    </row>
    <row r="135" ht="21" customHeight="1">
      <c r="A135" s="7" t="inlineStr">
        <is>
          <t>615-2</t>
        </is>
      </c>
      <c r="B135" s="8" t="inlineStr">
        <is>
          <t>新横浜</t>
        </is>
      </c>
      <c r="C135" s="40" t="inlineStr">
        <is>
          <t>2025-05</t>
        </is>
      </c>
      <c r="D135" s="41">
        <f>IFERROR(VLOOKUP(C135,▼売上原票!$A:$P,11,0),0)</f>
        <v/>
      </c>
      <c r="E135" s="12" t="n">
        <v>280000</v>
      </c>
      <c r="F135" s="12" t="n">
        <v>82000</v>
      </c>
      <c r="G135" s="12" t="n">
        <v>38000</v>
      </c>
      <c r="H135" s="12" t="n">
        <v>195000</v>
      </c>
      <c r="I135" s="12" t="n">
        <v>32000</v>
      </c>
      <c r="J135" s="12" t="n">
        <v>20000</v>
      </c>
      <c r="K135" s="13">
        <f>E135+F135+G135+H135+I135+J135</f>
        <v/>
      </c>
      <c r="L135" s="14">
        <f>D135-K135</f>
        <v/>
      </c>
      <c r="M135" s="15">
        <f>IF(D135&lt;&gt;0,L135/D135,0)</f>
        <v/>
      </c>
      <c r="N135" s="42">
        <f>IF(D135=0,"—",IF(M135&gt;=0.25,"◎ 優良",IF(M135&gt;=0.15,"○ 良好",IF(M135&gt;=0.05,"△ 要注意","× 赤字"))))</f>
        <v/>
      </c>
      <c r="O135" s="17" t="inlineStr">
        <is>
          <t>C003一般</t>
        </is>
      </c>
      <c r="P135" s="18">
        <f>IF(D134&lt;&gt;0,D135/D134-1,"")</f>
        <v/>
      </c>
      <c r="Q135" s="43">
        <f>IFERROR(D135/100,0)</f>
        <v/>
      </c>
    </row>
    <row r="136" ht="21" customHeight="1">
      <c r="A136" s="7" t="inlineStr">
        <is>
          <t>615-2</t>
        </is>
      </c>
      <c r="B136" s="8" t="inlineStr">
        <is>
          <t>新横浜</t>
        </is>
      </c>
      <c r="C136" s="40" t="inlineStr">
        <is>
          <t>2025-06</t>
        </is>
      </c>
      <c r="D136" s="41">
        <f>IFERROR(VLOOKUP(C136,▼売上原票!$A:$P,11,0),0)</f>
        <v/>
      </c>
      <c r="E136" s="12" t="n">
        <v>280000</v>
      </c>
      <c r="F136" s="12" t="n">
        <v>82000</v>
      </c>
      <c r="G136" s="12" t="n">
        <v>38000</v>
      </c>
      <c r="H136" s="12" t="n">
        <v>195000</v>
      </c>
      <c r="I136" s="12" t="n">
        <v>32000</v>
      </c>
      <c r="J136" s="12" t="n">
        <v>20000</v>
      </c>
      <c r="K136" s="13">
        <f>E136+F136+G136+H136+I136+J136</f>
        <v/>
      </c>
      <c r="L136" s="14">
        <f>D136-K136</f>
        <v/>
      </c>
      <c r="M136" s="15">
        <f>IF(D136&lt;&gt;0,L136/D136,0)</f>
        <v/>
      </c>
      <c r="N136" s="42">
        <f>IF(D136=0,"—",IF(M136&gt;=0.25,"◎ 優良",IF(M136&gt;=0.15,"○ 良好",IF(M136&gt;=0.05,"△ 要注意","× 赤字"))))</f>
        <v/>
      </c>
      <c r="O136" s="17" t="inlineStr">
        <is>
          <t>C003一般</t>
        </is>
      </c>
      <c r="P136" s="18">
        <f>IF(D135&lt;&gt;0,D136/D135-1,"")</f>
        <v/>
      </c>
      <c r="Q136" s="43">
        <f>IFERROR(D136/100,0)</f>
        <v/>
      </c>
    </row>
    <row r="137" ht="21" customHeight="1">
      <c r="A137" s="7" t="inlineStr">
        <is>
          <t>615-2</t>
        </is>
      </c>
      <c r="B137" s="8" t="inlineStr">
        <is>
          <t>新横浜</t>
        </is>
      </c>
      <c r="C137" s="40" t="inlineStr">
        <is>
          <t>2025-07</t>
        </is>
      </c>
      <c r="D137" s="41">
        <f>IFERROR(VLOOKUP(C137,▼売上原票!$A:$P,11,0),0)</f>
        <v/>
      </c>
      <c r="E137" s="12" t="n">
        <v>280000</v>
      </c>
      <c r="F137" s="12" t="n">
        <v>82000</v>
      </c>
      <c r="G137" s="12" t="n">
        <v>38000</v>
      </c>
      <c r="H137" s="12" t="n">
        <v>195000</v>
      </c>
      <c r="I137" s="12" t="n">
        <v>32000</v>
      </c>
      <c r="J137" s="12" t="n">
        <v>20000</v>
      </c>
      <c r="K137" s="13">
        <f>E137+F137+G137+H137+I137+J137</f>
        <v/>
      </c>
      <c r="L137" s="14">
        <f>D137-K137</f>
        <v/>
      </c>
      <c r="M137" s="15">
        <f>IF(D137&lt;&gt;0,L137/D137,0)</f>
        <v/>
      </c>
      <c r="N137" s="42">
        <f>IF(D137=0,"—",IF(M137&gt;=0.25,"◎ 優良",IF(M137&gt;=0.15,"○ 良好",IF(M137&gt;=0.05,"△ 要注意","× 赤字"))))</f>
        <v/>
      </c>
      <c r="O137" s="17" t="inlineStr">
        <is>
          <t>C003一般</t>
        </is>
      </c>
      <c r="P137" s="18">
        <f>IF(D136&lt;&gt;0,D137/D136-1,"")</f>
        <v/>
      </c>
      <c r="Q137" s="43">
        <f>IFERROR(D137/100,0)</f>
        <v/>
      </c>
    </row>
    <row r="138" ht="21" customHeight="1">
      <c r="A138" s="7" t="inlineStr">
        <is>
          <t>615-2</t>
        </is>
      </c>
      <c r="B138" s="8" t="inlineStr">
        <is>
          <t>新横浜</t>
        </is>
      </c>
      <c r="C138" s="40" t="inlineStr">
        <is>
          <t>2025-08</t>
        </is>
      </c>
      <c r="D138" s="41">
        <f>IFERROR(VLOOKUP(C138,▼売上原票!$A:$P,11,0),0)</f>
        <v/>
      </c>
      <c r="E138" s="12" t="n">
        <v>280000</v>
      </c>
      <c r="F138" s="12" t="n">
        <v>82000</v>
      </c>
      <c r="G138" s="12" t="n">
        <v>38000</v>
      </c>
      <c r="H138" s="12" t="n">
        <v>195000</v>
      </c>
      <c r="I138" s="12" t="n">
        <v>32000</v>
      </c>
      <c r="J138" s="12" t="n">
        <v>20000</v>
      </c>
      <c r="K138" s="13">
        <f>E138+F138+G138+H138+I138+J138</f>
        <v/>
      </c>
      <c r="L138" s="14">
        <f>D138-K138</f>
        <v/>
      </c>
      <c r="M138" s="15">
        <f>IF(D138&lt;&gt;0,L138/D138,0)</f>
        <v/>
      </c>
      <c r="N138" s="42">
        <f>IF(D138=0,"—",IF(M138&gt;=0.25,"◎ 優良",IF(M138&gt;=0.15,"○ 良好",IF(M138&gt;=0.05,"△ 要注意","× 赤字"))))</f>
        <v/>
      </c>
      <c r="O138" s="17" t="inlineStr">
        <is>
          <t>C003一般</t>
        </is>
      </c>
      <c r="P138" s="18">
        <f>IF(D137&lt;&gt;0,D138/D137-1,"")</f>
        <v/>
      </c>
      <c r="Q138" s="43">
        <f>IFERROR(D138/100,0)</f>
        <v/>
      </c>
    </row>
    <row r="139" ht="5" customHeight="1">
      <c r="A139" s="44" t="n"/>
      <c r="B139" s="44" t="n"/>
      <c r="C139" s="44" t="n"/>
      <c r="D139" s="44" t="n"/>
      <c r="E139" s="44" t="n"/>
      <c r="F139" s="44" t="n"/>
      <c r="G139" s="44" t="n"/>
      <c r="H139" s="44" t="n"/>
      <c r="I139" s="44" t="n"/>
      <c r="J139" s="44" t="n"/>
      <c r="K139" s="44" t="n"/>
      <c r="L139" s="44" t="n"/>
      <c r="M139" s="44" t="n"/>
      <c r="N139" s="44" t="n"/>
      <c r="O139" s="44" t="n"/>
      <c r="P139" s="44" t="n"/>
      <c r="Q139" s="44" t="n"/>
    </row>
    <row r="140" ht="21" customHeight="1">
      <c r="A140" s="47" t="inlineStr">
        <is>
          <t>615-3</t>
        </is>
      </c>
      <c r="B140" s="48" t="inlineStr">
        <is>
          <t>現金2</t>
        </is>
      </c>
      <c r="C140" s="40" t="inlineStr">
        <is>
          <t>2024-07</t>
        </is>
      </c>
      <c r="D140" s="41">
        <f>IFERROR(VLOOKUP(C140,▼売上原票!$A:$P,12,0),0)</f>
        <v/>
      </c>
      <c r="E140" s="12" t="n">
        <v>15000</v>
      </c>
      <c r="F140" s="12" t="n">
        <v>4000</v>
      </c>
      <c r="G140" s="12" t="n">
        <v>2000</v>
      </c>
      <c r="H140" s="12" t="n"/>
      <c r="I140" s="12" t="n">
        <v>3000</v>
      </c>
      <c r="J140" s="12" t="n">
        <v>2000</v>
      </c>
      <c r="K140" s="13">
        <f>E140+F140+G140+H140+I140+J140</f>
        <v/>
      </c>
      <c r="L140" s="14">
        <f>D140-K140</f>
        <v/>
      </c>
      <c r="M140" s="15">
        <f>IF(D140&lt;&gt;0,L140/D140,0)</f>
        <v/>
      </c>
      <c r="N140" s="42">
        <f>IF(D140=0,"—",IF(M140&gt;=0.25,"◎ 優良",IF(M140&gt;=0.15,"○ 良好",IF(M140&gt;=0.05,"△ 要注意","× 赤字"))))</f>
        <v/>
      </c>
      <c r="O140" s="49" t="inlineStr">
        <is>
          <t>C003一般</t>
        </is>
      </c>
      <c r="P140" s="49" t="inlineStr">
        <is>
          <t>—</t>
        </is>
      </c>
      <c r="Q140" s="50">
        <f>IFERROR(D140/100,0)</f>
        <v/>
      </c>
    </row>
    <row r="141" ht="21" customHeight="1">
      <c r="A141" s="47" t="inlineStr">
        <is>
          <t>615-3</t>
        </is>
      </c>
      <c r="B141" s="48" t="inlineStr">
        <is>
          <t>現金2</t>
        </is>
      </c>
      <c r="C141" s="40" t="inlineStr">
        <is>
          <t>2024-08</t>
        </is>
      </c>
      <c r="D141" s="41">
        <f>IFERROR(VLOOKUP(C141,▼売上原票!$A:$P,12,0),0)</f>
        <v/>
      </c>
      <c r="E141" s="12" t="n">
        <v>15000</v>
      </c>
      <c r="F141" s="12" t="n">
        <v>4000</v>
      </c>
      <c r="G141" s="12" t="n">
        <v>2000</v>
      </c>
      <c r="H141" s="12" t="n"/>
      <c r="I141" s="12" t="n">
        <v>3000</v>
      </c>
      <c r="J141" s="12" t="n">
        <v>2000</v>
      </c>
      <c r="K141" s="13">
        <f>E141+F141+G141+H141+I141+J141</f>
        <v/>
      </c>
      <c r="L141" s="14">
        <f>D141-K141</f>
        <v/>
      </c>
      <c r="M141" s="15">
        <f>IF(D141&lt;&gt;0,L141/D141,0)</f>
        <v/>
      </c>
      <c r="N141" s="42">
        <f>IF(D141=0,"—",IF(M141&gt;=0.25,"◎ 優良",IF(M141&gt;=0.15,"○ 良好",IF(M141&gt;=0.05,"△ 要注意","× 赤字"))))</f>
        <v/>
      </c>
      <c r="O141" s="49" t="inlineStr">
        <is>
          <t>C003一般</t>
        </is>
      </c>
      <c r="P141" s="51">
        <f>IF(D140&lt;&gt;0,D141/D140-1,"")</f>
        <v/>
      </c>
      <c r="Q141" s="50">
        <f>IFERROR(D141/100,0)</f>
        <v/>
      </c>
    </row>
    <row r="142" ht="21" customHeight="1">
      <c r="A142" s="47" t="inlineStr">
        <is>
          <t>615-3</t>
        </is>
      </c>
      <c r="B142" s="48" t="inlineStr">
        <is>
          <t>現金2</t>
        </is>
      </c>
      <c r="C142" s="40" t="inlineStr">
        <is>
          <t>2024-09</t>
        </is>
      </c>
      <c r="D142" s="41">
        <f>IFERROR(VLOOKUP(C142,▼売上原票!$A:$P,12,0),0)</f>
        <v/>
      </c>
      <c r="E142" s="12" t="n">
        <v>15000</v>
      </c>
      <c r="F142" s="12" t="n">
        <v>4000</v>
      </c>
      <c r="G142" s="12" t="n">
        <v>2000</v>
      </c>
      <c r="H142" s="12" t="n"/>
      <c r="I142" s="12" t="n">
        <v>3000</v>
      </c>
      <c r="J142" s="12" t="n">
        <v>2000</v>
      </c>
      <c r="K142" s="13">
        <f>E142+F142+G142+H142+I142+J142</f>
        <v/>
      </c>
      <c r="L142" s="14">
        <f>D142-K142</f>
        <v/>
      </c>
      <c r="M142" s="15">
        <f>IF(D142&lt;&gt;0,L142/D142,0)</f>
        <v/>
      </c>
      <c r="N142" s="42">
        <f>IF(D142=0,"—",IF(M142&gt;=0.25,"◎ 優良",IF(M142&gt;=0.15,"○ 良好",IF(M142&gt;=0.05,"△ 要注意","× 赤字"))))</f>
        <v/>
      </c>
      <c r="O142" s="49" t="inlineStr">
        <is>
          <t>C003一般</t>
        </is>
      </c>
      <c r="P142" s="51">
        <f>IF(D141&lt;&gt;0,D142/D141-1,"")</f>
        <v/>
      </c>
      <c r="Q142" s="50">
        <f>IFERROR(D142/100,0)</f>
        <v/>
      </c>
    </row>
    <row r="143" ht="21" customHeight="1">
      <c r="A143" s="47" t="inlineStr">
        <is>
          <t>615-3</t>
        </is>
      </c>
      <c r="B143" s="48" t="inlineStr">
        <is>
          <t>現金2</t>
        </is>
      </c>
      <c r="C143" s="40" t="inlineStr">
        <is>
          <t>2024-10</t>
        </is>
      </c>
      <c r="D143" s="41">
        <f>IFERROR(VLOOKUP(C143,▼売上原票!$A:$P,12,0),0)</f>
        <v/>
      </c>
      <c r="E143" s="12" t="n">
        <v>15000</v>
      </c>
      <c r="F143" s="12" t="n">
        <v>4000</v>
      </c>
      <c r="G143" s="12" t="n">
        <v>2000</v>
      </c>
      <c r="H143" s="12" t="n"/>
      <c r="I143" s="12" t="n">
        <v>3000</v>
      </c>
      <c r="J143" s="12" t="n">
        <v>2000</v>
      </c>
      <c r="K143" s="13">
        <f>E143+F143+G143+H143+I143+J143</f>
        <v/>
      </c>
      <c r="L143" s="14">
        <f>D143-K143</f>
        <v/>
      </c>
      <c r="M143" s="15">
        <f>IF(D143&lt;&gt;0,L143/D143,0)</f>
        <v/>
      </c>
      <c r="N143" s="42">
        <f>IF(D143=0,"—",IF(M143&gt;=0.25,"◎ 優良",IF(M143&gt;=0.15,"○ 良好",IF(M143&gt;=0.05,"△ 要注意","× 赤字"))))</f>
        <v/>
      </c>
      <c r="O143" s="49" t="inlineStr">
        <is>
          <t>C003一般</t>
        </is>
      </c>
      <c r="P143" s="51">
        <f>IF(D142&lt;&gt;0,D143/D142-1,"")</f>
        <v/>
      </c>
      <c r="Q143" s="50">
        <f>IFERROR(D143/100,0)</f>
        <v/>
      </c>
    </row>
    <row r="144" ht="21" customHeight="1">
      <c r="A144" s="47" t="inlineStr">
        <is>
          <t>615-3</t>
        </is>
      </c>
      <c r="B144" s="48" t="inlineStr">
        <is>
          <t>現金2</t>
        </is>
      </c>
      <c r="C144" s="40" t="inlineStr">
        <is>
          <t>2024-11</t>
        </is>
      </c>
      <c r="D144" s="41">
        <f>IFERROR(VLOOKUP(C144,▼売上原票!$A:$P,12,0),0)</f>
        <v/>
      </c>
      <c r="E144" s="12" t="n">
        <v>15000</v>
      </c>
      <c r="F144" s="12" t="n">
        <v>4000</v>
      </c>
      <c r="G144" s="12" t="n">
        <v>2000</v>
      </c>
      <c r="H144" s="12" t="n"/>
      <c r="I144" s="12" t="n">
        <v>3000</v>
      </c>
      <c r="J144" s="12" t="n">
        <v>2000</v>
      </c>
      <c r="K144" s="13">
        <f>E144+F144+G144+H144+I144+J144</f>
        <v/>
      </c>
      <c r="L144" s="14">
        <f>D144-K144</f>
        <v/>
      </c>
      <c r="M144" s="15">
        <f>IF(D144&lt;&gt;0,L144/D144,0)</f>
        <v/>
      </c>
      <c r="N144" s="42">
        <f>IF(D144=0,"—",IF(M144&gt;=0.25,"◎ 優良",IF(M144&gt;=0.15,"○ 良好",IF(M144&gt;=0.05,"△ 要注意","× 赤字"))))</f>
        <v/>
      </c>
      <c r="O144" s="49" t="inlineStr">
        <is>
          <t>C003一般</t>
        </is>
      </c>
      <c r="P144" s="51">
        <f>IF(D143&lt;&gt;0,D144/D143-1,"")</f>
        <v/>
      </c>
      <c r="Q144" s="50">
        <f>IFERROR(D144/100,0)</f>
        <v/>
      </c>
    </row>
    <row r="145" ht="21" customHeight="1">
      <c r="A145" s="47" t="inlineStr">
        <is>
          <t>615-3</t>
        </is>
      </c>
      <c r="B145" s="48" t="inlineStr">
        <is>
          <t>現金2</t>
        </is>
      </c>
      <c r="C145" s="40" t="inlineStr">
        <is>
          <t>2024-12</t>
        </is>
      </c>
      <c r="D145" s="41">
        <f>IFERROR(VLOOKUP(C145,▼売上原票!$A:$P,12,0),0)</f>
        <v/>
      </c>
      <c r="E145" s="12" t="n">
        <v>15000</v>
      </c>
      <c r="F145" s="12" t="n">
        <v>4000</v>
      </c>
      <c r="G145" s="12" t="n">
        <v>2000</v>
      </c>
      <c r="H145" s="12" t="n"/>
      <c r="I145" s="12" t="n">
        <v>3000</v>
      </c>
      <c r="J145" s="12" t="n">
        <v>2000</v>
      </c>
      <c r="K145" s="13">
        <f>E145+F145+G145+H145+I145+J145</f>
        <v/>
      </c>
      <c r="L145" s="14">
        <f>D145-K145</f>
        <v/>
      </c>
      <c r="M145" s="15">
        <f>IF(D145&lt;&gt;0,L145/D145,0)</f>
        <v/>
      </c>
      <c r="N145" s="42">
        <f>IF(D145=0,"—",IF(M145&gt;=0.25,"◎ 優良",IF(M145&gt;=0.15,"○ 良好",IF(M145&gt;=0.05,"△ 要注意","× 赤字"))))</f>
        <v/>
      </c>
      <c r="O145" s="49" t="inlineStr">
        <is>
          <t>C003一般</t>
        </is>
      </c>
      <c r="P145" s="51">
        <f>IF(D144&lt;&gt;0,D145/D144-1,"")</f>
        <v/>
      </c>
      <c r="Q145" s="50">
        <f>IFERROR(D145/100,0)</f>
        <v/>
      </c>
    </row>
    <row r="146" ht="21" customHeight="1">
      <c r="A146" s="47" t="inlineStr">
        <is>
          <t>615-3</t>
        </is>
      </c>
      <c r="B146" s="48" t="inlineStr">
        <is>
          <t>現金2</t>
        </is>
      </c>
      <c r="C146" s="40" t="inlineStr">
        <is>
          <t>2025-01</t>
        </is>
      </c>
      <c r="D146" s="41">
        <f>IFERROR(VLOOKUP(C146,▼売上原票!$A:$P,12,0),0)</f>
        <v/>
      </c>
      <c r="E146" s="12" t="n">
        <v>15000</v>
      </c>
      <c r="F146" s="12" t="n">
        <v>4000</v>
      </c>
      <c r="G146" s="12" t="n">
        <v>2000</v>
      </c>
      <c r="H146" s="12" t="n"/>
      <c r="I146" s="12" t="n">
        <v>3000</v>
      </c>
      <c r="J146" s="12" t="n">
        <v>2000</v>
      </c>
      <c r="K146" s="13">
        <f>E146+F146+G146+H146+I146+J146</f>
        <v/>
      </c>
      <c r="L146" s="14">
        <f>D146-K146</f>
        <v/>
      </c>
      <c r="M146" s="15">
        <f>IF(D146&lt;&gt;0,L146/D146,0)</f>
        <v/>
      </c>
      <c r="N146" s="42">
        <f>IF(D146=0,"—",IF(M146&gt;=0.25,"◎ 優良",IF(M146&gt;=0.15,"○ 良好",IF(M146&gt;=0.05,"△ 要注意","× 赤字"))))</f>
        <v/>
      </c>
      <c r="O146" s="49" t="inlineStr">
        <is>
          <t>C003一般</t>
        </is>
      </c>
      <c r="P146" s="51">
        <f>IF(D145&lt;&gt;0,D146/D145-1,"")</f>
        <v/>
      </c>
      <c r="Q146" s="50">
        <f>IFERROR(D146/100,0)</f>
        <v/>
      </c>
    </row>
    <row r="147" ht="21" customHeight="1">
      <c r="A147" s="47" t="inlineStr">
        <is>
          <t>615-3</t>
        </is>
      </c>
      <c r="B147" s="48" t="inlineStr">
        <is>
          <t>現金2</t>
        </is>
      </c>
      <c r="C147" s="40" t="inlineStr">
        <is>
          <t>2025-02</t>
        </is>
      </c>
      <c r="D147" s="41">
        <f>IFERROR(VLOOKUP(C147,▼売上原票!$A:$P,12,0),0)</f>
        <v/>
      </c>
      <c r="E147" s="12" t="n">
        <v>15000</v>
      </c>
      <c r="F147" s="12" t="n">
        <v>4000</v>
      </c>
      <c r="G147" s="12" t="n">
        <v>2000</v>
      </c>
      <c r="H147" s="12" t="n"/>
      <c r="I147" s="12" t="n">
        <v>3000</v>
      </c>
      <c r="J147" s="12" t="n">
        <v>2000</v>
      </c>
      <c r="K147" s="13">
        <f>E147+F147+G147+H147+I147+J147</f>
        <v/>
      </c>
      <c r="L147" s="14">
        <f>D147-K147</f>
        <v/>
      </c>
      <c r="M147" s="15">
        <f>IF(D147&lt;&gt;0,L147/D147,0)</f>
        <v/>
      </c>
      <c r="N147" s="42">
        <f>IF(D147=0,"—",IF(M147&gt;=0.25,"◎ 優良",IF(M147&gt;=0.15,"○ 良好",IF(M147&gt;=0.05,"△ 要注意","× 赤字"))))</f>
        <v/>
      </c>
      <c r="O147" s="49" t="inlineStr">
        <is>
          <t>C003一般</t>
        </is>
      </c>
      <c r="P147" s="51">
        <f>IF(D146&lt;&gt;0,D147/D146-1,"")</f>
        <v/>
      </c>
      <c r="Q147" s="50">
        <f>IFERROR(D147/100,0)</f>
        <v/>
      </c>
    </row>
    <row r="148" ht="21" customHeight="1">
      <c r="A148" s="47" t="inlineStr">
        <is>
          <t>615-3</t>
        </is>
      </c>
      <c r="B148" s="48" t="inlineStr">
        <is>
          <t>現金2</t>
        </is>
      </c>
      <c r="C148" s="40" t="inlineStr">
        <is>
          <t>2025-03</t>
        </is>
      </c>
      <c r="D148" s="41">
        <f>IFERROR(VLOOKUP(C148,▼売上原票!$A:$P,12,0),0)</f>
        <v/>
      </c>
      <c r="E148" s="12" t="n">
        <v>15000</v>
      </c>
      <c r="F148" s="12" t="n">
        <v>4000</v>
      </c>
      <c r="G148" s="12" t="n">
        <v>2000</v>
      </c>
      <c r="H148" s="12" t="n"/>
      <c r="I148" s="12" t="n">
        <v>3000</v>
      </c>
      <c r="J148" s="12" t="n">
        <v>2000</v>
      </c>
      <c r="K148" s="13">
        <f>E148+F148+G148+H148+I148+J148</f>
        <v/>
      </c>
      <c r="L148" s="14">
        <f>D148-K148</f>
        <v/>
      </c>
      <c r="M148" s="15">
        <f>IF(D148&lt;&gt;0,L148/D148,0)</f>
        <v/>
      </c>
      <c r="N148" s="42">
        <f>IF(D148=0,"—",IF(M148&gt;=0.25,"◎ 優良",IF(M148&gt;=0.15,"○ 良好",IF(M148&gt;=0.05,"△ 要注意","× 赤字"))))</f>
        <v/>
      </c>
      <c r="O148" s="49" t="inlineStr">
        <is>
          <t>C003一般</t>
        </is>
      </c>
      <c r="P148" s="51">
        <f>IF(D147&lt;&gt;0,D148/D147-1,"")</f>
        <v/>
      </c>
      <c r="Q148" s="50">
        <f>IFERROR(D148/100,0)</f>
        <v/>
      </c>
    </row>
    <row r="149" ht="21" customHeight="1">
      <c r="A149" s="47" t="inlineStr">
        <is>
          <t>615-3</t>
        </is>
      </c>
      <c r="B149" s="48" t="inlineStr">
        <is>
          <t>現金2</t>
        </is>
      </c>
      <c r="C149" s="40" t="inlineStr">
        <is>
          <t>2025-04</t>
        </is>
      </c>
      <c r="D149" s="41">
        <f>IFERROR(VLOOKUP(C149,▼売上原票!$A:$P,12,0),0)</f>
        <v/>
      </c>
      <c r="E149" s="12" t="n">
        <v>15000</v>
      </c>
      <c r="F149" s="12" t="n">
        <v>4000</v>
      </c>
      <c r="G149" s="12" t="n">
        <v>2000</v>
      </c>
      <c r="H149" s="12" t="n"/>
      <c r="I149" s="12" t="n">
        <v>3000</v>
      </c>
      <c r="J149" s="12" t="n">
        <v>2000</v>
      </c>
      <c r="K149" s="13">
        <f>E149+F149+G149+H149+I149+J149</f>
        <v/>
      </c>
      <c r="L149" s="14">
        <f>D149-K149</f>
        <v/>
      </c>
      <c r="M149" s="15">
        <f>IF(D149&lt;&gt;0,L149/D149,0)</f>
        <v/>
      </c>
      <c r="N149" s="42">
        <f>IF(D149=0,"—",IF(M149&gt;=0.25,"◎ 優良",IF(M149&gt;=0.15,"○ 良好",IF(M149&gt;=0.05,"△ 要注意","× 赤字"))))</f>
        <v/>
      </c>
      <c r="O149" s="49" t="inlineStr">
        <is>
          <t>C003一般</t>
        </is>
      </c>
      <c r="P149" s="51">
        <f>IF(D148&lt;&gt;0,D149/D148-1,"")</f>
        <v/>
      </c>
      <c r="Q149" s="50">
        <f>IFERROR(D149/100,0)</f>
        <v/>
      </c>
    </row>
    <row r="150" ht="21" customHeight="1">
      <c r="A150" s="47" t="inlineStr">
        <is>
          <t>615-3</t>
        </is>
      </c>
      <c r="B150" s="48" t="inlineStr">
        <is>
          <t>現金2</t>
        </is>
      </c>
      <c r="C150" s="40" t="inlineStr">
        <is>
          <t>2025-05</t>
        </is>
      </c>
      <c r="D150" s="41">
        <f>IFERROR(VLOOKUP(C150,▼売上原票!$A:$P,12,0),0)</f>
        <v/>
      </c>
      <c r="E150" s="12" t="n">
        <v>15000</v>
      </c>
      <c r="F150" s="12" t="n">
        <v>4000</v>
      </c>
      <c r="G150" s="12" t="n">
        <v>2000</v>
      </c>
      <c r="H150" s="12" t="n"/>
      <c r="I150" s="12" t="n">
        <v>3000</v>
      </c>
      <c r="J150" s="12" t="n">
        <v>2000</v>
      </c>
      <c r="K150" s="13">
        <f>E150+F150+G150+H150+I150+J150</f>
        <v/>
      </c>
      <c r="L150" s="14">
        <f>D150-K150</f>
        <v/>
      </c>
      <c r="M150" s="15">
        <f>IF(D150&lt;&gt;0,L150/D150,0)</f>
        <v/>
      </c>
      <c r="N150" s="42">
        <f>IF(D150=0,"—",IF(M150&gt;=0.25,"◎ 優良",IF(M150&gt;=0.15,"○ 良好",IF(M150&gt;=0.05,"△ 要注意","× 赤字"))))</f>
        <v/>
      </c>
      <c r="O150" s="49" t="inlineStr">
        <is>
          <t>C003一般</t>
        </is>
      </c>
      <c r="P150" s="51">
        <f>IF(D149&lt;&gt;0,D150/D149-1,"")</f>
        <v/>
      </c>
      <c r="Q150" s="50">
        <f>IFERROR(D150/100,0)</f>
        <v/>
      </c>
    </row>
    <row r="151" ht="21" customHeight="1">
      <c r="A151" s="47" t="inlineStr">
        <is>
          <t>615-3</t>
        </is>
      </c>
      <c r="B151" s="48" t="inlineStr">
        <is>
          <t>現金2</t>
        </is>
      </c>
      <c r="C151" s="40" t="inlineStr">
        <is>
          <t>2025-06</t>
        </is>
      </c>
      <c r="D151" s="41">
        <f>IFERROR(VLOOKUP(C151,▼売上原票!$A:$P,12,0),0)</f>
        <v/>
      </c>
      <c r="E151" s="12" t="n">
        <v>15000</v>
      </c>
      <c r="F151" s="12" t="n">
        <v>4000</v>
      </c>
      <c r="G151" s="12" t="n">
        <v>2000</v>
      </c>
      <c r="H151" s="12" t="n"/>
      <c r="I151" s="12" t="n">
        <v>3000</v>
      </c>
      <c r="J151" s="12" t="n">
        <v>2000</v>
      </c>
      <c r="K151" s="13">
        <f>E151+F151+G151+H151+I151+J151</f>
        <v/>
      </c>
      <c r="L151" s="14">
        <f>D151-K151</f>
        <v/>
      </c>
      <c r="M151" s="15">
        <f>IF(D151&lt;&gt;0,L151/D151,0)</f>
        <v/>
      </c>
      <c r="N151" s="42">
        <f>IF(D151=0,"—",IF(M151&gt;=0.25,"◎ 優良",IF(M151&gt;=0.15,"○ 良好",IF(M151&gt;=0.05,"△ 要注意","× 赤字"))))</f>
        <v/>
      </c>
      <c r="O151" s="49" t="inlineStr">
        <is>
          <t>C003一般</t>
        </is>
      </c>
      <c r="P151" s="51">
        <f>IF(D150&lt;&gt;0,D151/D150-1,"")</f>
        <v/>
      </c>
      <c r="Q151" s="50">
        <f>IFERROR(D151/100,0)</f>
        <v/>
      </c>
    </row>
    <row r="152" ht="21" customHeight="1">
      <c r="A152" s="47" t="inlineStr">
        <is>
          <t>615-3</t>
        </is>
      </c>
      <c r="B152" s="48" t="inlineStr">
        <is>
          <t>現金2</t>
        </is>
      </c>
      <c r="C152" s="40" t="inlineStr">
        <is>
          <t>2025-07</t>
        </is>
      </c>
      <c r="D152" s="41">
        <f>IFERROR(VLOOKUP(C152,▼売上原票!$A:$P,12,0),0)</f>
        <v/>
      </c>
      <c r="E152" s="12" t="n">
        <v>15000</v>
      </c>
      <c r="F152" s="12" t="n">
        <v>4000</v>
      </c>
      <c r="G152" s="12" t="n">
        <v>2000</v>
      </c>
      <c r="H152" s="12" t="n"/>
      <c r="I152" s="12" t="n">
        <v>3000</v>
      </c>
      <c r="J152" s="12" t="n">
        <v>2000</v>
      </c>
      <c r="K152" s="13">
        <f>E152+F152+G152+H152+I152+J152</f>
        <v/>
      </c>
      <c r="L152" s="14">
        <f>D152-K152</f>
        <v/>
      </c>
      <c r="M152" s="15">
        <f>IF(D152&lt;&gt;0,L152/D152,0)</f>
        <v/>
      </c>
      <c r="N152" s="42">
        <f>IF(D152=0,"—",IF(M152&gt;=0.25,"◎ 優良",IF(M152&gt;=0.15,"○ 良好",IF(M152&gt;=0.05,"△ 要注意","× 赤字"))))</f>
        <v/>
      </c>
      <c r="O152" s="49" t="inlineStr">
        <is>
          <t>C003一般</t>
        </is>
      </c>
      <c r="P152" s="51">
        <f>IF(D151&lt;&gt;0,D152/D151-1,"")</f>
        <v/>
      </c>
      <c r="Q152" s="50">
        <f>IFERROR(D152/100,0)</f>
        <v/>
      </c>
    </row>
    <row r="153" ht="21" customHeight="1">
      <c r="A153" s="47" t="inlineStr">
        <is>
          <t>615-3</t>
        </is>
      </c>
      <c r="B153" s="48" t="inlineStr">
        <is>
          <t>現金2</t>
        </is>
      </c>
      <c r="C153" s="40" t="inlineStr">
        <is>
          <t>2025-08</t>
        </is>
      </c>
      <c r="D153" s="41">
        <f>IFERROR(VLOOKUP(C153,▼売上原票!$A:$P,12,0),0)</f>
        <v/>
      </c>
      <c r="E153" s="12" t="n">
        <v>15000</v>
      </c>
      <c r="F153" s="12" t="n">
        <v>4000</v>
      </c>
      <c r="G153" s="12" t="n">
        <v>2000</v>
      </c>
      <c r="H153" s="12" t="n"/>
      <c r="I153" s="12" t="n">
        <v>3000</v>
      </c>
      <c r="J153" s="12" t="n">
        <v>2000</v>
      </c>
      <c r="K153" s="13">
        <f>E153+F153+G153+H153+I153+J153</f>
        <v/>
      </c>
      <c r="L153" s="14">
        <f>D153-K153</f>
        <v/>
      </c>
      <c r="M153" s="15">
        <f>IF(D153&lt;&gt;0,L153/D153,0)</f>
        <v/>
      </c>
      <c r="N153" s="42">
        <f>IF(D153=0,"—",IF(M153&gt;=0.25,"◎ 優良",IF(M153&gt;=0.15,"○ 良好",IF(M153&gt;=0.05,"△ 要注意","× 赤字"))))</f>
        <v/>
      </c>
      <c r="O153" s="49" t="inlineStr">
        <is>
          <t>C003一般</t>
        </is>
      </c>
      <c r="P153" s="51">
        <f>IF(D152&lt;&gt;0,D153/D152-1,"")</f>
        <v/>
      </c>
      <c r="Q153" s="50">
        <f>IFERROR(D153/100,0)</f>
        <v/>
      </c>
    </row>
    <row r="154" ht="5" customHeight="1">
      <c r="A154" s="44" t="n"/>
      <c r="B154" s="44" t="n"/>
      <c r="C154" s="44" t="n"/>
      <c r="D154" s="44" t="n"/>
      <c r="E154" s="44" t="n"/>
      <c r="F154" s="44" t="n"/>
      <c r="G154" s="44" t="n"/>
      <c r="H154" s="44" t="n"/>
      <c r="I154" s="44" t="n"/>
      <c r="J154" s="44" t="n"/>
      <c r="K154" s="44" t="n"/>
      <c r="L154" s="44" t="n"/>
      <c r="M154" s="44" t="n"/>
      <c r="N154" s="44" t="n"/>
      <c r="O154" s="44" t="n"/>
      <c r="P154" s="44" t="n"/>
      <c r="Q154" s="44" t="n"/>
    </row>
    <row r="155" ht="21" customHeight="1">
      <c r="A155" s="16" t="inlineStr">
        <is>
          <t>615-4</t>
        </is>
      </c>
      <c r="B155" s="25" t="inlineStr">
        <is>
          <t>有価物</t>
        </is>
      </c>
      <c r="C155" s="40" t="inlineStr">
        <is>
          <t>2024-07</t>
        </is>
      </c>
      <c r="D155" s="41">
        <f>IFERROR(VLOOKUP(C155,▼売上原票!$A:$P,13,0),0)</f>
        <v/>
      </c>
      <c r="E155" s="12" t="n">
        <v>35000</v>
      </c>
      <c r="F155" s="12" t="n">
        <v>10000</v>
      </c>
      <c r="G155" s="12" t="n">
        <v>5000</v>
      </c>
      <c r="H155" s="12" t="n"/>
      <c r="I155" s="12" t="n">
        <v>8000</v>
      </c>
      <c r="J155" s="12" t="n">
        <v>5000</v>
      </c>
      <c r="K155" s="13">
        <f>E155+F155+G155+H155+I155+J155</f>
        <v/>
      </c>
      <c r="L155" s="14">
        <f>D155-K155</f>
        <v/>
      </c>
      <c r="M155" s="15">
        <f>IF(D155&lt;&gt;0,L155/D155,0)</f>
        <v/>
      </c>
      <c r="N155" s="42">
        <f>IF(D155=0,"—",IF(M155&gt;=0.25,"◎ 優良",IF(M155&gt;=0.15,"○ 良好",IF(M155&gt;=0.05,"△ 要注意","× 赤字"))))</f>
        <v/>
      </c>
      <c r="O155" s="27" t="inlineStr">
        <is>
          <t>C003一般</t>
        </is>
      </c>
      <c r="P155" s="27" t="inlineStr">
        <is>
          <t>—</t>
        </is>
      </c>
      <c r="Q155" s="46">
        <f>IFERROR(D155/100,0)</f>
        <v/>
      </c>
    </row>
    <row r="156" ht="21" customHeight="1">
      <c r="A156" s="16" t="inlineStr">
        <is>
          <t>615-4</t>
        </is>
      </c>
      <c r="B156" s="25" t="inlineStr">
        <is>
          <t>有価物</t>
        </is>
      </c>
      <c r="C156" s="40" t="inlineStr">
        <is>
          <t>2024-08</t>
        </is>
      </c>
      <c r="D156" s="41">
        <f>IFERROR(VLOOKUP(C156,▼売上原票!$A:$P,13,0),0)</f>
        <v/>
      </c>
      <c r="E156" s="12" t="n">
        <v>35000</v>
      </c>
      <c r="F156" s="12" t="n">
        <v>10000</v>
      </c>
      <c r="G156" s="12" t="n">
        <v>5000</v>
      </c>
      <c r="H156" s="12" t="n"/>
      <c r="I156" s="12" t="n">
        <v>8000</v>
      </c>
      <c r="J156" s="12" t="n">
        <v>5000</v>
      </c>
      <c r="K156" s="13">
        <f>E156+F156+G156+H156+I156+J156</f>
        <v/>
      </c>
      <c r="L156" s="14">
        <f>D156-K156</f>
        <v/>
      </c>
      <c r="M156" s="15">
        <f>IF(D156&lt;&gt;0,L156/D156,0)</f>
        <v/>
      </c>
      <c r="N156" s="42">
        <f>IF(D156=0,"—",IF(M156&gt;=0.25,"◎ 優良",IF(M156&gt;=0.15,"○ 良好",IF(M156&gt;=0.05,"△ 要注意","× 赤字"))))</f>
        <v/>
      </c>
      <c r="O156" s="27" t="inlineStr">
        <is>
          <t>C003一般</t>
        </is>
      </c>
      <c r="P156" s="28">
        <f>IF(D155&lt;&gt;0,D156/D155-1,"")</f>
        <v/>
      </c>
      <c r="Q156" s="46">
        <f>IFERROR(D156/100,0)</f>
        <v/>
      </c>
    </row>
    <row r="157" ht="21" customHeight="1">
      <c r="A157" s="16" t="inlineStr">
        <is>
          <t>615-4</t>
        </is>
      </c>
      <c r="B157" s="25" t="inlineStr">
        <is>
          <t>有価物</t>
        </is>
      </c>
      <c r="C157" s="40" t="inlineStr">
        <is>
          <t>2024-09</t>
        </is>
      </c>
      <c r="D157" s="41">
        <f>IFERROR(VLOOKUP(C157,▼売上原票!$A:$P,13,0),0)</f>
        <v/>
      </c>
      <c r="E157" s="12" t="n">
        <v>35000</v>
      </c>
      <c r="F157" s="12" t="n">
        <v>10000</v>
      </c>
      <c r="G157" s="12" t="n">
        <v>5000</v>
      </c>
      <c r="H157" s="12" t="n"/>
      <c r="I157" s="12" t="n">
        <v>8000</v>
      </c>
      <c r="J157" s="12" t="n">
        <v>5000</v>
      </c>
      <c r="K157" s="13">
        <f>E157+F157+G157+H157+I157+J157</f>
        <v/>
      </c>
      <c r="L157" s="14">
        <f>D157-K157</f>
        <v/>
      </c>
      <c r="M157" s="15">
        <f>IF(D157&lt;&gt;0,L157/D157,0)</f>
        <v/>
      </c>
      <c r="N157" s="42">
        <f>IF(D157=0,"—",IF(M157&gt;=0.25,"◎ 優良",IF(M157&gt;=0.15,"○ 良好",IF(M157&gt;=0.05,"△ 要注意","× 赤字"))))</f>
        <v/>
      </c>
      <c r="O157" s="27" t="inlineStr">
        <is>
          <t>C003一般</t>
        </is>
      </c>
      <c r="P157" s="28">
        <f>IF(D156&lt;&gt;0,D157/D156-1,"")</f>
        <v/>
      </c>
      <c r="Q157" s="46">
        <f>IFERROR(D157/100,0)</f>
        <v/>
      </c>
    </row>
    <row r="158" ht="21" customHeight="1">
      <c r="A158" s="16" t="inlineStr">
        <is>
          <t>615-4</t>
        </is>
      </c>
      <c r="B158" s="25" t="inlineStr">
        <is>
          <t>有価物</t>
        </is>
      </c>
      <c r="C158" s="40" t="inlineStr">
        <is>
          <t>2024-10</t>
        </is>
      </c>
      <c r="D158" s="41">
        <f>IFERROR(VLOOKUP(C158,▼売上原票!$A:$P,13,0),0)</f>
        <v/>
      </c>
      <c r="E158" s="12" t="n">
        <v>35000</v>
      </c>
      <c r="F158" s="12" t="n">
        <v>10000</v>
      </c>
      <c r="G158" s="12" t="n">
        <v>5000</v>
      </c>
      <c r="H158" s="12" t="n"/>
      <c r="I158" s="12" t="n">
        <v>8000</v>
      </c>
      <c r="J158" s="12" t="n">
        <v>5000</v>
      </c>
      <c r="K158" s="13">
        <f>E158+F158+G158+H158+I158+J158</f>
        <v/>
      </c>
      <c r="L158" s="14">
        <f>D158-K158</f>
        <v/>
      </c>
      <c r="M158" s="15">
        <f>IF(D158&lt;&gt;0,L158/D158,0)</f>
        <v/>
      </c>
      <c r="N158" s="42">
        <f>IF(D158=0,"—",IF(M158&gt;=0.25,"◎ 優良",IF(M158&gt;=0.15,"○ 良好",IF(M158&gt;=0.05,"△ 要注意","× 赤字"))))</f>
        <v/>
      </c>
      <c r="O158" s="27" t="inlineStr">
        <is>
          <t>C003一般</t>
        </is>
      </c>
      <c r="P158" s="28">
        <f>IF(D157&lt;&gt;0,D158/D157-1,"")</f>
        <v/>
      </c>
      <c r="Q158" s="46">
        <f>IFERROR(D158/100,0)</f>
        <v/>
      </c>
    </row>
    <row r="159" ht="21" customHeight="1">
      <c r="A159" s="16" t="inlineStr">
        <is>
          <t>615-4</t>
        </is>
      </c>
      <c r="B159" s="25" t="inlineStr">
        <is>
          <t>有価物</t>
        </is>
      </c>
      <c r="C159" s="40" t="inlineStr">
        <is>
          <t>2024-11</t>
        </is>
      </c>
      <c r="D159" s="41">
        <f>IFERROR(VLOOKUP(C159,▼売上原票!$A:$P,13,0),0)</f>
        <v/>
      </c>
      <c r="E159" s="12" t="n">
        <v>35000</v>
      </c>
      <c r="F159" s="12" t="n">
        <v>10000</v>
      </c>
      <c r="G159" s="12" t="n">
        <v>5000</v>
      </c>
      <c r="H159" s="12" t="n"/>
      <c r="I159" s="12" t="n">
        <v>8000</v>
      </c>
      <c r="J159" s="12" t="n">
        <v>5000</v>
      </c>
      <c r="K159" s="13">
        <f>E159+F159+G159+H159+I159+J159</f>
        <v/>
      </c>
      <c r="L159" s="14">
        <f>D159-K159</f>
        <v/>
      </c>
      <c r="M159" s="15">
        <f>IF(D159&lt;&gt;0,L159/D159,0)</f>
        <v/>
      </c>
      <c r="N159" s="42">
        <f>IF(D159=0,"—",IF(M159&gt;=0.25,"◎ 優良",IF(M159&gt;=0.15,"○ 良好",IF(M159&gt;=0.05,"△ 要注意","× 赤字"))))</f>
        <v/>
      </c>
      <c r="O159" s="27" t="inlineStr">
        <is>
          <t>C003一般</t>
        </is>
      </c>
      <c r="P159" s="28">
        <f>IF(D158&lt;&gt;0,D159/D158-1,"")</f>
        <v/>
      </c>
      <c r="Q159" s="46">
        <f>IFERROR(D159/100,0)</f>
        <v/>
      </c>
    </row>
    <row r="160" ht="21" customHeight="1">
      <c r="A160" s="16" t="inlineStr">
        <is>
          <t>615-4</t>
        </is>
      </c>
      <c r="B160" s="25" t="inlineStr">
        <is>
          <t>有価物</t>
        </is>
      </c>
      <c r="C160" s="40" t="inlineStr">
        <is>
          <t>2024-12</t>
        </is>
      </c>
      <c r="D160" s="41">
        <f>IFERROR(VLOOKUP(C160,▼売上原票!$A:$P,13,0),0)</f>
        <v/>
      </c>
      <c r="E160" s="12" t="n">
        <v>35000</v>
      </c>
      <c r="F160" s="12" t="n">
        <v>10000</v>
      </c>
      <c r="G160" s="12" t="n">
        <v>5000</v>
      </c>
      <c r="H160" s="12" t="n"/>
      <c r="I160" s="12" t="n">
        <v>8000</v>
      </c>
      <c r="J160" s="12" t="n">
        <v>5000</v>
      </c>
      <c r="K160" s="13">
        <f>E160+F160+G160+H160+I160+J160</f>
        <v/>
      </c>
      <c r="L160" s="14">
        <f>D160-K160</f>
        <v/>
      </c>
      <c r="M160" s="15">
        <f>IF(D160&lt;&gt;0,L160/D160,0)</f>
        <v/>
      </c>
      <c r="N160" s="42">
        <f>IF(D160=0,"—",IF(M160&gt;=0.25,"◎ 優良",IF(M160&gt;=0.15,"○ 良好",IF(M160&gt;=0.05,"△ 要注意","× 赤字"))))</f>
        <v/>
      </c>
      <c r="O160" s="27" t="inlineStr">
        <is>
          <t>C003一般</t>
        </is>
      </c>
      <c r="P160" s="28">
        <f>IF(D159&lt;&gt;0,D160/D159-1,"")</f>
        <v/>
      </c>
      <c r="Q160" s="46">
        <f>IFERROR(D160/100,0)</f>
        <v/>
      </c>
    </row>
    <row r="161" ht="21" customHeight="1">
      <c r="A161" s="16" t="inlineStr">
        <is>
          <t>615-4</t>
        </is>
      </c>
      <c r="B161" s="25" t="inlineStr">
        <is>
          <t>有価物</t>
        </is>
      </c>
      <c r="C161" s="40" t="inlineStr">
        <is>
          <t>2025-01</t>
        </is>
      </c>
      <c r="D161" s="41">
        <f>IFERROR(VLOOKUP(C161,▼売上原票!$A:$P,13,0),0)</f>
        <v/>
      </c>
      <c r="E161" s="12" t="n">
        <v>35000</v>
      </c>
      <c r="F161" s="12" t="n">
        <v>10000</v>
      </c>
      <c r="G161" s="12" t="n">
        <v>5000</v>
      </c>
      <c r="H161" s="12" t="n"/>
      <c r="I161" s="12" t="n">
        <v>8000</v>
      </c>
      <c r="J161" s="12" t="n">
        <v>5000</v>
      </c>
      <c r="K161" s="13">
        <f>E161+F161+G161+H161+I161+J161</f>
        <v/>
      </c>
      <c r="L161" s="14">
        <f>D161-K161</f>
        <v/>
      </c>
      <c r="M161" s="15">
        <f>IF(D161&lt;&gt;0,L161/D161,0)</f>
        <v/>
      </c>
      <c r="N161" s="42">
        <f>IF(D161=0,"—",IF(M161&gt;=0.25,"◎ 優良",IF(M161&gt;=0.15,"○ 良好",IF(M161&gt;=0.05,"△ 要注意","× 赤字"))))</f>
        <v/>
      </c>
      <c r="O161" s="27" t="inlineStr">
        <is>
          <t>C003一般</t>
        </is>
      </c>
      <c r="P161" s="28">
        <f>IF(D160&lt;&gt;0,D161/D160-1,"")</f>
        <v/>
      </c>
      <c r="Q161" s="46">
        <f>IFERROR(D161/100,0)</f>
        <v/>
      </c>
    </row>
    <row r="162" ht="21" customHeight="1">
      <c r="A162" s="16" t="inlineStr">
        <is>
          <t>615-4</t>
        </is>
      </c>
      <c r="B162" s="25" t="inlineStr">
        <is>
          <t>有価物</t>
        </is>
      </c>
      <c r="C162" s="40" t="inlineStr">
        <is>
          <t>2025-02</t>
        </is>
      </c>
      <c r="D162" s="41">
        <f>IFERROR(VLOOKUP(C162,▼売上原票!$A:$P,13,0),0)</f>
        <v/>
      </c>
      <c r="E162" s="12" t="n">
        <v>35000</v>
      </c>
      <c r="F162" s="12" t="n">
        <v>10000</v>
      </c>
      <c r="G162" s="12" t="n">
        <v>5000</v>
      </c>
      <c r="H162" s="12" t="n"/>
      <c r="I162" s="12" t="n">
        <v>8000</v>
      </c>
      <c r="J162" s="12" t="n">
        <v>5000</v>
      </c>
      <c r="K162" s="13">
        <f>E162+F162+G162+H162+I162+J162</f>
        <v/>
      </c>
      <c r="L162" s="14">
        <f>D162-K162</f>
        <v/>
      </c>
      <c r="M162" s="15">
        <f>IF(D162&lt;&gt;0,L162/D162,0)</f>
        <v/>
      </c>
      <c r="N162" s="42">
        <f>IF(D162=0,"—",IF(M162&gt;=0.25,"◎ 優良",IF(M162&gt;=0.15,"○ 良好",IF(M162&gt;=0.05,"△ 要注意","× 赤字"))))</f>
        <v/>
      </c>
      <c r="O162" s="27" t="inlineStr">
        <is>
          <t>C003一般</t>
        </is>
      </c>
      <c r="P162" s="28">
        <f>IF(D161&lt;&gt;0,D162/D161-1,"")</f>
        <v/>
      </c>
      <c r="Q162" s="46">
        <f>IFERROR(D162/100,0)</f>
        <v/>
      </c>
    </row>
    <row r="163" ht="21" customHeight="1">
      <c r="A163" s="16" t="inlineStr">
        <is>
          <t>615-4</t>
        </is>
      </c>
      <c r="B163" s="25" t="inlineStr">
        <is>
          <t>有価物</t>
        </is>
      </c>
      <c r="C163" s="40" t="inlineStr">
        <is>
          <t>2025-03</t>
        </is>
      </c>
      <c r="D163" s="41">
        <f>IFERROR(VLOOKUP(C163,▼売上原票!$A:$P,13,0),0)</f>
        <v/>
      </c>
      <c r="E163" s="12" t="n">
        <v>35000</v>
      </c>
      <c r="F163" s="12" t="n">
        <v>10000</v>
      </c>
      <c r="G163" s="12" t="n">
        <v>5000</v>
      </c>
      <c r="H163" s="12" t="n"/>
      <c r="I163" s="12" t="n">
        <v>8000</v>
      </c>
      <c r="J163" s="12" t="n">
        <v>5000</v>
      </c>
      <c r="K163" s="13">
        <f>E163+F163+G163+H163+I163+J163</f>
        <v/>
      </c>
      <c r="L163" s="14">
        <f>D163-K163</f>
        <v/>
      </c>
      <c r="M163" s="15">
        <f>IF(D163&lt;&gt;0,L163/D163,0)</f>
        <v/>
      </c>
      <c r="N163" s="42">
        <f>IF(D163=0,"—",IF(M163&gt;=0.25,"◎ 優良",IF(M163&gt;=0.15,"○ 良好",IF(M163&gt;=0.05,"△ 要注意","× 赤字"))))</f>
        <v/>
      </c>
      <c r="O163" s="27" t="inlineStr">
        <is>
          <t>C003一般</t>
        </is>
      </c>
      <c r="P163" s="28">
        <f>IF(D162&lt;&gt;0,D163/D162-1,"")</f>
        <v/>
      </c>
      <c r="Q163" s="46">
        <f>IFERROR(D163/100,0)</f>
        <v/>
      </c>
    </row>
    <row r="164" ht="21" customHeight="1">
      <c r="A164" s="16" t="inlineStr">
        <is>
          <t>615-4</t>
        </is>
      </c>
      <c r="B164" s="25" t="inlineStr">
        <is>
          <t>有価物</t>
        </is>
      </c>
      <c r="C164" s="40" t="inlineStr">
        <is>
          <t>2025-04</t>
        </is>
      </c>
      <c r="D164" s="41">
        <f>IFERROR(VLOOKUP(C164,▼売上原票!$A:$P,13,0),0)</f>
        <v/>
      </c>
      <c r="E164" s="12" t="n">
        <v>35000</v>
      </c>
      <c r="F164" s="12" t="n">
        <v>10000</v>
      </c>
      <c r="G164" s="12" t="n">
        <v>5000</v>
      </c>
      <c r="H164" s="12" t="n"/>
      <c r="I164" s="12" t="n">
        <v>8000</v>
      </c>
      <c r="J164" s="12" t="n">
        <v>5000</v>
      </c>
      <c r="K164" s="13">
        <f>E164+F164+G164+H164+I164+J164</f>
        <v/>
      </c>
      <c r="L164" s="14">
        <f>D164-K164</f>
        <v/>
      </c>
      <c r="M164" s="15">
        <f>IF(D164&lt;&gt;0,L164/D164,0)</f>
        <v/>
      </c>
      <c r="N164" s="42">
        <f>IF(D164=0,"—",IF(M164&gt;=0.25,"◎ 優良",IF(M164&gt;=0.15,"○ 良好",IF(M164&gt;=0.05,"△ 要注意","× 赤字"))))</f>
        <v/>
      </c>
      <c r="O164" s="27" t="inlineStr">
        <is>
          <t>C003一般</t>
        </is>
      </c>
      <c r="P164" s="28">
        <f>IF(D163&lt;&gt;0,D164/D163-1,"")</f>
        <v/>
      </c>
      <c r="Q164" s="46">
        <f>IFERROR(D164/100,0)</f>
        <v/>
      </c>
    </row>
    <row r="165" ht="21" customHeight="1">
      <c r="A165" s="16" t="inlineStr">
        <is>
          <t>615-4</t>
        </is>
      </c>
      <c r="B165" s="25" t="inlineStr">
        <is>
          <t>有価物</t>
        </is>
      </c>
      <c r="C165" s="40" t="inlineStr">
        <is>
          <t>2025-05</t>
        </is>
      </c>
      <c r="D165" s="41">
        <f>IFERROR(VLOOKUP(C165,▼売上原票!$A:$P,13,0),0)</f>
        <v/>
      </c>
      <c r="E165" s="12" t="n">
        <v>35000</v>
      </c>
      <c r="F165" s="12" t="n">
        <v>10000</v>
      </c>
      <c r="G165" s="12" t="n">
        <v>5000</v>
      </c>
      <c r="H165" s="12" t="n"/>
      <c r="I165" s="12" t="n">
        <v>8000</v>
      </c>
      <c r="J165" s="12" t="n">
        <v>5000</v>
      </c>
      <c r="K165" s="13">
        <f>E165+F165+G165+H165+I165+J165</f>
        <v/>
      </c>
      <c r="L165" s="14">
        <f>D165-K165</f>
        <v/>
      </c>
      <c r="M165" s="15">
        <f>IF(D165&lt;&gt;0,L165/D165,0)</f>
        <v/>
      </c>
      <c r="N165" s="42">
        <f>IF(D165=0,"—",IF(M165&gt;=0.25,"◎ 優良",IF(M165&gt;=0.15,"○ 良好",IF(M165&gt;=0.05,"△ 要注意","× 赤字"))))</f>
        <v/>
      </c>
      <c r="O165" s="27" t="inlineStr">
        <is>
          <t>C003一般</t>
        </is>
      </c>
      <c r="P165" s="28">
        <f>IF(D164&lt;&gt;0,D165/D164-1,"")</f>
        <v/>
      </c>
      <c r="Q165" s="46">
        <f>IFERROR(D165/100,0)</f>
        <v/>
      </c>
    </row>
    <row r="166" ht="21" customHeight="1">
      <c r="A166" s="16" t="inlineStr">
        <is>
          <t>615-4</t>
        </is>
      </c>
      <c r="B166" s="25" t="inlineStr">
        <is>
          <t>有価物</t>
        </is>
      </c>
      <c r="C166" s="40" t="inlineStr">
        <is>
          <t>2025-06</t>
        </is>
      </c>
      <c r="D166" s="41">
        <f>IFERROR(VLOOKUP(C166,▼売上原票!$A:$P,13,0),0)</f>
        <v/>
      </c>
      <c r="E166" s="12" t="n">
        <v>35000</v>
      </c>
      <c r="F166" s="12" t="n">
        <v>10000</v>
      </c>
      <c r="G166" s="12" t="n">
        <v>5000</v>
      </c>
      <c r="H166" s="12" t="n"/>
      <c r="I166" s="12" t="n">
        <v>8000</v>
      </c>
      <c r="J166" s="12" t="n">
        <v>5000</v>
      </c>
      <c r="K166" s="13">
        <f>E166+F166+G166+H166+I166+J166</f>
        <v/>
      </c>
      <c r="L166" s="14">
        <f>D166-K166</f>
        <v/>
      </c>
      <c r="M166" s="15">
        <f>IF(D166&lt;&gt;0,L166/D166,0)</f>
        <v/>
      </c>
      <c r="N166" s="42">
        <f>IF(D166=0,"—",IF(M166&gt;=0.25,"◎ 優良",IF(M166&gt;=0.15,"○ 良好",IF(M166&gt;=0.05,"△ 要注意","× 赤字"))))</f>
        <v/>
      </c>
      <c r="O166" s="27" t="inlineStr">
        <is>
          <t>C003一般</t>
        </is>
      </c>
      <c r="P166" s="28">
        <f>IF(D165&lt;&gt;0,D166/D165-1,"")</f>
        <v/>
      </c>
      <c r="Q166" s="46">
        <f>IFERROR(D166/100,0)</f>
        <v/>
      </c>
    </row>
    <row r="167" ht="21" customHeight="1">
      <c r="A167" s="16" t="inlineStr">
        <is>
          <t>615-4</t>
        </is>
      </c>
      <c r="B167" s="25" t="inlineStr">
        <is>
          <t>有価物</t>
        </is>
      </c>
      <c r="C167" s="40" t="inlineStr">
        <is>
          <t>2025-07</t>
        </is>
      </c>
      <c r="D167" s="41">
        <f>IFERROR(VLOOKUP(C167,▼売上原票!$A:$P,13,0),0)</f>
        <v/>
      </c>
      <c r="E167" s="12" t="n">
        <v>35000</v>
      </c>
      <c r="F167" s="12" t="n">
        <v>10000</v>
      </c>
      <c r="G167" s="12" t="n">
        <v>5000</v>
      </c>
      <c r="H167" s="12" t="n"/>
      <c r="I167" s="12" t="n">
        <v>8000</v>
      </c>
      <c r="J167" s="12" t="n">
        <v>5000</v>
      </c>
      <c r="K167" s="13">
        <f>E167+F167+G167+H167+I167+J167</f>
        <v/>
      </c>
      <c r="L167" s="14">
        <f>D167-K167</f>
        <v/>
      </c>
      <c r="M167" s="15">
        <f>IF(D167&lt;&gt;0,L167/D167,0)</f>
        <v/>
      </c>
      <c r="N167" s="42">
        <f>IF(D167=0,"—",IF(M167&gt;=0.25,"◎ 優良",IF(M167&gt;=0.15,"○ 良好",IF(M167&gt;=0.05,"△ 要注意","× 赤字"))))</f>
        <v/>
      </c>
      <c r="O167" s="27" t="inlineStr">
        <is>
          <t>C003一般</t>
        </is>
      </c>
      <c r="P167" s="28">
        <f>IF(D166&lt;&gt;0,D167/D166-1,"")</f>
        <v/>
      </c>
      <c r="Q167" s="46">
        <f>IFERROR(D167/100,0)</f>
        <v/>
      </c>
    </row>
    <row r="168" ht="21" customHeight="1">
      <c r="A168" s="16" t="inlineStr">
        <is>
          <t>615-4</t>
        </is>
      </c>
      <c r="B168" s="25" t="inlineStr">
        <is>
          <t>有価物</t>
        </is>
      </c>
      <c r="C168" s="40" t="inlineStr">
        <is>
          <t>2025-08</t>
        </is>
      </c>
      <c r="D168" s="41">
        <f>IFERROR(VLOOKUP(C168,▼売上原票!$A:$P,13,0),0)</f>
        <v/>
      </c>
      <c r="E168" s="12" t="n">
        <v>35000</v>
      </c>
      <c r="F168" s="12" t="n">
        <v>10000</v>
      </c>
      <c r="G168" s="12" t="n">
        <v>5000</v>
      </c>
      <c r="H168" s="12" t="n"/>
      <c r="I168" s="12" t="n">
        <v>8000</v>
      </c>
      <c r="J168" s="12" t="n">
        <v>5000</v>
      </c>
      <c r="K168" s="13">
        <f>E168+F168+G168+H168+I168+J168</f>
        <v/>
      </c>
      <c r="L168" s="14">
        <f>D168-K168</f>
        <v/>
      </c>
      <c r="M168" s="15">
        <f>IF(D168&lt;&gt;0,L168/D168,0)</f>
        <v/>
      </c>
      <c r="N168" s="42">
        <f>IF(D168=0,"—",IF(M168&gt;=0.25,"◎ 優良",IF(M168&gt;=0.15,"○ 良好",IF(M168&gt;=0.05,"△ 要注意","× 赤字"))))</f>
        <v/>
      </c>
      <c r="O168" s="27" t="inlineStr">
        <is>
          <t>C003一般</t>
        </is>
      </c>
      <c r="P168" s="28">
        <f>IF(D167&lt;&gt;0,D168/D167-1,"")</f>
        <v/>
      </c>
      <c r="Q168" s="46">
        <f>IFERROR(D168/100,0)</f>
        <v/>
      </c>
    </row>
    <row r="169" ht="5" customHeight="1">
      <c r="A169" s="44" t="n"/>
      <c r="B169" s="44" t="n"/>
      <c r="C169" s="44" t="n"/>
      <c r="D169" s="44" t="n"/>
      <c r="E169" s="44" t="n"/>
      <c r="F169" s="44" t="n"/>
      <c r="G169" s="44" t="n"/>
      <c r="H169" s="44" t="n"/>
      <c r="I169" s="44" t="n"/>
      <c r="J169" s="44" t="n"/>
      <c r="K169" s="44" t="n"/>
      <c r="L169" s="44" t="n"/>
      <c r="M169" s="44" t="n"/>
      <c r="N169" s="44" t="n"/>
      <c r="O169" s="44" t="n"/>
      <c r="P169" s="44" t="n"/>
      <c r="Q169" s="44" t="n"/>
    </row>
  </sheetData>
  <mergeCells count="20">
    <mergeCell ref="G4"/>
    <mergeCell ref="I4"/>
    <mergeCell ref="B3:B4"/>
    <mergeCell ref="L3:L4"/>
    <mergeCell ref="N3:N4"/>
    <mergeCell ref="K4"/>
    <mergeCell ref="F4"/>
    <mergeCell ref="A3:A4"/>
    <mergeCell ref="E3:K3"/>
    <mergeCell ref="M3:M4"/>
    <mergeCell ref="D3:D4"/>
    <mergeCell ref="H4"/>
    <mergeCell ref="E4"/>
    <mergeCell ref="P3:P4"/>
    <mergeCell ref="A1:S1"/>
    <mergeCell ref="J4"/>
    <mergeCell ref="C3:C4"/>
    <mergeCell ref="O3:O4"/>
    <mergeCell ref="Q3:Q4"/>
    <mergeCell ref="A2:S2"/>
  </mergeCells>
  <conditionalFormatting sqref="N5:N169">
    <cfRule type="expression" priority="1" dxfId="0">
      <formula>N5="◎ 優良"</formula>
    </cfRule>
    <cfRule type="expression" priority="2" dxfId="1">
      <formula>N5="○ 良好"</formula>
    </cfRule>
    <cfRule type="expression" priority="3" dxfId="2">
      <formula>N5="△ 要注意"</formula>
    </cfRule>
    <cfRule type="expression" priority="4" dxfId="3">
      <formula>N5="× 赤字"</formula>
    </cfRule>
  </conditionalFormatting>
  <conditionalFormatting sqref="M5:M169">
    <cfRule type="colorScale" priority="5">
      <colorScale>
        <cfvo type="num" val="0"/>
        <cfvo type="num" val="0.15"/>
        <cfvo type="num" val="0.3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35577"/>
    <outlinePr summaryBelow="1" summaryRight="1"/>
    <pageSetUpPr/>
  </sheetPr>
  <dimension ref="A1:P29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  <col width="11" customWidth="1" min="15" max="15"/>
    <col width="15" customWidth="1" min="16" max="16"/>
  </cols>
  <sheetData>
    <row r="1" ht="30" customHeight="1">
      <c r="A1" s="52" t="inlineStr">
        <is>
          <t>▼売上原票　月次売上実績（科目別・税抜）　※このシートは直接編集しないでください</t>
        </is>
      </c>
    </row>
    <row r="2" ht="16" customHeight="1">
      <c r="A2" s="2" t="inlineStr">
        <is>
          <t>【毎月の更新方法】 新しい月のデータを最終行の下に1行追加してください。A列=YYYY-MM、C〜M列=各科目売上（税抜円）</t>
        </is>
      </c>
    </row>
    <row r="3" ht="36" customHeight="1">
      <c r="A3" s="53" t="inlineStr">
        <is>
          <t>年月
★VLOOKUPキー</t>
        </is>
      </c>
      <c r="B3" s="53" t="inlineStr">
        <is>
          <t>R表記</t>
        </is>
      </c>
      <c r="C3" s="53" t="inlineStr">
        <is>
          <t>612-1
運送（本社）</t>
        </is>
      </c>
      <c r="D3" s="53" t="inlineStr">
        <is>
          <t>612-2
入札（公共）</t>
        </is>
      </c>
      <c r="E3" s="53" t="inlineStr">
        <is>
          <t>613-1
車輌</t>
        </is>
      </c>
      <c r="F3" s="53" t="inlineStr">
        <is>
          <t>613-2
KC</t>
        </is>
      </c>
      <c r="G3" s="53" t="inlineStr">
        <is>
          <t>614-1
コンテナ</t>
        </is>
      </c>
      <c r="H3" s="53" t="inlineStr">
        <is>
          <t>614-2
ENDO</t>
        </is>
      </c>
      <c r="I3" s="53" t="inlineStr">
        <is>
          <t>614-3
現金</t>
        </is>
      </c>
      <c r="J3" s="53" t="inlineStr">
        <is>
          <t>615-1
板橋</t>
        </is>
      </c>
      <c r="K3" s="53" t="inlineStr">
        <is>
          <t>615-2
新横浜</t>
        </is>
      </c>
      <c r="L3" s="53" t="inlineStr">
        <is>
          <t>615-3
現金2</t>
        </is>
      </c>
      <c r="M3" s="53" t="inlineStr">
        <is>
          <t>615-4
有価物</t>
        </is>
      </c>
      <c r="N3" s="53" t="inlineStr">
        <is>
          <t>合計
(税抜)</t>
        </is>
      </c>
      <c r="O3" s="53" t="inlineStr">
        <is>
          <t>消費税
(△)</t>
        </is>
      </c>
      <c r="P3" s="53" t="inlineStr">
        <is>
          <t>合計
(税込)</t>
        </is>
      </c>
    </row>
    <row r="4" ht="19" customHeight="1">
      <c r="A4" s="54" t="inlineStr">
        <is>
          <t>2024-07</t>
        </is>
      </c>
      <c r="B4" s="55" t="inlineStr">
        <is>
          <t>R6.7</t>
        </is>
      </c>
      <c r="C4" s="56" t="n">
        <v>13754437</v>
      </c>
      <c r="D4" s="56" t="n">
        <v>42726740</v>
      </c>
      <c r="E4" s="56" t="n">
        <v>777000</v>
      </c>
      <c r="F4" s="56" t="n">
        <v>40000</v>
      </c>
      <c r="G4" s="56" t="n">
        <v>504500</v>
      </c>
      <c r="H4" s="56" t="n">
        <v>527664</v>
      </c>
      <c r="I4" s="56" t="n">
        <v>261000</v>
      </c>
      <c r="J4" s="56" t="n">
        <v>25593317</v>
      </c>
      <c r="K4" s="56" t="n">
        <v>4417112</v>
      </c>
      <c r="L4" s="56" t="n">
        <v>36000</v>
      </c>
      <c r="M4" s="56" t="n">
        <v>138460</v>
      </c>
      <c r="N4" s="31" t="n">
        <v>88776230</v>
      </c>
      <c r="O4" s="56" t="n">
        <v>-80705664</v>
      </c>
      <c r="P4" s="57">
        <f>IF(N4&lt;&gt;"",N4+O4,"")</f>
        <v/>
      </c>
    </row>
    <row r="5" ht="19" customHeight="1">
      <c r="A5" s="58" t="inlineStr">
        <is>
          <t>2024-08</t>
        </is>
      </c>
      <c r="B5" s="59" t="inlineStr">
        <is>
          <t>R6.8</t>
        </is>
      </c>
      <c r="C5" s="60" t="n">
        <v>13060970</v>
      </c>
      <c r="D5" s="60" t="n">
        <v>36972090</v>
      </c>
      <c r="E5" s="60" t="n">
        <v>789000</v>
      </c>
      <c r="F5" s="60" t="n">
        <v>1000228</v>
      </c>
      <c r="G5" s="60" t="n">
        <v>507200</v>
      </c>
      <c r="H5" s="60" t="n">
        <v>518000</v>
      </c>
      <c r="I5" s="60" t="n"/>
      <c r="J5" s="60" t="n">
        <v>20527297</v>
      </c>
      <c r="K5" s="60" t="n">
        <v>4953790</v>
      </c>
      <c r="L5" s="60" t="n">
        <v>57000</v>
      </c>
      <c r="M5" s="60" t="n">
        <v>172726</v>
      </c>
      <c r="N5" s="38" t="n">
        <v>78558301</v>
      </c>
      <c r="O5" s="60" t="n">
        <v>-71416637</v>
      </c>
      <c r="P5" s="61">
        <f>IF(N5&lt;&gt;"",N5+O5,"")</f>
        <v/>
      </c>
    </row>
    <row r="6" ht="19" customHeight="1">
      <c r="A6" s="54" t="inlineStr">
        <is>
          <t>2024-09</t>
        </is>
      </c>
      <c r="B6" s="55" t="inlineStr">
        <is>
          <t>R6.9</t>
        </is>
      </c>
      <c r="C6" s="56" t="n">
        <v>13837910</v>
      </c>
      <c r="D6" s="56" t="n">
        <v>37268605</v>
      </c>
      <c r="E6" s="56" t="n">
        <v>1143000</v>
      </c>
      <c r="F6" s="56" t="n"/>
      <c r="G6" s="56" t="n">
        <v>513500</v>
      </c>
      <c r="H6" s="56" t="n">
        <v>480000</v>
      </c>
      <c r="I6" s="56" t="n"/>
      <c r="J6" s="56" t="n">
        <v>22121458</v>
      </c>
      <c r="K6" s="56" t="n">
        <v>4072534</v>
      </c>
      <c r="L6" s="56" t="n">
        <v>54000</v>
      </c>
      <c r="M6" s="56" t="n">
        <v>162126</v>
      </c>
      <c r="N6" s="31" t="n">
        <v>79653133</v>
      </c>
      <c r="O6" s="56" t="n">
        <v>-72411939</v>
      </c>
      <c r="P6" s="57">
        <f>IF(N6&lt;&gt;"",N6+O6,"")</f>
        <v/>
      </c>
    </row>
    <row r="7" ht="19" customHeight="1">
      <c r="A7" s="58" t="inlineStr">
        <is>
          <t>2024-10</t>
        </is>
      </c>
      <c r="B7" s="59" t="inlineStr">
        <is>
          <t>R6.10</t>
        </is>
      </c>
      <c r="C7" s="60" t="n">
        <v>14538480</v>
      </c>
      <c r="D7" s="60" t="n">
        <v>39318469</v>
      </c>
      <c r="E7" s="60" t="n">
        <v>2859000</v>
      </c>
      <c r="F7" s="60" t="n">
        <v>3879338</v>
      </c>
      <c r="G7" s="60" t="n">
        <v>519500</v>
      </c>
      <c r="H7" s="60" t="n">
        <v>665902</v>
      </c>
      <c r="I7" s="60" t="n">
        <v>45000</v>
      </c>
      <c r="J7" s="60" t="n">
        <v>20930409</v>
      </c>
      <c r="K7" s="60" t="n">
        <v>4513589</v>
      </c>
      <c r="L7" s="60" t="n">
        <v>106000</v>
      </c>
      <c r="M7" s="60" t="n">
        <v>132040</v>
      </c>
      <c r="N7" s="38" t="n">
        <v>87507727</v>
      </c>
      <c r="O7" s="60" t="n">
        <v>-79552479</v>
      </c>
      <c r="P7" s="61">
        <f>IF(N7&lt;&gt;"",N7+O7,"")</f>
        <v/>
      </c>
    </row>
    <row r="8" ht="19" customHeight="1">
      <c r="A8" s="54" t="inlineStr">
        <is>
          <t>2024-11</t>
        </is>
      </c>
      <c r="B8" s="55" t="inlineStr">
        <is>
          <t>R6.11</t>
        </is>
      </c>
      <c r="C8" s="56" t="n">
        <v>12832260</v>
      </c>
      <c r="D8" s="56" t="n">
        <v>40166406</v>
      </c>
      <c r="E8" s="56" t="n">
        <v>891000</v>
      </c>
      <c r="F8" s="56" t="n">
        <v>2729582</v>
      </c>
      <c r="G8" s="56" t="n">
        <v>552500</v>
      </c>
      <c r="H8" s="56" t="n">
        <v>962040</v>
      </c>
      <c r="I8" s="56" t="n"/>
      <c r="J8" s="56" t="n">
        <v>21039598</v>
      </c>
      <c r="K8" s="56" t="n">
        <v>4677613</v>
      </c>
      <c r="L8" s="56" t="n">
        <v>54000</v>
      </c>
      <c r="M8" s="56" t="n">
        <v>131610</v>
      </c>
      <c r="N8" s="31" t="n">
        <v>84036609</v>
      </c>
      <c r="O8" s="56" t="n">
        <v>-76396917</v>
      </c>
      <c r="P8" s="57">
        <f>IF(N8&lt;&gt;"",N8+O8,"")</f>
        <v/>
      </c>
    </row>
    <row r="9" ht="19" customHeight="1">
      <c r="A9" s="58" t="inlineStr">
        <is>
          <t>2024-12</t>
        </is>
      </c>
      <c r="B9" s="59" t="inlineStr">
        <is>
          <t>R6.12</t>
        </is>
      </c>
      <c r="C9" s="60" t="n">
        <v>13385794</v>
      </c>
      <c r="D9" s="60" t="n">
        <v>36230090</v>
      </c>
      <c r="E9" s="60" t="n">
        <v>885000</v>
      </c>
      <c r="F9" s="60" t="n">
        <v>3927473</v>
      </c>
      <c r="G9" s="60" t="n">
        <v>543500</v>
      </c>
      <c r="H9" s="60" t="n">
        <v>247700</v>
      </c>
      <c r="I9" s="60" t="n">
        <v>928500</v>
      </c>
      <c r="J9" s="60" t="n">
        <v>21774932</v>
      </c>
      <c r="K9" s="60" t="n">
        <v>4842835</v>
      </c>
      <c r="L9" s="60" t="n">
        <v>27000</v>
      </c>
      <c r="M9" s="60" t="n">
        <v>212926</v>
      </c>
      <c r="N9" s="38" t="n">
        <v>83005750</v>
      </c>
      <c r="O9" s="60" t="n">
        <v>-75459773</v>
      </c>
      <c r="P9" s="61">
        <f>IF(N9&lt;&gt;"",N9+O9,"")</f>
        <v/>
      </c>
    </row>
    <row r="10" ht="19" customHeight="1">
      <c r="A10" s="54" t="inlineStr">
        <is>
          <t>2025-01</t>
        </is>
      </c>
      <c r="B10" s="55" t="inlineStr">
        <is>
          <t>R7.1</t>
        </is>
      </c>
      <c r="C10" s="56" t="n">
        <v>11619926</v>
      </c>
      <c r="D10" s="56" t="n">
        <v>37239620</v>
      </c>
      <c r="E10" s="56" t="n"/>
      <c r="F10" s="56" t="n">
        <v>1249028</v>
      </c>
      <c r="G10" s="56" t="n">
        <v>534500</v>
      </c>
      <c r="H10" s="56" t="n">
        <v>300000</v>
      </c>
      <c r="I10" s="56" t="n">
        <v>70000</v>
      </c>
      <c r="J10" s="56" t="n">
        <v>19408606</v>
      </c>
      <c r="K10" s="56" t="n">
        <v>4149715</v>
      </c>
      <c r="L10" s="56" t="n">
        <v>18000</v>
      </c>
      <c r="M10" s="56" t="n">
        <v>133330</v>
      </c>
      <c r="N10" s="31" t="n">
        <v>74722725</v>
      </c>
      <c r="O10" s="56" t="n">
        <v>-67929750</v>
      </c>
      <c r="P10" s="57">
        <f>IF(N10&lt;&gt;"",N10+O10,"")</f>
        <v/>
      </c>
    </row>
    <row r="11" ht="19" customHeight="1">
      <c r="A11" s="58" t="inlineStr">
        <is>
          <t>2025-02</t>
        </is>
      </c>
      <c r="B11" s="59" t="inlineStr">
        <is>
          <t>R7.2</t>
        </is>
      </c>
      <c r="C11" s="60" t="n">
        <v>12256849</v>
      </c>
      <c r="D11" s="60" t="n">
        <v>35273064</v>
      </c>
      <c r="E11" s="60" t="n">
        <v>716000</v>
      </c>
      <c r="F11" s="60" t="n"/>
      <c r="G11" s="60" t="n">
        <v>534500</v>
      </c>
      <c r="H11" s="60" t="n">
        <v>150400</v>
      </c>
      <c r="I11" s="60" t="n"/>
      <c r="J11" s="60" t="n">
        <v>18823147</v>
      </c>
      <c r="K11" s="60" t="n">
        <v>3791480</v>
      </c>
      <c r="L11" s="60" t="n">
        <v>75864</v>
      </c>
      <c r="M11" s="60" t="n">
        <v>163880</v>
      </c>
      <c r="N11" s="38" t="n">
        <v>71785184</v>
      </c>
      <c r="O11" s="60" t="n">
        <v>-65259258</v>
      </c>
      <c r="P11" s="61">
        <f>IF(N11&lt;&gt;"",N11+O11,"")</f>
        <v/>
      </c>
    </row>
    <row r="12" ht="19" customHeight="1">
      <c r="A12" s="54" t="inlineStr">
        <is>
          <t>2025-03</t>
        </is>
      </c>
      <c r="B12" s="55" t="inlineStr">
        <is>
          <t>R7.3</t>
        </is>
      </c>
      <c r="C12" s="56" t="n">
        <v>12036342</v>
      </c>
      <c r="D12" s="56" t="n">
        <v>39891431</v>
      </c>
      <c r="E12" s="56" t="n"/>
      <c r="F12" s="56" t="n">
        <v>4399519</v>
      </c>
      <c r="G12" s="56" t="n">
        <v>534500</v>
      </c>
      <c r="H12" s="56" t="n">
        <v>35728</v>
      </c>
      <c r="I12" s="56" t="n">
        <v>177600</v>
      </c>
      <c r="J12" s="56" t="n">
        <v>21429591</v>
      </c>
      <c r="K12" s="56" t="n">
        <v>5604911</v>
      </c>
      <c r="L12" s="56" t="n">
        <v>73000</v>
      </c>
      <c r="M12" s="56" t="n">
        <v>167470</v>
      </c>
      <c r="N12" s="31" t="n">
        <v>84350092</v>
      </c>
      <c r="O12" s="56" t="n">
        <v>-76681902</v>
      </c>
      <c r="P12" s="57">
        <f>IF(N12&lt;&gt;"",N12+O12,"")</f>
        <v/>
      </c>
    </row>
    <row r="13" ht="19" customHeight="1">
      <c r="A13" s="58" t="inlineStr">
        <is>
          <t>2025-04</t>
        </is>
      </c>
      <c r="B13" s="59" t="inlineStr">
        <is>
          <t>R7.4</t>
        </is>
      </c>
      <c r="C13" s="60" t="n">
        <v>13732489</v>
      </c>
      <c r="D13" s="60" t="n">
        <v>42565460</v>
      </c>
      <c r="E13" s="60" t="n">
        <v>320000</v>
      </c>
      <c r="F13" s="60" t="n"/>
      <c r="G13" s="60" t="n">
        <v>579000</v>
      </c>
      <c r="H13" s="60" t="n">
        <v>20000</v>
      </c>
      <c r="I13" s="60" t="n">
        <v>385190</v>
      </c>
      <c r="J13" s="60" t="n">
        <v>20293634</v>
      </c>
      <c r="K13" s="60" t="n">
        <v>4392253</v>
      </c>
      <c r="L13" s="60" t="n">
        <v>54000</v>
      </c>
      <c r="M13" s="60" t="n">
        <v>126695</v>
      </c>
      <c r="N13" s="38" t="n">
        <v>82468721</v>
      </c>
      <c r="O13" s="60" t="n">
        <v>-74971565</v>
      </c>
      <c r="P13" s="61">
        <f>IF(N13&lt;&gt;"",N13+O13,"")</f>
        <v/>
      </c>
    </row>
    <row r="14" ht="19" customHeight="1">
      <c r="A14" s="54" t="inlineStr">
        <is>
          <t>2025-05</t>
        </is>
      </c>
      <c r="B14" s="55" t="inlineStr">
        <is>
          <t>R7.5</t>
        </is>
      </c>
      <c r="C14" s="56" t="n">
        <v>12433945</v>
      </c>
      <c r="D14" s="56" t="n">
        <v>42621987</v>
      </c>
      <c r="E14" s="56" t="n">
        <v>24000</v>
      </c>
      <c r="F14" s="56" t="n"/>
      <c r="G14" s="56" t="n">
        <v>399500</v>
      </c>
      <c r="H14" s="56" t="n">
        <v>375209</v>
      </c>
      <c r="I14" s="56" t="n">
        <v>4439900</v>
      </c>
      <c r="J14" s="56" t="n">
        <v>20536694</v>
      </c>
      <c r="K14" s="56" t="n">
        <v>4686122</v>
      </c>
      <c r="L14" s="56" t="n">
        <v>49068</v>
      </c>
      <c r="M14" s="56" t="n">
        <v>116600</v>
      </c>
      <c r="N14" s="31" t="n">
        <v>85683025</v>
      </c>
      <c r="O14" s="56" t="n">
        <v>-77893659</v>
      </c>
      <c r="P14" s="57">
        <f>IF(N14&lt;&gt;"",N14+O14,"")</f>
        <v/>
      </c>
    </row>
    <row r="15" ht="19" customHeight="1">
      <c r="A15" s="58" t="inlineStr">
        <is>
          <t>2025-06</t>
        </is>
      </c>
      <c r="B15" s="59" t="inlineStr">
        <is>
          <t>R7.6</t>
        </is>
      </c>
      <c r="C15" s="60" t="n">
        <v>12725923</v>
      </c>
      <c r="D15" s="60" t="n">
        <v>42039492</v>
      </c>
      <c r="E15" s="60" t="n">
        <v>560000</v>
      </c>
      <c r="F15" s="60" t="n">
        <v>6678437</v>
      </c>
      <c r="G15" s="60" t="n">
        <v>639500</v>
      </c>
      <c r="H15" s="60" t="n">
        <v>66155</v>
      </c>
      <c r="I15" s="60" t="n">
        <v>811380</v>
      </c>
      <c r="J15" s="60" t="n">
        <v>21382460</v>
      </c>
      <c r="K15" s="60" t="n">
        <v>4686956</v>
      </c>
      <c r="L15" s="60" t="n">
        <v>282934</v>
      </c>
      <c r="M15" s="60" t="n">
        <v>233890</v>
      </c>
      <c r="N15" s="38" t="n">
        <v>90107127</v>
      </c>
      <c r="O15" s="60" t="n">
        <v>-81915570</v>
      </c>
      <c r="P15" s="61">
        <f>IF(N15&lt;&gt;"",N15+O15,"")</f>
        <v/>
      </c>
    </row>
    <row r="16" ht="19" customHeight="1">
      <c r="A16" s="54" t="inlineStr">
        <is>
          <t>2025-07</t>
        </is>
      </c>
      <c r="B16" s="55" t="inlineStr">
        <is>
          <t>R7.7</t>
        </is>
      </c>
      <c r="C16" s="56" t="n">
        <v>14033460</v>
      </c>
      <c r="D16" s="56" t="n">
        <v>49551795</v>
      </c>
      <c r="E16" s="56" t="n">
        <v>70400</v>
      </c>
      <c r="F16" s="56" t="n"/>
      <c r="G16" s="56" t="n">
        <v>439450</v>
      </c>
      <c r="H16" s="56" t="n">
        <v>522775</v>
      </c>
      <c r="I16" s="56" t="n">
        <v>3465</v>
      </c>
      <c r="J16" s="56" t="n">
        <v>24309231</v>
      </c>
      <c r="K16" s="56" t="n">
        <v>5799867</v>
      </c>
      <c r="L16" s="56" t="n">
        <v>19800</v>
      </c>
      <c r="M16" s="56" t="n">
        <v>299751</v>
      </c>
      <c r="N16" s="31" t="n">
        <v>95049994</v>
      </c>
      <c r="O16" s="56" t="n">
        <v>-86409085</v>
      </c>
      <c r="P16" s="57">
        <f>IF(N16&lt;&gt;"",N16+O16,"")</f>
        <v/>
      </c>
    </row>
    <row r="17" ht="19" customHeight="1">
      <c r="A17" s="58" t="inlineStr">
        <is>
          <t>2025-08</t>
        </is>
      </c>
      <c r="B17" s="59" t="inlineStr">
        <is>
          <t>R7.8</t>
        </is>
      </c>
      <c r="C17" s="60" t="n">
        <v>12775187</v>
      </c>
      <c r="D17" s="60" t="n">
        <v>45672694</v>
      </c>
      <c r="E17" s="60" t="n">
        <v>1859000</v>
      </c>
      <c r="F17" s="60" t="n">
        <v>6057720</v>
      </c>
      <c r="G17" s="60" t="n">
        <v>703450</v>
      </c>
      <c r="H17" s="60" t="n">
        <v>995236</v>
      </c>
      <c r="I17" s="60" t="n">
        <v>500</v>
      </c>
      <c r="J17" s="60" t="n">
        <v>21710565</v>
      </c>
      <c r="K17" s="60" t="n">
        <v>6235942</v>
      </c>
      <c r="L17" s="60" t="n">
        <v>85140</v>
      </c>
      <c r="M17" s="60" t="n">
        <v>297500</v>
      </c>
      <c r="N17" s="38" t="n">
        <v>96392934</v>
      </c>
      <c r="O17" s="60" t="n">
        <v>-87629940</v>
      </c>
      <c r="P17" s="61">
        <f>IF(N17&lt;&gt;"",N17+O17,"")</f>
        <v/>
      </c>
    </row>
    <row r="18" ht="19" customHeight="1">
      <c r="A18" s="62" t="inlineStr">
        <is>
          <t>←ここに入力</t>
        </is>
      </c>
      <c r="B18" s="55" t="inlineStr"/>
      <c r="C18" s="56" t="n"/>
      <c r="D18" s="56" t="n"/>
      <c r="E18" s="56" t="n"/>
      <c r="F18" s="56" t="n"/>
      <c r="G18" s="56" t="n"/>
      <c r="H18" s="56" t="n"/>
      <c r="I18" s="56" t="n"/>
      <c r="J18" s="56" t="n"/>
      <c r="K18" s="56" t="n"/>
      <c r="L18" s="56" t="n"/>
      <c r="M18" s="56" t="n"/>
      <c r="N18" s="57">
        <f>IF(C18+D18+E18+F18+G18+H18+I18+J18+K18+L18+M18=0,"",C18+D18+E18+F18+G18+H18+I18+J18+K18+L18+M18)</f>
        <v/>
      </c>
      <c r="O18" s="56">
        <f>IF(N18="","",ROUND(-N18/11,0))</f>
        <v/>
      </c>
      <c r="P18" s="57">
        <f>IF(N18="","",N18+O18)</f>
        <v/>
      </c>
    </row>
    <row r="19" ht="19" customHeight="1">
      <c r="A19" s="62" t="inlineStr">
        <is>
          <t>←ここに入力</t>
        </is>
      </c>
      <c r="B19" s="59" t="inlineStr"/>
      <c r="C19" s="60" t="n"/>
      <c r="D19" s="60" t="n"/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1">
        <f>IF(C19+D19+E19+F19+G19+H19+I19+J19+K19+L19+M19=0,"",C19+D19+E19+F19+G19+H19+I19+J19+K19+L19+M19)</f>
        <v/>
      </c>
      <c r="O19" s="60">
        <f>IF(N19="","",ROUND(-N19/11,0))</f>
        <v/>
      </c>
      <c r="P19" s="61">
        <f>IF(N19="","",N19+O19)</f>
        <v/>
      </c>
    </row>
    <row r="20" ht="19" customHeight="1">
      <c r="A20" s="62" t="inlineStr">
        <is>
          <t>←ここに入力</t>
        </is>
      </c>
      <c r="B20" s="55" t="inlineStr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56" t="n"/>
      <c r="L20" s="56" t="n"/>
      <c r="M20" s="56" t="n"/>
      <c r="N20" s="57">
        <f>IF(C20+D20+E20+F20+G20+H20+I20+J20+K20+L20+M20=0,"",C20+D20+E20+F20+G20+H20+I20+J20+K20+L20+M20)</f>
        <v/>
      </c>
      <c r="O20" s="56">
        <f>IF(N20="","",ROUND(-N20/11,0))</f>
        <v/>
      </c>
      <c r="P20" s="57">
        <f>IF(N20="","",N20+O20)</f>
        <v/>
      </c>
    </row>
    <row r="21" ht="19" customHeight="1">
      <c r="A21" s="62" t="inlineStr">
        <is>
          <t>←ここに入力</t>
        </is>
      </c>
      <c r="B21" s="59" t="inlineStr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1">
        <f>IF(C21+D21+E21+F21+G21+H21+I21+J21+K21+L21+M21=0,"",C21+D21+E21+F21+G21+H21+I21+J21+K21+L21+M21)</f>
        <v/>
      </c>
      <c r="O21" s="60">
        <f>IF(N21="","",ROUND(-N21/11,0))</f>
        <v/>
      </c>
      <c r="P21" s="61">
        <f>IF(N21="","",N21+O21)</f>
        <v/>
      </c>
    </row>
    <row r="22" ht="19" customHeight="1">
      <c r="A22" s="62" t="inlineStr">
        <is>
          <t>←ここに入力</t>
        </is>
      </c>
      <c r="B22" s="55" t="inlineStr"/>
      <c r="C22" s="56" t="n"/>
      <c r="D22" s="56" t="n"/>
      <c r="E22" s="56" t="n"/>
      <c r="F22" s="56" t="n"/>
      <c r="G22" s="56" t="n"/>
      <c r="H22" s="56" t="n"/>
      <c r="I22" s="56" t="n"/>
      <c r="J22" s="56" t="n"/>
      <c r="K22" s="56" t="n"/>
      <c r="L22" s="56" t="n"/>
      <c r="M22" s="56" t="n"/>
      <c r="N22" s="57">
        <f>IF(C22+D22+E22+F22+G22+H22+I22+J22+K22+L22+M22=0,"",C22+D22+E22+F22+G22+H22+I22+J22+K22+L22+M22)</f>
        <v/>
      </c>
      <c r="O22" s="56">
        <f>IF(N22="","",ROUND(-N22/11,0))</f>
        <v/>
      </c>
      <c r="P22" s="57">
        <f>IF(N22="","",N22+O22)</f>
        <v/>
      </c>
    </row>
    <row r="23" ht="19" customHeight="1">
      <c r="A23" s="62" t="inlineStr">
        <is>
          <t>←ここに入力</t>
        </is>
      </c>
      <c r="B23" s="59" t="inlineStr"/>
      <c r="C23" s="60" t="n"/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1">
        <f>IF(C23+D23+E23+F23+G23+H23+I23+J23+K23+L23+M23=0,"",C23+D23+E23+F23+G23+H23+I23+J23+K23+L23+M23)</f>
        <v/>
      </c>
      <c r="O23" s="60">
        <f>IF(N23="","",ROUND(-N23/11,0))</f>
        <v/>
      </c>
      <c r="P23" s="61">
        <f>IF(N23="","",N23+O23)</f>
        <v/>
      </c>
    </row>
    <row r="24" ht="19" customHeight="1">
      <c r="A24" s="62" t="inlineStr">
        <is>
          <t>←ここに入力</t>
        </is>
      </c>
      <c r="B24" s="55" t="inlineStr"/>
      <c r="C24" s="56" t="n"/>
      <c r="D24" s="56" t="n"/>
      <c r="E24" s="56" t="n"/>
      <c r="F24" s="56" t="n"/>
      <c r="G24" s="56" t="n"/>
      <c r="H24" s="56" t="n"/>
      <c r="I24" s="56" t="n"/>
      <c r="J24" s="56" t="n"/>
      <c r="K24" s="56" t="n"/>
      <c r="L24" s="56" t="n"/>
      <c r="M24" s="56" t="n"/>
      <c r="N24" s="57">
        <f>IF(C24+D24+E24+F24+G24+H24+I24+J24+K24+L24+M24=0,"",C24+D24+E24+F24+G24+H24+I24+J24+K24+L24+M24)</f>
        <v/>
      </c>
      <c r="O24" s="56">
        <f>IF(N24="","",ROUND(-N24/11,0))</f>
        <v/>
      </c>
      <c r="P24" s="57">
        <f>IF(N24="","",N24+O24)</f>
        <v/>
      </c>
    </row>
    <row r="25" ht="19" customHeight="1">
      <c r="A25" s="62" t="inlineStr">
        <is>
          <t>←ここに入力</t>
        </is>
      </c>
      <c r="B25" s="59" t="inlineStr"/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1">
        <f>IF(C25+D25+E25+F25+G25+H25+I25+J25+K25+L25+M25=0,"",C25+D25+E25+F25+G25+H25+I25+J25+K25+L25+M25)</f>
        <v/>
      </c>
      <c r="O25" s="60">
        <f>IF(N25="","",ROUND(-N25/11,0))</f>
        <v/>
      </c>
      <c r="P25" s="61">
        <f>IF(N25="","",N25+O25)</f>
        <v/>
      </c>
    </row>
    <row r="26" ht="19" customHeight="1">
      <c r="A26" s="62" t="inlineStr">
        <is>
          <t>←ここに入力</t>
        </is>
      </c>
      <c r="B26" s="55" t="inlineStr"/>
      <c r="C26" s="56" t="n"/>
      <c r="D26" s="56" t="n"/>
      <c r="E26" s="56" t="n"/>
      <c r="F26" s="56" t="n"/>
      <c r="G26" s="56" t="n"/>
      <c r="H26" s="56" t="n"/>
      <c r="I26" s="56" t="n"/>
      <c r="J26" s="56" t="n"/>
      <c r="K26" s="56" t="n"/>
      <c r="L26" s="56" t="n"/>
      <c r="M26" s="56" t="n"/>
      <c r="N26" s="57">
        <f>IF(C26+D26+E26+F26+G26+H26+I26+J26+K26+L26+M26=0,"",C26+D26+E26+F26+G26+H26+I26+J26+K26+L26+M26)</f>
        <v/>
      </c>
      <c r="O26" s="56">
        <f>IF(N26="","",ROUND(-N26/11,0))</f>
        <v/>
      </c>
      <c r="P26" s="57">
        <f>IF(N26="","",N26+O26)</f>
        <v/>
      </c>
    </row>
    <row r="27" ht="19" customHeight="1">
      <c r="A27" s="62" t="inlineStr">
        <is>
          <t>←ここに入力</t>
        </is>
      </c>
      <c r="B27" s="59" t="inlineStr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1">
        <f>IF(C27+D27+E27+F27+G27+H27+I27+J27+K27+L27+M27=0,"",C27+D27+E27+F27+G27+H27+I27+J27+K27+L27+M27)</f>
        <v/>
      </c>
      <c r="O27" s="60">
        <f>IF(N27="","",ROUND(-N27/11,0))</f>
        <v/>
      </c>
      <c r="P27" s="61">
        <f>IF(N27="","",N27+O27)</f>
        <v/>
      </c>
    </row>
    <row r="28" ht="19" customHeight="1">
      <c r="A28" s="62" t="inlineStr">
        <is>
          <t>←ここに入力</t>
        </is>
      </c>
      <c r="B28" s="55" t="inlineStr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7">
        <f>IF(C28+D28+E28+F28+G28+H28+I28+J28+K28+L28+M28=0,"",C28+D28+E28+F28+G28+H28+I28+J28+K28+L28+M28)</f>
        <v/>
      </c>
      <c r="O28" s="56">
        <f>IF(N28="","",ROUND(-N28/11,0))</f>
        <v/>
      </c>
      <c r="P28" s="57">
        <f>IF(N28="","",N28+O28)</f>
        <v/>
      </c>
    </row>
    <row r="29" ht="19" customHeight="1">
      <c r="A29" s="62" t="inlineStr">
        <is>
          <t>←ここに入力</t>
        </is>
      </c>
      <c r="B29" s="59" t="inlineStr"/>
      <c r="C29" s="60" t="n"/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>
        <f>IF(C29+D29+E29+F29+G29+H29+I29+J29+K29+L29+M29=0,"",C29+D29+E29+F29+G29+H29+I29+J29+K29+L29+M29)</f>
        <v/>
      </c>
      <c r="O29" s="60">
        <f>IF(N29="","",ROUND(-N29/11,0))</f>
        <v/>
      </c>
      <c r="P29" s="61">
        <f>IF(N29="","",N29+O29)</f>
        <v/>
      </c>
    </row>
  </sheetData>
  <mergeCells count="2">
    <mergeCell ref="A1:P1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35577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52" t="inlineStr">
        <is>
          <t>▼マッピング設定　ルート(科目)→案件の配分率　★初回のみ確認・調整してください</t>
        </is>
      </c>
    </row>
    <row r="2" ht="16" customHeight="1">
      <c r="A2" s="2" t="inlineStr">
        <is>
          <t>各行の D+E+F=100 になるよう設定してください。615-1(板橋)は東急グループと一般事業者の両方を担当しているため分割設定しています。</t>
        </is>
      </c>
    </row>
    <row r="3" ht="36" customHeight="1">
      <c r="A3" s="3" t="inlineStr">
        <is>
          <t>科目コード</t>
        </is>
      </c>
      <c r="B3" s="3" t="inlineStr">
        <is>
          <t>科目名</t>
        </is>
      </c>
      <c r="C3" s="3" t="inlineStr">
        <is>
          <t>配分根拠（メモ）</t>
        </is>
      </c>
      <c r="D3" s="3" t="inlineStr">
        <is>
          <t>C001
東急グループ%</t>
        </is>
      </c>
      <c r="E3" s="3" t="inlineStr">
        <is>
          <t>C002
都営地下鉄%</t>
        </is>
      </c>
      <c r="F3" s="3" t="inlineStr">
        <is>
          <t>C003
一般事業者%</t>
        </is>
      </c>
      <c r="G3" s="3" t="inlineStr">
        <is>
          <t>合計%
(100が正常)</t>
        </is>
      </c>
    </row>
    <row r="4" ht="28" customHeight="1">
      <c r="A4" s="63" t="inlineStr">
        <is>
          <t>612-1</t>
        </is>
      </c>
      <c r="B4" s="30" t="inlineStr">
        <is>
          <t>運送（本社）</t>
        </is>
      </c>
      <c r="C4" s="64" t="inlineStr">
        <is>
          <t>本社が受注する民間運送 → 一般事業者に100%</t>
        </is>
      </c>
      <c r="D4" s="65" t="n">
        <v>0</v>
      </c>
      <c r="E4" s="66" t="n">
        <v>0</v>
      </c>
      <c r="F4" s="67" t="n">
        <v>100</v>
      </c>
      <c r="G4" s="68">
        <f>D4+E4+F4</f>
        <v/>
      </c>
    </row>
    <row r="5" ht="28" customHeight="1">
      <c r="A5" s="69" t="inlineStr">
        <is>
          <t>612-2</t>
        </is>
      </c>
      <c r="B5" s="37" t="inlineStr">
        <is>
          <t>入札（公共）</t>
        </is>
      </c>
      <c r="C5" s="70" t="inlineStr">
        <is>
          <t>行政・公共入札案件 → 都営地下鉄・区役所等に100%</t>
        </is>
      </c>
      <c r="D5" s="65" t="n">
        <v>0</v>
      </c>
      <c r="E5" s="66" t="n">
        <v>100</v>
      </c>
      <c r="F5" s="67" t="n">
        <v>0</v>
      </c>
      <c r="G5" s="68">
        <f>D5+E5+F5</f>
        <v/>
      </c>
    </row>
    <row r="6" ht="28" customHeight="1">
      <c r="A6" s="63" t="inlineStr">
        <is>
          <t>613-1</t>
        </is>
      </c>
      <c r="B6" s="30" t="inlineStr">
        <is>
          <t>車輌</t>
        </is>
      </c>
      <c r="C6" s="64" t="inlineStr">
        <is>
          <t>車輌売上（全案件に按分）</t>
        </is>
      </c>
      <c r="D6" s="65" t="n">
        <v>20</v>
      </c>
      <c r="E6" s="66" t="n">
        <v>10</v>
      </c>
      <c r="F6" s="67" t="n">
        <v>70</v>
      </c>
      <c r="G6" s="68">
        <f>D6+E6+F6</f>
        <v/>
      </c>
    </row>
    <row r="7" ht="28" customHeight="1">
      <c r="A7" s="69" t="inlineStr">
        <is>
          <t>613-2</t>
        </is>
      </c>
      <c r="B7" s="37" t="inlineStr">
        <is>
          <t>KC</t>
        </is>
      </c>
      <c r="C7" s="70" t="inlineStr">
        <is>
          <t>KCサキュレ分（別管理・0%）</t>
        </is>
      </c>
      <c r="D7" s="65" t="n">
        <v>0</v>
      </c>
      <c r="E7" s="66" t="n">
        <v>0</v>
      </c>
      <c r="F7" s="67" t="n">
        <v>0</v>
      </c>
      <c r="G7" s="68">
        <f>D7+E7+F7</f>
        <v/>
      </c>
    </row>
    <row r="8" ht="28" customHeight="1">
      <c r="A8" s="63" t="inlineStr">
        <is>
          <t>614-1</t>
        </is>
      </c>
      <c r="B8" s="30" t="inlineStr">
        <is>
          <t>コンテナ</t>
        </is>
      </c>
      <c r="C8" s="64" t="inlineStr">
        <is>
          <t>コンテナ → 一般事業者に100%</t>
        </is>
      </c>
      <c r="D8" s="65" t="n">
        <v>0</v>
      </c>
      <c r="E8" s="66" t="n">
        <v>0</v>
      </c>
      <c r="F8" s="67" t="n">
        <v>100</v>
      </c>
      <c r="G8" s="68">
        <f>D8+E8+F8</f>
        <v/>
      </c>
    </row>
    <row r="9" ht="28" customHeight="1">
      <c r="A9" s="69" t="inlineStr">
        <is>
          <t>614-2</t>
        </is>
      </c>
      <c r="B9" s="37" t="inlineStr">
        <is>
          <t>ENDO</t>
        </is>
      </c>
      <c r="C9" s="70" t="inlineStr">
        <is>
          <t>ENDO → 一般事業者に100%</t>
        </is>
      </c>
      <c r="D9" s="65" t="n">
        <v>0</v>
      </c>
      <c r="E9" s="66" t="n">
        <v>0</v>
      </c>
      <c r="F9" s="67" t="n">
        <v>100</v>
      </c>
      <c r="G9" s="68">
        <f>D9+E9+F9</f>
        <v/>
      </c>
    </row>
    <row r="10" ht="28" customHeight="1">
      <c r="A10" s="63" t="inlineStr">
        <is>
          <t>614-3</t>
        </is>
      </c>
      <c r="B10" s="30" t="inlineStr">
        <is>
          <t>現金</t>
        </is>
      </c>
      <c r="C10" s="64" t="inlineStr">
        <is>
          <t>現金取引 → 一般事業者に100%</t>
        </is>
      </c>
      <c r="D10" s="65" t="n">
        <v>0</v>
      </c>
      <c r="E10" s="66" t="n">
        <v>0</v>
      </c>
      <c r="F10" s="67" t="n">
        <v>100</v>
      </c>
      <c r="G10" s="68">
        <f>D10+E10+F10</f>
        <v/>
      </c>
    </row>
    <row r="11" ht="28" customHeight="1">
      <c r="A11" s="69" t="inlineStr">
        <is>
          <t>615-1</t>
        </is>
      </c>
      <c r="B11" s="37" t="inlineStr">
        <is>
          <t>板橋</t>
        </is>
      </c>
      <c r="C11" s="70" t="inlineStr">
        <is>
          <t>板橋営業所：東急グループ拠点60%・一般40% ★実績に応じて調整</t>
        </is>
      </c>
      <c r="D11" s="65" t="n">
        <v>60</v>
      </c>
      <c r="E11" s="66" t="n">
        <v>0</v>
      </c>
      <c r="F11" s="67" t="n">
        <v>40</v>
      </c>
      <c r="G11" s="68">
        <f>D11+E11+F11</f>
        <v/>
      </c>
    </row>
    <row r="12" ht="28" customHeight="1">
      <c r="A12" s="63" t="inlineStr">
        <is>
          <t>615-2</t>
        </is>
      </c>
      <c r="B12" s="30" t="inlineStr">
        <is>
          <t>新横浜</t>
        </is>
      </c>
      <c r="C12" s="64" t="inlineStr">
        <is>
          <t>新横浜営業所 → 一般事業者に100%</t>
        </is>
      </c>
      <c r="D12" s="65" t="n">
        <v>0</v>
      </c>
      <c r="E12" s="66" t="n">
        <v>0</v>
      </c>
      <c r="F12" s="67" t="n">
        <v>100</v>
      </c>
      <c r="G12" s="68">
        <f>D12+E12+F12</f>
        <v/>
      </c>
    </row>
    <row r="13" ht="28" customHeight="1">
      <c r="A13" s="69" t="inlineStr">
        <is>
          <t>615-3</t>
        </is>
      </c>
      <c r="B13" s="37" t="inlineStr">
        <is>
          <t>現金2</t>
        </is>
      </c>
      <c r="C13" s="70" t="inlineStr">
        <is>
          <t>現金2 → 一般事業者に100%</t>
        </is>
      </c>
      <c r="D13" s="65" t="n">
        <v>0</v>
      </c>
      <c r="E13" s="66" t="n">
        <v>0</v>
      </c>
      <c r="F13" s="67" t="n">
        <v>100</v>
      </c>
      <c r="G13" s="68">
        <f>D13+E13+F13</f>
        <v/>
      </c>
    </row>
    <row r="14" ht="28" customHeight="1">
      <c r="A14" s="63" t="inlineStr">
        <is>
          <t>615-4</t>
        </is>
      </c>
      <c r="B14" s="30" t="inlineStr">
        <is>
          <t>有価物</t>
        </is>
      </c>
      <c r="C14" s="64" t="inlineStr">
        <is>
          <t>有価物 → 一般事業者に100%</t>
        </is>
      </c>
      <c r="D14" s="65" t="n">
        <v>0</v>
      </c>
      <c r="E14" s="66" t="n">
        <v>0</v>
      </c>
      <c r="F14" s="67" t="n">
        <v>100</v>
      </c>
      <c r="G14" s="68">
        <f>D14+E14+F14</f>
        <v/>
      </c>
    </row>
    <row r="16" ht="22" customHeight="1">
      <c r="A16" s="55" t="inlineStr">
        <is>
          <t>【判定基準】 ◎ 優良=粗利率25%以上　○ 良好=15〜25%　△ 要注意=5〜15%　× 赤字=5%未満</t>
        </is>
      </c>
    </row>
  </sheetData>
  <mergeCells count="3">
    <mergeCell ref="A16:G16"/>
    <mergeCell ref="A2:G2"/>
    <mergeCell ref="A1:G1"/>
  </mergeCells>
  <conditionalFormatting sqref="G4">
    <cfRule type="expression" priority="1" dxfId="3">
      <formula>G4&lt;&gt;100</formula>
    </cfRule>
  </conditionalFormatting>
  <conditionalFormatting sqref="G5">
    <cfRule type="expression" priority="2" dxfId="3">
      <formula>G5&lt;&gt;100</formula>
    </cfRule>
  </conditionalFormatting>
  <conditionalFormatting sqref="G6">
    <cfRule type="expression" priority="3" dxfId="3">
      <formula>G6&lt;&gt;100</formula>
    </cfRule>
  </conditionalFormatting>
  <conditionalFormatting sqref="G7">
    <cfRule type="expression" priority="4" dxfId="3">
      <formula>G7&lt;&gt;100</formula>
    </cfRule>
  </conditionalFormatting>
  <conditionalFormatting sqref="G8">
    <cfRule type="expression" priority="5" dxfId="3">
      <formula>G8&lt;&gt;100</formula>
    </cfRule>
  </conditionalFormatting>
  <conditionalFormatting sqref="G9">
    <cfRule type="expression" priority="6" dxfId="3">
      <formula>G9&lt;&gt;100</formula>
    </cfRule>
  </conditionalFormatting>
  <conditionalFormatting sqref="G10">
    <cfRule type="expression" priority="7" dxfId="3">
      <formula>G10&lt;&gt;100</formula>
    </cfRule>
  </conditionalFormatting>
  <conditionalFormatting sqref="G11">
    <cfRule type="expression" priority="8" dxfId="3">
      <formula>G11&lt;&gt;100</formula>
    </cfRule>
  </conditionalFormatting>
  <conditionalFormatting sqref="G12">
    <cfRule type="expression" priority="9" dxfId="3">
      <formula>G12&lt;&gt;100</formula>
    </cfRule>
  </conditionalFormatting>
  <conditionalFormatting sqref="G13">
    <cfRule type="expression" priority="10" dxfId="3">
      <formula>G13&lt;&gt;100</formula>
    </cfRule>
  </conditionalFormatting>
  <conditionalFormatting sqref="G14">
    <cfRule type="expression" priority="11" dxfId="3">
      <formula>G14&lt;&gt;100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2026-05-29T03:47:35Z</dcterms:created>
  <dcterms:modified xmlns:dcterms="http://purl.org/dc/terms/" xmlns:xsi="http://www.w3.org/2001/XMLSchema-instance" xsi:type="dcterms:W3CDTF">2026-05-29T03:47:36Z</dcterms:modified>
</cp:coreProperties>
</file>