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案件マスタ" sheetId="1" state="visible" r:id="rId1"/>
    <sheet xmlns:r="http://schemas.openxmlformats.org/officeDocument/2006/relationships" name="②拠点マスター" sheetId="2" state="visible" r:id="rId2"/>
    <sheet xmlns:r="http://schemas.openxmlformats.org/officeDocument/2006/relationships" name="③月次採算入力" sheetId="3" state="visible" r:id="rId3"/>
    <sheet xmlns:r="http://schemas.openxmlformats.org/officeDocument/2006/relationships" name="⑤売上原票" sheetId="4" state="visible" r:id="rId4"/>
    <sheet xmlns:r="http://schemas.openxmlformats.org/officeDocument/2006/relationships" name="⑥科目-案件マッピング" sheetId="5" state="visible" r:id="rId5"/>
    <sheet xmlns:r="http://schemas.openxmlformats.org/officeDocument/2006/relationships" name="⑦ドライバー別" sheetId="6" state="visible" r:id="rId6"/>
    <sheet xmlns:r="http://schemas.openxmlformats.org/officeDocument/2006/relationships" name="⑧採算ダッシュボード" sheetId="7" state="visible" r:id="rId7"/>
    <sheet xmlns:r="http://schemas.openxmlformats.org/officeDocument/2006/relationships" name="⑨換算テーブル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+0.0%;-0.0%;0.0%"/>
    <numFmt numFmtId="166" formatCode="#,##0.0"/>
    <numFmt numFmtId="167" formatCode="0.00000"/>
  </numFmts>
  <fonts count="17">
    <font>
      <name val="Calibri"/>
      <family val="2"/>
      <color theme="1"/>
      <sz val="11"/>
      <scheme val="minor"/>
    </font>
    <font>
      <name val="Yu Gothic UI"/>
      <b val="1"/>
      <color rgb="00FFFFFF"/>
      <sz val="15"/>
    </font>
    <font>
      <name val="Yu Gothic UI"/>
      <b val="1"/>
      <color rgb="00FFFFFF"/>
      <sz val="10"/>
    </font>
    <font>
      <name val="Yu Gothic UI"/>
      <b val="1"/>
      <color rgb="00FFFFFF"/>
      <sz val="9"/>
    </font>
    <font>
      <name val="Yu Gothic UI"/>
      <b val="1"/>
      <color rgb="000D2B5E"/>
      <sz val="11"/>
    </font>
    <font>
      <name val="Yu Gothic UI"/>
      <b val="1"/>
      <color rgb="00FFFFFF"/>
      <sz val="11"/>
    </font>
    <font>
      <name val="Yu Gothic UI"/>
      <color rgb="000D2B5E"/>
      <sz val="11"/>
    </font>
    <font>
      <name val="Yu Gothic UI"/>
      <color rgb="000D2B5E"/>
      <sz val="10"/>
    </font>
    <font>
      <name val="Yu Gothic UI"/>
      <b val="1"/>
      <color rgb="000D2B5E"/>
      <sz val="12"/>
    </font>
    <font>
      <name val="Yu Gothic UI"/>
      <color rgb="00FFFFFF"/>
      <sz val="10"/>
    </font>
    <font>
      <name val="Yu Gothic UI"/>
      <color rgb="000D2B5E"/>
      <sz val="9"/>
    </font>
    <font>
      <name val="Yu Gothic UI"/>
      <b val="1"/>
      <color rgb="000D2B5E"/>
      <sz val="10"/>
    </font>
    <font>
      <name val="Yu Gothic UI"/>
      <color rgb="001A5F00"/>
      <sz val="10"/>
    </font>
    <font>
      <name val="Yu Gothic UI"/>
      <color rgb="0055657A"/>
      <sz val="9"/>
    </font>
    <font>
      <name val="Yu Gothic UI"/>
      <color rgb="008B4500"/>
      <sz val="10"/>
    </font>
    <font>
      <name val="Yu Gothic UI"/>
      <b val="1"/>
      <color rgb="00FFFFFF"/>
      <sz val="12"/>
    </font>
    <font>
      <name val="Yu Gothic UI"/>
      <color rgb="000D2B5E"/>
      <sz val="13"/>
    </font>
  </fonts>
  <fills count="20">
    <fill>
      <patternFill/>
    </fill>
    <fill>
      <patternFill patternType="gray125"/>
    </fill>
    <fill>
      <patternFill patternType="solid">
        <fgColor rgb="000D2B5E"/>
      </patternFill>
    </fill>
    <fill>
      <patternFill patternType="solid">
        <fgColor rgb="001565A8"/>
      </patternFill>
    </fill>
    <fill>
      <patternFill patternType="solid">
        <fgColor rgb="00155A00"/>
      </patternFill>
    </fill>
    <fill>
      <patternFill patternType="solid">
        <fgColor rgb="001A5FC8"/>
      </patternFill>
    </fill>
    <fill>
      <patternFill patternType="solid">
        <fgColor rgb="00D0E8FF"/>
      </patternFill>
    </fill>
    <fill>
      <patternFill patternType="solid">
        <fgColor rgb="00E8F5E9"/>
      </patternFill>
    </fill>
    <fill>
      <patternFill patternType="solid">
        <fgColor rgb="00EDE7F6"/>
      </patternFill>
    </fill>
    <fill>
      <patternFill patternType="solid">
        <fgColor rgb="005B2D8E"/>
      </patternFill>
    </fill>
    <fill>
      <patternFill patternType="solid">
        <fgColor rgb="00D4EDDA"/>
      </patternFill>
    </fill>
    <fill>
      <patternFill patternType="solid">
        <fgColor rgb="001A6B2E"/>
      </patternFill>
    </fill>
    <fill>
      <patternFill patternType="solid">
        <fgColor rgb="007B3F00"/>
      </patternFill>
    </fill>
    <fill>
      <patternFill patternType="solid">
        <fgColor rgb="002EB872"/>
      </patternFill>
    </fill>
    <fill>
      <patternFill patternType="solid">
        <fgColor rgb="00C8F7D4"/>
      </patternFill>
    </fill>
    <fill>
      <patternFill patternType="solid">
        <fgColor rgb="00FFF3CD"/>
      </patternFill>
    </fill>
    <fill>
      <patternFill patternType="solid">
        <fgColor rgb="00FFFFFF"/>
      </patternFill>
    </fill>
    <fill>
      <patternFill patternType="solid">
        <fgColor rgb="00F2F6FC"/>
      </patternFill>
    </fill>
    <fill>
      <patternFill patternType="solid">
        <fgColor rgb="00F3E5F5"/>
      </patternFill>
    </fill>
    <fill>
      <patternFill patternType="solid">
        <fgColor rgb="00E0F2F1"/>
      </patternFill>
    </fill>
  </fills>
  <borders count="6">
    <border>
      <left/>
      <right/>
      <top/>
      <bottom/>
      <diagonal/>
    </border>
    <border>
      <left style="thin">
        <color rgb="00C5D5E8"/>
      </left>
      <right style="thin">
        <color rgb="00C5D5E8"/>
      </right>
      <top style="thin">
        <color rgb="00C5D5E8"/>
      </top>
      <bottom style="thin">
        <color rgb="00C5D5E8"/>
      </bottom>
    </border>
    <border>
      <left/>
      <right/>
      <top style="thin">
        <color rgb="00C5D5E8"/>
      </top>
      <bottom/>
      <diagonal/>
    </border>
    <border>
      <left/>
      <right style="thin">
        <color rgb="00C5D5E8"/>
      </right>
      <top style="thin">
        <color rgb="00C5D5E8"/>
      </top>
      <bottom/>
      <diagonal/>
    </border>
    <border>
      <left/>
      <right/>
      <top style="thin">
        <color rgb="00C5D5E8"/>
      </top>
      <bottom style="thin">
        <color rgb="00C5D5E8"/>
      </bottom>
      <diagonal/>
    </border>
    <border>
      <left/>
      <right style="thin">
        <color rgb="00C5D5E8"/>
      </right>
      <top style="thin">
        <color rgb="00C5D5E8"/>
      </top>
      <bottom style="thin">
        <color rgb="00C5D5E8"/>
      </bottom>
      <diagonal/>
    </border>
  </borders>
  <cellStyleXfs count="1">
    <xf numFmtId="0" fontId="0" fillId="0" borderId="0"/>
  </cellStyleXfs>
  <cellXfs count="10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3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3" fontId="8" fillId="6" borderId="1" applyAlignment="1" pivotButton="0" quotePrefix="0" xfId="0">
      <alignment horizontal="center" vertical="center"/>
    </xf>
    <xf numFmtId="3" fontId="8" fillId="6" borderId="1" applyAlignment="1" pivotButton="0" quotePrefix="0" xfId="0">
      <alignment horizontal="right" vertical="center"/>
    </xf>
    <xf numFmtId="3" fontId="8" fillId="7" borderId="1" applyAlignment="1" pivotButton="0" quotePrefix="0" xfId="0">
      <alignment horizontal="right" vertical="center"/>
    </xf>
    <xf numFmtId="3" fontId="6" fillId="7" borderId="1" applyAlignment="1" pivotButton="0" quotePrefix="0" xfId="0">
      <alignment horizontal="right" vertical="center"/>
    </xf>
    <xf numFmtId="164" fontId="8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3" fontId="6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3" fontId="8" fillId="8" borderId="1" applyAlignment="1" pivotButton="0" quotePrefix="0" xfId="0">
      <alignment horizontal="center" vertical="center"/>
    </xf>
    <xf numFmtId="3" fontId="8" fillId="8" borderId="1" applyAlignment="1" pivotButton="0" quotePrefix="0" xfId="0">
      <alignment horizontal="right" vertical="center"/>
    </xf>
    <xf numFmtId="0" fontId="4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3" fontId="6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left" vertical="center"/>
    </xf>
    <xf numFmtId="3" fontId="8" fillId="10" borderId="1" applyAlignment="1" pivotButton="0" quotePrefix="0" xfId="0">
      <alignment horizontal="center" vertical="center"/>
    </xf>
    <xf numFmtId="3" fontId="8" fillId="10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/>
    </xf>
    <xf numFmtId="3" fontId="11" fillId="6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3" fontId="11" fillId="8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center" vertical="center"/>
    </xf>
    <xf numFmtId="3" fontId="11" fillId="10" borderId="1" applyAlignment="1" pivotButton="0" quotePrefix="0" xfId="0">
      <alignment horizontal="right" vertical="center"/>
    </xf>
    <xf numFmtId="0" fontId="12" fillId="7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3" fontId="7" fillId="7" borderId="1" applyAlignment="1" pivotButton="0" quotePrefix="0" xfId="0">
      <alignment horizontal="right" vertical="center"/>
    </xf>
    <xf numFmtId="3" fontId="8" fillId="14" borderId="1" applyAlignment="1" pivotButton="0" quotePrefix="0" xfId="0">
      <alignment horizontal="right" vertical="center"/>
    </xf>
    <xf numFmtId="3" fontId="7" fillId="15" borderId="1" applyAlignment="1" pivotButton="0" quotePrefix="0" xfId="0">
      <alignment horizontal="right" vertical="center"/>
    </xf>
    <xf numFmtId="3" fontId="4" fillId="15" borderId="1" applyAlignment="1" pivotButton="0" quotePrefix="0" xfId="0">
      <alignment horizontal="right" vertical="center"/>
    </xf>
    <xf numFmtId="164" fontId="4" fillId="10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165" fontId="7" fillId="6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  <xf numFmtId="165" fontId="7" fillId="8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  <xf numFmtId="165" fontId="7" fillId="10" borderId="1" applyAlignment="1" pivotButton="0" quotePrefix="0" xfId="0">
      <alignment horizontal="center" vertical="center"/>
    </xf>
    <xf numFmtId="0" fontId="7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horizontal="left" vertical="center"/>
    </xf>
    <xf numFmtId="0" fontId="7" fillId="16" borderId="1" applyAlignment="1" pivotButton="0" quotePrefix="0" xfId="0">
      <alignment horizontal="right" vertical="center"/>
    </xf>
    <xf numFmtId="3" fontId="11" fillId="16" borderId="1" applyAlignment="1" pivotButton="0" quotePrefix="0" xfId="0">
      <alignment horizontal="right" vertical="center"/>
    </xf>
    <xf numFmtId="164" fontId="11" fillId="10" borderId="1" applyAlignment="1" pivotButton="0" quotePrefix="0" xfId="0">
      <alignment horizontal="right" vertical="center"/>
    </xf>
    <xf numFmtId="49" fontId="7" fillId="10" borderId="1" applyAlignment="1" pivotButton="0" quotePrefix="0" xfId="0">
      <alignment horizontal="center" vertical="center"/>
    </xf>
    <xf numFmtId="0" fontId="7" fillId="17" borderId="1" applyAlignment="1" pivotButton="0" quotePrefix="0" xfId="0">
      <alignment horizontal="center" vertical="center"/>
    </xf>
    <xf numFmtId="0" fontId="7" fillId="17" borderId="1" applyAlignment="1" pivotButton="0" quotePrefix="0" xfId="0">
      <alignment horizontal="left" vertical="center"/>
    </xf>
    <xf numFmtId="0" fontId="7" fillId="17" borderId="1" applyAlignment="1" pivotButton="0" quotePrefix="0" xfId="0">
      <alignment horizontal="right" vertical="center"/>
    </xf>
    <xf numFmtId="3" fontId="11" fillId="17" borderId="1" applyAlignment="1" pivotButton="0" quotePrefix="0" xfId="0">
      <alignment horizontal="right" vertical="center"/>
    </xf>
    <xf numFmtId="0" fontId="13" fillId="17" borderId="1" applyAlignment="1" pivotButton="0" quotePrefix="0" xfId="0">
      <alignment horizontal="left" vertical="center"/>
    </xf>
    <xf numFmtId="0" fontId="4" fillId="16" borderId="1" applyAlignment="1" pivotButton="0" quotePrefix="0" xfId="0">
      <alignment horizontal="center" vertical="center"/>
    </xf>
    <xf numFmtId="3" fontId="7" fillId="16" borderId="1" applyAlignment="1" pivotButton="0" quotePrefix="0" xfId="0">
      <alignment horizontal="right" vertical="center"/>
    </xf>
    <xf numFmtId="3" fontId="4" fillId="16" borderId="1" applyAlignment="1" pivotButton="0" quotePrefix="0" xfId="0">
      <alignment horizontal="right" vertical="center"/>
    </xf>
    <xf numFmtId="0" fontId="4" fillId="17" borderId="1" applyAlignment="1" pivotButton="0" quotePrefix="0" xfId="0">
      <alignment horizontal="center" vertical="center"/>
    </xf>
    <xf numFmtId="3" fontId="7" fillId="17" borderId="1" applyAlignment="1" pivotButton="0" quotePrefix="0" xfId="0">
      <alignment horizontal="right" vertical="center"/>
    </xf>
    <xf numFmtId="3" fontId="4" fillId="17" borderId="1" applyAlignment="1" pivotButton="0" quotePrefix="0" xfId="0">
      <alignment horizontal="right" vertical="center"/>
    </xf>
    <xf numFmtId="0" fontId="6" fillId="16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center" vertical="center"/>
    </xf>
    <xf numFmtId="0" fontId="14" fillId="15" borderId="1" applyAlignment="1" pivotButton="0" quotePrefix="0" xfId="0">
      <alignment horizontal="left" vertical="center"/>
    </xf>
    <xf numFmtId="0" fontId="6" fillId="16" borderId="1" applyAlignment="1" pivotButton="0" quotePrefix="0" xfId="0">
      <alignment horizontal="left" vertical="center"/>
    </xf>
    <xf numFmtId="1" fontId="8" fillId="7" borderId="1" applyAlignment="1" pivotButton="0" quotePrefix="0" xfId="0">
      <alignment horizontal="center" vertical="center"/>
    </xf>
    <xf numFmtId="1" fontId="8" fillId="18" borderId="1" applyAlignment="1" pivotButton="0" quotePrefix="0" xfId="0">
      <alignment horizontal="center" vertical="center"/>
    </xf>
    <xf numFmtId="1" fontId="8" fillId="19" borderId="1" applyAlignment="1" pivotButton="0" quotePrefix="0" xfId="0">
      <alignment horizontal="center" vertical="center"/>
    </xf>
    <xf numFmtId="1" fontId="8" fillId="14" borderId="1" applyAlignment="1" pivotButton="0" quotePrefix="0" xfId="0">
      <alignment horizontal="center" vertical="center"/>
    </xf>
    <xf numFmtId="3" fontId="6" fillId="16" borderId="1" applyAlignment="1" pivotButton="0" quotePrefix="0" xfId="0">
      <alignment horizontal="right" vertical="center"/>
    </xf>
    <xf numFmtId="0" fontId="6" fillId="17" borderId="1" applyAlignment="1" pivotButton="0" quotePrefix="0" xfId="0">
      <alignment horizontal="left" vertical="center"/>
    </xf>
    <xf numFmtId="3" fontId="6" fillId="17" borderId="1" applyAlignment="1" pivotButton="0" quotePrefix="0" xfId="0">
      <alignment horizontal="right" vertical="center"/>
    </xf>
    <xf numFmtId="0" fontId="15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1" fontId="15" fillId="2" borderId="1" applyAlignment="1" pivotButton="0" quotePrefix="0" xfId="0">
      <alignment horizontal="right" vertical="center"/>
    </xf>
    <xf numFmtId="3" fontId="15" fillId="2" borderId="1" applyAlignment="1" pivotButton="0" quotePrefix="0" xfId="0">
      <alignment horizontal="right" vertical="center"/>
    </xf>
    <xf numFmtId="166" fontId="7" fillId="16" borderId="1" applyAlignment="1" pivotButton="0" quotePrefix="0" xfId="0">
      <alignment horizontal="right" vertical="center"/>
    </xf>
    <xf numFmtId="167" fontId="7" fillId="16" borderId="1" applyAlignment="1" pivotButton="0" quotePrefix="0" xfId="0">
      <alignment horizontal="right" vertical="center"/>
    </xf>
    <xf numFmtId="166" fontId="7" fillId="17" borderId="1" applyAlignment="1" pivotButton="0" quotePrefix="0" xfId="0">
      <alignment horizontal="right" vertical="center"/>
    </xf>
    <xf numFmtId="167" fontId="7" fillId="17" borderId="1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4">
    <dxf>
      <font>
        <b val="1"/>
        <color rgb="00145A32"/>
      </font>
      <fill>
        <patternFill patternType="solid">
          <fgColor rgb="00C8F7D4"/>
        </patternFill>
      </fill>
    </dxf>
    <dxf>
      <font>
        <b val="1"/>
        <color rgb="001A6B2E"/>
      </font>
      <fill>
        <patternFill patternType="solid">
          <fgColor rgb="00D4EDDA"/>
        </patternFill>
      </fill>
    </dxf>
    <dxf>
      <font>
        <b val="1"/>
        <color rgb="00856404"/>
      </font>
      <fill>
        <patternFill patternType="solid">
          <fgColor rgb="00FFF3CD"/>
        </patternFill>
      </fill>
    </dxf>
    <dxf>
      <font>
        <b val="1"/>
        <color rgb="008B0000"/>
      </font>
      <fill>
        <patternFill patternType="solid">
          <fgColor rgb="00FFE0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2B5E"/>
    <outlinePr summaryBelow="1" summaryRight="1"/>
    <pageSetUpPr/>
  </sheetPr>
  <dimension ref="A1:M6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14" customWidth="1" min="3" max="3"/>
    <col width="18" customWidth="1" min="4" max="4"/>
    <col width="14" customWidth="1" min="5" max="5"/>
    <col width="12" customWidth="1" min="6" max="6"/>
    <col width="14" customWidth="1" min="7" max="7"/>
    <col width="10" customWidth="1" min="8" max="8"/>
    <col width="14" customWidth="1" min="9" max="9"/>
    <col width="14" customWidth="1" min="10" max="10"/>
    <col width="16" customWidth="1" min="11" max="11"/>
    <col width="14" customWidth="1" min="12" max="12"/>
    <col width="12" customWidth="1" min="13" max="13"/>
  </cols>
  <sheetData>
    <row r="1" ht="36" customHeight="1">
      <c r="A1" s="1" t="inlineStr">
        <is>
          <t>民間廃棄物収集受託案件　案件マスタ</t>
        </is>
      </c>
    </row>
    <row r="2" ht="22" customHeight="1">
      <c r="A2" s="2" t="inlineStr">
        <is>
          <t>案件情報</t>
        </is>
      </c>
      <c r="B2" s="97" t="n"/>
      <c r="C2" s="97" t="n"/>
      <c r="D2" s="97" t="n"/>
      <c r="E2" s="97" t="n"/>
      <c r="F2" s="97" t="n"/>
      <c r="G2" s="98" t="n"/>
      <c r="H2" s="3" t="inlineStr">
        <is>
          <t>拠点規模</t>
        </is>
      </c>
      <c r="I2" s="97" t="n"/>
      <c r="J2" s="98" t="n"/>
      <c r="K2" s="4" t="inlineStr">
        <is>
          <t>売上参照（自動）</t>
        </is>
      </c>
      <c r="L2" s="97" t="n"/>
      <c r="M2" s="98" t="n"/>
    </row>
    <row r="3" ht="36" customHeight="1">
      <c r="A3" s="5" t="inlineStr">
        <is>
          <t>案件ID</t>
        </is>
      </c>
      <c r="B3" s="5" t="inlineStr">
        <is>
          <t>案件名</t>
        </is>
      </c>
      <c r="C3" s="5" t="inlineStr">
        <is>
          <t>カテゴリ</t>
        </is>
      </c>
      <c r="D3" s="5" t="inlineStr">
        <is>
          <t>担当プレフィックス</t>
        </is>
      </c>
      <c r="E3" s="5" t="inlineStr">
        <is>
          <t>ドライバー数</t>
        </is>
      </c>
      <c r="F3" s="5" t="inlineStr">
        <is>
          <t>ステータス</t>
        </is>
      </c>
      <c r="G3" s="5" t="inlineStr">
        <is>
          <t>備考</t>
        </is>
      </c>
      <c r="H3" s="5" t="inlineStr">
        <is>
          <t>拠点数</t>
        </is>
      </c>
      <c r="I3" s="5" t="inlineStr">
        <is>
          <t>週間回収量(kg)</t>
        </is>
      </c>
      <c r="J3" s="5" t="inlineStr">
        <is>
          <t>月間回収量(kg)</t>
        </is>
      </c>
      <c r="K3" s="5" t="inlineStr">
        <is>
          <t>直近月売上
(合計)</t>
        </is>
      </c>
      <c r="L3" s="5" t="inlineStr">
        <is>
          <t>直近月
原価(入力)</t>
        </is>
      </c>
      <c r="M3" s="5" t="inlineStr">
        <is>
          <t>直近月
粗利率</t>
        </is>
      </c>
    </row>
    <row r="4" ht="28" customHeight="1">
      <c r="A4" s="6" t="inlineStr">
        <is>
          <t>C001</t>
        </is>
      </c>
      <c r="B4" s="7" t="inlineStr">
        <is>
          <t>東急グループ案件</t>
        </is>
      </c>
      <c r="C4" s="8" t="inlineStr">
        <is>
          <t>東急グループ</t>
        </is>
      </c>
      <c r="D4" s="9" t="inlineStr">
        <is>
          <t>TK-</t>
        </is>
      </c>
      <c r="E4" s="10" t="n">
        <v>7</v>
      </c>
      <c r="F4" s="9" t="inlineStr">
        <is>
          <t>稼働中</t>
        </is>
      </c>
      <c r="G4" s="11" t="inlineStr"/>
      <c r="H4" s="12" t="n">
        <v>93</v>
      </c>
      <c r="I4" s="13" t="n">
        <v>6312</v>
      </c>
      <c r="J4" s="13">
        <f>I4*4.33</f>
        <v/>
      </c>
      <c r="K4" s="14">
        <f>IFERROR(SUMPRODUCT(IFERROR(VLOOKUP(MAX(⑤売上原票!$A$5:$A$100),⑤売上原票!$A:$P,{3,4,5,6,7,8,9,10,11,12,13},0),0)*IFERROR(INDEX(⑥科目マッピング!$D$5:$F$15,,1),0)/100),"算出中")</f>
        <v/>
      </c>
      <c r="L4" s="15" t="n">
        <v>0</v>
      </c>
      <c r="M4" s="16">
        <f>IF(AND(K4&lt;&gt;"算出中",L4&lt;&gt;0),(K4-L4)/K4,"")</f>
        <v/>
      </c>
    </row>
    <row r="5" ht="28" customHeight="1">
      <c r="A5" s="17" t="inlineStr">
        <is>
          <t>C002</t>
        </is>
      </c>
      <c r="B5" s="18" t="inlineStr">
        <is>
          <t>都営地下鉄案件</t>
        </is>
      </c>
      <c r="C5" s="19" t="inlineStr">
        <is>
          <t>都営地下鉄</t>
        </is>
      </c>
      <c r="D5" s="20" t="inlineStr">
        <is>
          <t>MT-</t>
        </is>
      </c>
      <c r="E5" s="21" t="n">
        <v>6</v>
      </c>
      <c r="F5" s="20" t="inlineStr">
        <is>
          <t>稼働中</t>
        </is>
      </c>
      <c r="G5" s="22" t="inlineStr"/>
      <c r="H5" s="23" t="n">
        <v>110</v>
      </c>
      <c r="I5" s="24" t="n">
        <v>8930</v>
      </c>
      <c r="J5" s="24">
        <f>I5*4.33</f>
        <v/>
      </c>
      <c r="K5" s="14">
        <f>IFERROR(SUMPRODUCT(IFERROR(VLOOKUP(MAX(⑤売上原票!$A$5:$A$100),⑤売上原票!$A:$P,{3,4,5,6,7,8,9,10,11,12,13},0),0)*IFERROR(INDEX(⑥科目マッピング!$D$5:$F$15,,2),0)/100),"算出中")</f>
        <v/>
      </c>
      <c r="L5" s="15" t="n">
        <v>0</v>
      </c>
      <c r="M5" s="16">
        <f>IF(AND(K5&lt;&gt;"算出中",L5&lt;&gt;0),(K5-L5)/K5,"")</f>
        <v/>
      </c>
    </row>
    <row r="6" ht="28" customHeight="1">
      <c r="A6" s="25" t="inlineStr">
        <is>
          <t>C003</t>
        </is>
      </c>
      <c r="B6" s="26" t="inlineStr">
        <is>
          <t>一般事業者案件</t>
        </is>
      </c>
      <c r="C6" s="27" t="inlineStr">
        <is>
          <t>一般事業者</t>
        </is>
      </c>
      <c r="D6" s="28" t="inlineStr">
        <is>
          <t>GN-</t>
        </is>
      </c>
      <c r="E6" s="29" t="n">
        <v>13</v>
      </c>
      <c r="F6" s="28" t="inlineStr">
        <is>
          <t>稼働中</t>
        </is>
      </c>
      <c r="G6" s="30" t="inlineStr"/>
      <c r="H6" s="31" t="n">
        <v>302</v>
      </c>
      <c r="I6" s="32" t="n">
        <v>37561</v>
      </c>
      <c r="J6" s="32">
        <f>I6*4.33</f>
        <v/>
      </c>
      <c r="K6" s="14">
        <f>IFERROR(SUMPRODUCT(IFERROR(VLOOKUP(MAX(⑤売上原票!$A$5:$A$100),⑤売上原票!$A:$P,{3,4,5,6,7,8,9,10,11,12,13},0),0)*IFERROR(INDEX(⑥科目マッピング!$D$5:$F$15,,3),0)/100),"算出中")</f>
        <v/>
      </c>
      <c r="L6" s="15" t="n">
        <v>0</v>
      </c>
      <c r="M6" s="16">
        <f>IF(AND(K6&lt;&gt;"算出中",L6&lt;&gt;0),(K6-L6)/K6,"")</f>
        <v/>
      </c>
    </row>
  </sheetData>
  <mergeCells count="4">
    <mergeCell ref="A2:G2"/>
    <mergeCell ref="A1:K1"/>
    <mergeCell ref="K2:M2"/>
    <mergeCell ref="H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565A8"/>
    <outlinePr summaryBelow="1" summaryRight="1"/>
    <pageSetUpPr/>
  </sheetPr>
  <dimension ref="A1:K508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14" customWidth="1" min="3" max="3"/>
    <col width="30" customWidth="1" min="4" max="4"/>
    <col width="14" customWidth="1" min="5" max="5"/>
    <col width="20" customWidth="1" min="6" max="6"/>
    <col width="22" customWidth="1" min="7" max="7"/>
    <col width="14" customWidth="1" min="8" max="8"/>
  </cols>
  <sheetData>
    <row r="1" ht="36" customHeight="1">
      <c r="A1" s="1" t="inlineStr">
        <is>
          <t>拠点マスター（505拠点）</t>
        </is>
      </c>
    </row>
    <row r="2" ht="22" customHeight="1">
      <c r="A2" s="2" t="inlineStr">
        <is>
          <t>拠点基本情報</t>
        </is>
      </c>
      <c r="B2" s="97" t="n"/>
      <c r="C2" s="97" t="n"/>
      <c r="D2" s="97" t="n"/>
      <c r="E2" s="97" t="n"/>
      <c r="F2" s="97" t="n"/>
      <c r="G2" s="97" t="n"/>
      <c r="H2" s="98" t="n"/>
    </row>
    <row r="3" ht="22" customHeight="1">
      <c r="A3" s="5" t="inlineStr">
        <is>
          <t>拠点コード</t>
        </is>
      </c>
      <c r="B3" s="5" t="inlineStr">
        <is>
          <t>拠点名</t>
        </is>
      </c>
      <c r="C3" s="5" t="inlineStr">
        <is>
          <t>カテゴリ</t>
        </is>
      </c>
      <c r="D3" s="5" t="inlineStr">
        <is>
          <t>住所</t>
        </is>
      </c>
      <c r="E3" s="5" t="inlineStr">
        <is>
          <t>回収曜日</t>
        </is>
      </c>
      <c r="F3" s="5" t="inlineStr">
        <is>
          <t>担当ドライバー</t>
        </is>
      </c>
      <c r="G3" s="5" t="inlineStr">
        <is>
          <t>廃棄物種別</t>
        </is>
      </c>
      <c r="H3" s="5" t="inlineStr">
        <is>
          <t>週間回収量(kg)</t>
        </is>
      </c>
    </row>
    <row r="4" ht="18" customHeight="1">
      <c r="A4" s="33" t="inlineStr">
        <is>
          <t>TK-001</t>
        </is>
      </c>
      <c r="B4" s="34" t="inlineStr">
        <is>
          <t>TOKS 不動前駅</t>
        </is>
      </c>
      <c r="C4" s="35" t="inlineStr">
        <is>
          <t>東急グループ</t>
        </is>
      </c>
      <c r="D4" s="36" t="inlineStr">
        <is>
          <t>東京都品川区西五反田５－１２－１</t>
        </is>
      </c>
      <c r="E4" s="37" t="inlineStr">
        <is>
          <t>金</t>
        </is>
      </c>
      <c r="F4" s="36" t="inlineStr">
        <is>
          <t>中條</t>
        </is>
      </c>
      <c r="G4" s="36" t="inlineStr">
        <is>
          <t>不燃物</t>
        </is>
      </c>
      <c r="H4" s="38" t="n">
        <v>5</v>
      </c>
    </row>
    <row r="5" ht="18" customHeight="1">
      <c r="A5" s="33" t="inlineStr">
        <is>
          <t>TK-002</t>
        </is>
      </c>
      <c r="B5" s="34" t="inlineStr">
        <is>
          <t>TOKS　中目黒駅</t>
        </is>
      </c>
      <c r="C5" s="35" t="inlineStr">
        <is>
          <t>東急グループ</t>
        </is>
      </c>
      <c r="D5" s="36" t="inlineStr">
        <is>
          <t>東京都目黒区上目黒３－４－１</t>
        </is>
      </c>
      <c r="E5" s="37" t="inlineStr">
        <is>
          <t>土・月・木・水・火・金</t>
        </is>
      </c>
      <c r="F5" s="36" t="inlineStr">
        <is>
          <t>千葉・長谷川</t>
        </is>
      </c>
      <c r="G5" s="36" t="inlineStr">
        <is>
          <t>一般廃・産廃</t>
        </is>
      </c>
      <c r="H5" s="38" t="n">
        <v>98</v>
      </c>
    </row>
    <row r="6" ht="18" customHeight="1">
      <c r="A6" s="33" t="inlineStr">
        <is>
          <t>TK-003</t>
        </is>
      </c>
      <c r="B6" s="34" t="inlineStr">
        <is>
          <t>TOKS　二子玉川駅</t>
        </is>
      </c>
      <c r="C6" s="35" t="inlineStr">
        <is>
          <t>東急グループ</t>
        </is>
      </c>
      <c r="D6" s="36" t="inlineStr">
        <is>
          <t>東京都世田谷区玉川２－２２－１３</t>
        </is>
      </c>
      <c r="E6" s="37" t="inlineStr">
        <is>
          <t>・日・木・火</t>
        </is>
      </c>
      <c r="F6" s="36" t="inlineStr">
        <is>
          <t>中條・千葉・長野</t>
        </is>
      </c>
      <c r="G6" s="36" t="inlineStr">
        <is>
          <t>一般廃・産廃</t>
        </is>
      </c>
      <c r="H6" s="38" t="n">
        <v>16</v>
      </c>
    </row>
    <row r="7" ht="18" customHeight="1">
      <c r="A7" s="33" t="inlineStr">
        <is>
          <t>TK-004</t>
        </is>
      </c>
      <c r="B7" s="34" t="inlineStr">
        <is>
          <t>TOKS　五反田駅店</t>
        </is>
      </c>
      <c r="C7" s="35" t="inlineStr">
        <is>
          <t>東急グループ</t>
        </is>
      </c>
      <c r="D7" s="36" t="inlineStr">
        <is>
          <t>東京都品川区東五反田２－１－１</t>
        </is>
      </c>
      <c r="E7" s="37" t="inlineStr">
        <is>
          <t>木・火・金</t>
        </is>
      </c>
      <c r="F7" s="36" t="inlineStr">
        <is>
          <t>中條</t>
        </is>
      </c>
      <c r="G7" s="36" t="inlineStr">
        <is>
          <t>不燃物・瓶缶・資源</t>
        </is>
      </c>
      <c r="H7" s="38" t="n">
        <v>10</v>
      </c>
    </row>
    <row r="8" ht="18" customHeight="1">
      <c r="A8" s="33" t="inlineStr">
        <is>
          <t>TK-005</t>
        </is>
      </c>
      <c r="B8" s="34" t="inlineStr">
        <is>
          <t>TOKS　代官山駅</t>
        </is>
      </c>
      <c r="C8" s="35" t="inlineStr">
        <is>
          <t>東急グループ</t>
        </is>
      </c>
      <c r="D8" s="36" t="inlineStr">
        <is>
          <t>東京都渋谷区代官山町１９－１</t>
        </is>
      </c>
      <c r="E8" s="37" t="inlineStr">
        <is>
          <t>土</t>
        </is>
      </c>
      <c r="F8" s="36" t="inlineStr">
        <is>
          <t>長野</t>
        </is>
      </c>
      <c r="G8" s="36" t="inlineStr">
        <is>
          <t>産廃</t>
        </is>
      </c>
      <c r="H8" s="38" t="n">
        <v>10</v>
      </c>
    </row>
    <row r="9" ht="18" customHeight="1">
      <c r="A9" s="33" t="inlineStr">
        <is>
          <t>TK-006</t>
        </is>
      </c>
      <c r="B9" s="34" t="inlineStr">
        <is>
          <t>TOKS　学芸大学駅</t>
        </is>
      </c>
      <c r="C9" s="35" t="inlineStr">
        <is>
          <t>東急グループ</t>
        </is>
      </c>
      <c r="D9" s="36" t="inlineStr">
        <is>
          <t>東京都目黒区鷹番３－２－１</t>
        </is>
      </c>
      <c r="E9" s="37" t="inlineStr">
        <is>
          <t>・土・月・木・水・火・金</t>
        </is>
      </c>
      <c r="F9" s="36" t="inlineStr">
        <is>
          <t>千葉・長谷川</t>
        </is>
      </c>
      <c r="G9" s="36" t="inlineStr">
        <is>
          <t>一般廃・産廃</t>
        </is>
      </c>
      <c r="H9" s="38" t="n">
        <v>56</v>
      </c>
    </row>
    <row r="10" ht="18" customHeight="1">
      <c r="A10" s="33" t="inlineStr">
        <is>
          <t>TK-007</t>
        </is>
      </c>
      <c r="B10" s="34" t="inlineStr">
        <is>
          <t>TOKS　用賀駅</t>
        </is>
      </c>
      <c r="C10" s="35" t="inlineStr">
        <is>
          <t>東急グループ</t>
        </is>
      </c>
      <c r="D10" s="36" t="inlineStr">
        <is>
          <t>東京都世田谷区用賀２－３９</t>
        </is>
      </c>
      <c r="E10" s="37" t="inlineStr">
        <is>
          <t>木</t>
        </is>
      </c>
      <c r="F10" s="36" t="inlineStr">
        <is>
          <t>長野</t>
        </is>
      </c>
      <c r="G10" s="36" t="inlineStr">
        <is>
          <t>産廃</t>
        </is>
      </c>
      <c r="H10" s="38" t="n">
        <v>20</v>
      </c>
    </row>
    <row r="11" ht="18" customHeight="1">
      <c r="A11" s="33" t="inlineStr">
        <is>
          <t>TK-008</t>
        </is>
      </c>
      <c r="B11" s="34" t="inlineStr">
        <is>
          <t>TOKS　田園都市渋谷駅</t>
        </is>
      </c>
      <c r="C11" s="35" t="inlineStr">
        <is>
          <t>東急グループ</t>
        </is>
      </c>
      <c r="D11" s="36" t="inlineStr">
        <is>
          <t>東京都渋谷区道玄坂２－１－１</t>
        </is>
      </c>
      <c r="E11" s="37" t="inlineStr">
        <is>
          <t>土・月・水・金</t>
        </is>
      </c>
      <c r="F11" s="36" t="inlineStr">
        <is>
          <t>和田・荻野・長野</t>
        </is>
      </c>
      <c r="G11" s="36" t="inlineStr">
        <is>
          <t>段ボール・産廃</t>
        </is>
      </c>
      <c r="H11" s="38" t="n">
        <v>14</v>
      </c>
    </row>
    <row r="12" ht="18" customHeight="1">
      <c r="A12" s="33" t="inlineStr">
        <is>
          <t>TK-009</t>
        </is>
      </c>
      <c r="B12" s="34" t="inlineStr">
        <is>
          <t>TOKS　目黒駅</t>
        </is>
      </c>
      <c r="C12" s="35" t="inlineStr">
        <is>
          <t>東急グループ</t>
        </is>
      </c>
      <c r="D12" s="36" t="inlineStr">
        <is>
          <t>東京都品川区上大崎４－２－１</t>
        </is>
      </c>
      <c r="E12" s="37" t="inlineStr">
        <is>
          <t>水・金</t>
        </is>
      </c>
      <c r="F12" s="36" t="inlineStr">
        <is>
          <t>中條・千葉</t>
        </is>
      </c>
      <c r="G12" s="36" t="inlineStr">
        <is>
          <t>瓶缶・産廃</t>
        </is>
      </c>
      <c r="H12" s="38" t="n">
        <v>3</v>
      </c>
    </row>
    <row r="13" ht="18" customHeight="1">
      <c r="A13" s="33" t="inlineStr">
        <is>
          <t>TK-010</t>
        </is>
      </c>
      <c r="B13" s="34" t="inlineStr">
        <is>
          <t>TOKS　蒲田改札口店</t>
        </is>
      </c>
      <c r="C13" s="35" t="inlineStr">
        <is>
          <t>東急グループ</t>
        </is>
      </c>
      <c r="D13" s="36" t="inlineStr">
        <is>
          <t>東京都大田区西蒲田７－６９－１</t>
        </is>
      </c>
      <c r="E13" s="37" t="inlineStr">
        <is>
          <t>水</t>
        </is>
      </c>
      <c r="F13" s="36" t="inlineStr">
        <is>
          <t>千葉</t>
        </is>
      </c>
      <c r="G13" s="36" t="inlineStr">
        <is>
          <t>産廃</t>
        </is>
      </c>
      <c r="H13" s="38" t="n">
        <v>20</v>
      </c>
    </row>
    <row r="14" ht="18" customHeight="1">
      <c r="A14" s="33" t="inlineStr">
        <is>
          <t>TK-011</t>
        </is>
      </c>
      <c r="B14" s="34" t="inlineStr">
        <is>
          <t>ローソン＋TOKS　三軒茶屋店</t>
        </is>
      </c>
      <c r="C14" s="35" t="inlineStr">
        <is>
          <t>東急グループ</t>
        </is>
      </c>
      <c r="D14" s="36" t="inlineStr">
        <is>
          <t>東京都世田谷区太子堂２－１５</t>
        </is>
      </c>
      <c r="E14" s="37" t="inlineStr"/>
      <c r="F14" s="36" t="inlineStr">
        <is>
          <t>千葉</t>
        </is>
      </c>
      <c r="G14" s="36" t="inlineStr">
        <is>
          <t>産廃</t>
        </is>
      </c>
      <c r="H14" s="38" t="n">
        <v>40</v>
      </c>
    </row>
    <row r="15" ht="18" customHeight="1">
      <c r="A15" s="33" t="inlineStr">
        <is>
          <t>TK-012</t>
        </is>
      </c>
      <c r="B15" s="34" t="inlineStr">
        <is>
          <t>ローソン＋TOKS　多摩川駅店</t>
        </is>
      </c>
      <c r="C15" s="35" t="inlineStr">
        <is>
          <t>東急グループ</t>
        </is>
      </c>
      <c r="D15" s="36" t="inlineStr">
        <is>
          <t>東京都大田区田園調布１－５３－８</t>
        </is>
      </c>
      <c r="E15" s="37" t="inlineStr">
        <is>
          <t>土・木</t>
        </is>
      </c>
      <c r="F15" s="36" t="inlineStr">
        <is>
          <t>和田・荻野・長野</t>
        </is>
      </c>
      <c r="G15" s="36" t="inlineStr">
        <is>
          <t>段ボール・産廃</t>
        </is>
      </c>
      <c r="H15" s="38" t="n">
        <v>120</v>
      </c>
    </row>
    <row r="16" ht="18" customHeight="1">
      <c r="A16" s="33" t="inlineStr">
        <is>
          <t>TK-013</t>
        </is>
      </c>
      <c r="B16" s="34" t="inlineStr">
        <is>
          <t>ローソン＋TOKS　大井町駅</t>
        </is>
      </c>
      <c r="C16" s="35" t="inlineStr">
        <is>
          <t>東急グループ</t>
        </is>
      </c>
      <c r="D16" s="36" t="inlineStr">
        <is>
          <t>東京都品川区大井１－１－１</t>
        </is>
      </c>
      <c r="E16" s="37" t="inlineStr">
        <is>
          <t>月・木・水・金</t>
        </is>
      </c>
      <c r="F16" s="36" t="inlineStr">
        <is>
          <t>中條・千葉</t>
        </is>
      </c>
      <c r="G16" s="36" t="inlineStr">
        <is>
          <t>段ボール・産廃</t>
        </is>
      </c>
      <c r="H16" s="38" t="n">
        <v>109</v>
      </c>
    </row>
    <row r="17" ht="18" customHeight="1">
      <c r="A17" s="33" t="inlineStr">
        <is>
          <t>TK-014</t>
        </is>
      </c>
      <c r="B17" s="34" t="inlineStr">
        <is>
          <t>ローソン＋TOKS　田園調布駅</t>
        </is>
      </c>
      <c r="C17" s="35" t="inlineStr">
        <is>
          <t>東急グループ</t>
        </is>
      </c>
      <c r="D17" s="36" t="inlineStr">
        <is>
          <t>東京都大田区田園調布３－２５－１８</t>
        </is>
      </c>
      <c r="E17" s="37" t="inlineStr">
        <is>
          <t>・木・火</t>
        </is>
      </c>
      <c r="F17" s="36" t="inlineStr">
        <is>
          <t>千葉・長野</t>
        </is>
      </c>
      <c r="G17" s="36" t="inlineStr">
        <is>
          <t>産廃</t>
        </is>
      </c>
      <c r="H17" s="38" t="n">
        <v>0</v>
      </c>
    </row>
    <row r="18" ht="18" customHeight="1">
      <c r="A18" s="33" t="inlineStr">
        <is>
          <t>TK-015</t>
        </is>
      </c>
      <c r="B18" s="34" t="inlineStr">
        <is>
          <t>ローソン＋TOKS　石川台店</t>
        </is>
      </c>
      <c r="C18" s="35" t="inlineStr">
        <is>
          <t>東急グループ</t>
        </is>
      </c>
      <c r="D18" s="36" t="inlineStr">
        <is>
          <t>東京都大田区東雪谷２－２３－１</t>
        </is>
      </c>
      <c r="E18" s="37" t="inlineStr">
        <is>
          <t>・土・月・木・水・火・金</t>
        </is>
      </c>
      <c r="F18" s="36" t="inlineStr">
        <is>
          <t>中條・千葉・藤内</t>
        </is>
      </c>
      <c r="G18" s="36" t="inlineStr">
        <is>
          <t>段ボール・産廃・資源</t>
        </is>
      </c>
      <c r="H18" s="38" t="n">
        <v>180</v>
      </c>
    </row>
    <row r="19" ht="18" customHeight="1">
      <c r="A19" s="33" t="inlineStr">
        <is>
          <t>TK-016</t>
        </is>
      </c>
      <c r="B19" s="34" t="inlineStr">
        <is>
          <t>ローソン＋TOKS　自由が丘駅</t>
        </is>
      </c>
      <c r="C19" s="35" t="inlineStr">
        <is>
          <t>東急グループ</t>
        </is>
      </c>
      <c r="D19" s="36" t="inlineStr">
        <is>
          <t>東京都目黒区自由が丘１－３０－１</t>
        </is>
      </c>
      <c r="E19" s="37" t="inlineStr">
        <is>
          <t>・日・木・火</t>
        </is>
      </c>
      <c r="F19" s="36" t="inlineStr">
        <is>
          <t>中條・千葉</t>
        </is>
      </c>
      <c r="G19" s="36" t="inlineStr">
        <is>
          <t>一般廃・産廃</t>
        </is>
      </c>
      <c r="H19" s="38" t="n">
        <v>53</v>
      </c>
    </row>
    <row r="20" ht="18" customHeight="1">
      <c r="A20" s="33" t="inlineStr">
        <is>
          <t>TK-017</t>
        </is>
      </c>
      <c r="B20" s="34" t="inlineStr">
        <is>
          <t>ローソン＋toks 三軒茶屋店</t>
        </is>
      </c>
      <c r="C20" s="35" t="inlineStr">
        <is>
          <t>東急グループ</t>
        </is>
      </c>
      <c r="D20" s="36" t="inlineStr">
        <is>
          <t>東京都世田谷区太子堂２－１５</t>
        </is>
      </c>
      <c r="E20" s="37" t="inlineStr">
        <is>
          <t>土・月・木・火</t>
        </is>
      </c>
      <c r="F20" s="36" t="inlineStr">
        <is>
          <t>中條・和田・荻野・長野</t>
        </is>
      </c>
      <c r="G20" s="36" t="inlineStr">
        <is>
          <t>段ボール・産廃・資源</t>
        </is>
      </c>
      <c r="H20" s="38" t="n">
        <v>85</v>
      </c>
    </row>
    <row r="21" ht="18" customHeight="1">
      <c r="A21" s="33" t="inlineStr">
        <is>
          <t>TK-018</t>
        </is>
      </c>
      <c r="B21" s="34" t="inlineStr">
        <is>
          <t>東急ウェルネス本社事務所</t>
        </is>
      </c>
      <c r="C21" s="35" t="inlineStr">
        <is>
          <t>東急グループ</t>
        </is>
      </c>
      <c r="D21" s="36" t="inlineStr">
        <is>
          <t>東京都品川区平塚２－１８－１９</t>
        </is>
      </c>
      <c r="E21" s="37" t="inlineStr">
        <is>
          <t>金</t>
        </is>
      </c>
      <c r="F21" s="36" t="inlineStr">
        <is>
          <t>中條</t>
        </is>
      </c>
      <c r="G21" s="36" t="inlineStr">
        <is>
          <t>瓶缶</t>
        </is>
      </c>
      <c r="H21" s="38" t="n">
        <v>6</v>
      </c>
    </row>
    <row r="22" ht="18" customHeight="1">
      <c r="A22" s="33" t="inlineStr">
        <is>
          <t>TK-019</t>
        </is>
      </c>
      <c r="B22" s="34" t="inlineStr">
        <is>
          <t>東急グルメフロント</t>
        </is>
      </c>
      <c r="C22" s="35" t="inlineStr">
        <is>
          <t>東急グループ</t>
        </is>
      </c>
      <c r="D22" s="36" t="inlineStr">
        <is>
          <t>東京都目黒区碑文谷６－７－２２</t>
        </is>
      </c>
      <c r="E22" s="37" t="inlineStr">
        <is>
          <t>土・月・木・水・火・金</t>
        </is>
      </c>
      <c r="F22" s="36" t="inlineStr">
        <is>
          <t>千葉・長谷川</t>
        </is>
      </c>
      <c r="G22" s="36" t="inlineStr">
        <is>
          <t>一般廃・産廃</t>
        </is>
      </c>
      <c r="H22" s="38" t="n">
        <v>230</v>
      </c>
    </row>
    <row r="23" ht="18" customHeight="1">
      <c r="A23" s="33" t="inlineStr">
        <is>
          <t>TK-020</t>
        </is>
      </c>
      <c r="B23" s="34" t="inlineStr">
        <is>
          <t>東急ストア　二子玉川駅構内店</t>
        </is>
      </c>
      <c r="C23" s="35" t="inlineStr">
        <is>
          <t>東急グループ</t>
        </is>
      </c>
      <c r="D23" s="36" t="inlineStr">
        <is>
          <t>東京都世田谷区玉川２－２２－１３</t>
        </is>
      </c>
      <c r="E23" s="37" t="inlineStr">
        <is>
          <t>・日・木・火</t>
        </is>
      </c>
      <c r="F23" s="36" t="inlineStr">
        <is>
          <t>中條・千葉・長野</t>
        </is>
      </c>
      <c r="G23" s="36" t="inlineStr">
        <is>
          <t>一般廃・産廃</t>
        </is>
      </c>
      <c r="H23" s="38" t="n">
        <v>22</v>
      </c>
    </row>
    <row r="24" ht="18" customHeight="1">
      <c r="A24" s="33" t="inlineStr">
        <is>
          <t>TK-021</t>
        </is>
      </c>
      <c r="B24" s="34" t="inlineStr">
        <is>
          <t>東急ストア　自由が丘駅構内</t>
        </is>
      </c>
      <c r="C24" s="35" t="inlineStr">
        <is>
          <t>東急グループ</t>
        </is>
      </c>
      <c r="D24" s="36" t="inlineStr">
        <is>
          <t>東京都目黒区自由が丘１－３０－１</t>
        </is>
      </c>
      <c r="E24" s="37" t="inlineStr">
        <is>
          <t>・木・火</t>
        </is>
      </c>
      <c r="F24" s="36" t="inlineStr">
        <is>
          <t>千葉</t>
        </is>
      </c>
      <c r="G24" s="36" t="inlineStr">
        <is>
          <t>産廃</t>
        </is>
      </c>
      <c r="H24" s="38" t="n">
        <v>18</v>
      </c>
    </row>
    <row r="25" ht="18" customHeight="1">
      <c r="A25" s="33" t="inlineStr">
        <is>
          <t>TK-022</t>
        </is>
      </c>
      <c r="B25" s="34" t="inlineStr">
        <is>
          <t>東急プロパティマネジメントサポートセンター</t>
        </is>
      </c>
      <c r="C25" s="35" t="inlineStr">
        <is>
          <t>東急グループ</t>
        </is>
      </c>
      <c r="D25" s="36" t="inlineStr">
        <is>
          <t>東京都世田谷区玉川１－１１－５</t>
        </is>
      </c>
      <c r="E25" s="37" t="inlineStr">
        <is>
          <t>・土・木・火</t>
        </is>
      </c>
      <c r="F25" s="36" t="inlineStr">
        <is>
          <t>千葉・和田・荻野・長野</t>
        </is>
      </c>
      <c r="G25" s="36" t="inlineStr">
        <is>
          <t>段ボール・産廃</t>
        </is>
      </c>
      <c r="H25" s="38" t="n">
        <v>60</v>
      </c>
    </row>
    <row r="26" ht="18" customHeight="1">
      <c r="A26" s="33" t="inlineStr">
        <is>
          <t>TK-023</t>
        </is>
      </c>
      <c r="B26" s="34" t="inlineStr">
        <is>
          <t>東急プロパティマネジメント多摩川班</t>
        </is>
      </c>
      <c r="C26" s="35" t="inlineStr">
        <is>
          <t>東急グループ</t>
        </is>
      </c>
      <c r="D26" s="36" t="inlineStr">
        <is>
          <t>東京都大田区田園調布１－５３－８</t>
        </is>
      </c>
      <c r="E26" s="37" t="inlineStr">
        <is>
          <t>・土・木・火</t>
        </is>
      </c>
      <c r="F26" s="36" t="inlineStr">
        <is>
          <t>中條・千葉・和田・荻野・長野</t>
        </is>
      </c>
      <c r="G26" s="36" t="inlineStr">
        <is>
          <t>段ボール・産廃・資源</t>
        </is>
      </c>
      <c r="H26" s="38" t="n">
        <v>90</v>
      </c>
    </row>
    <row r="27" ht="18" customHeight="1">
      <c r="A27" s="33" t="inlineStr">
        <is>
          <t>TK-024</t>
        </is>
      </c>
      <c r="B27" s="34" t="inlineStr">
        <is>
          <t>東急プロパティマネジメント大井班</t>
        </is>
      </c>
      <c r="C27" s="35" t="inlineStr">
        <is>
          <t>東急グループ</t>
        </is>
      </c>
      <c r="D27" s="36" t="inlineStr">
        <is>
          <t>東京都品川区西品川１－２９－６</t>
        </is>
      </c>
      <c r="E27" s="37" t="inlineStr">
        <is>
          <t>水・金</t>
        </is>
      </c>
      <c r="F27" s="36" t="inlineStr">
        <is>
          <t>中條・千葉</t>
        </is>
      </c>
      <c r="G27" s="36" t="inlineStr">
        <is>
          <t>不燃物・産廃</t>
        </is>
      </c>
      <c r="H27" s="38" t="n">
        <v>2</v>
      </c>
    </row>
    <row r="28" ht="18" customHeight="1">
      <c r="A28" s="33" t="inlineStr">
        <is>
          <t>TK-025</t>
        </is>
      </c>
      <c r="B28" s="34" t="inlineStr">
        <is>
          <t>東急プロパティマネジメント渋谷班</t>
        </is>
      </c>
      <c r="C28" s="35" t="inlineStr">
        <is>
          <t>東急グループ</t>
        </is>
      </c>
      <c r="D28" s="36" t="inlineStr">
        <is>
          <t>東京都渋谷区道玄坂２－１－１</t>
        </is>
      </c>
      <c r="E28" s="37" t="inlineStr">
        <is>
          <t>土・月・木・水・火・金</t>
        </is>
      </c>
      <c r="F28" s="36" t="inlineStr">
        <is>
          <t>中條・千葉・和田・荻野・長野</t>
        </is>
      </c>
      <c r="G28" s="36" t="inlineStr">
        <is>
          <t>段ボール・産廃・資源</t>
        </is>
      </c>
      <c r="H28" s="38" t="n">
        <v>84</v>
      </c>
    </row>
    <row r="29" ht="18" customHeight="1">
      <c r="A29" s="33" t="inlineStr">
        <is>
          <t>TK-026</t>
        </is>
      </c>
      <c r="B29" s="34" t="inlineStr">
        <is>
          <t>東急大井町駅建物（共用部）</t>
        </is>
      </c>
      <c r="C29" s="35" t="inlineStr">
        <is>
          <t>東急グループ</t>
        </is>
      </c>
      <c r="D29" s="36" t="inlineStr">
        <is>
          <t>東京都品川区大井１－１－１</t>
        </is>
      </c>
      <c r="E29" s="37" t="inlineStr">
        <is>
          <t>月・木・水・金</t>
        </is>
      </c>
      <c r="F29" s="36" t="inlineStr">
        <is>
          <t>中條・千葉</t>
        </is>
      </c>
      <c r="G29" s="36" t="inlineStr">
        <is>
          <t>段ボール・産廃</t>
        </is>
      </c>
      <c r="H29" s="38" t="n">
        <v>40</v>
      </c>
    </row>
    <row r="30" ht="18" customHeight="1">
      <c r="A30" s="33" t="inlineStr">
        <is>
          <t>TK-027</t>
        </is>
      </c>
      <c r="B30" s="34" t="inlineStr">
        <is>
          <t>東急都立大学高架下共用部</t>
        </is>
      </c>
      <c r="C30" s="35" t="inlineStr">
        <is>
          <t>東急グループ</t>
        </is>
      </c>
      <c r="D30" s="36" t="inlineStr">
        <is>
          <t>東京都目黒区中根１－５－２　都立大高架下B７区画</t>
        </is>
      </c>
      <c r="E30" s="37" t="inlineStr">
        <is>
          <t>金</t>
        </is>
      </c>
      <c r="F30" s="36" t="inlineStr">
        <is>
          <t>中條</t>
        </is>
      </c>
      <c r="G30" s="36" t="inlineStr">
        <is>
          <t>不燃物</t>
        </is>
      </c>
      <c r="H30" s="38" t="n">
        <v>0</v>
      </c>
    </row>
    <row r="31" ht="18" customHeight="1">
      <c r="A31" s="33" t="inlineStr">
        <is>
          <t>TK-028</t>
        </is>
      </c>
      <c r="B31" s="34" t="inlineStr">
        <is>
          <t>東急雪が谷大塚駅</t>
        </is>
      </c>
      <c r="C31" s="35" t="inlineStr">
        <is>
          <t>東急グループ</t>
        </is>
      </c>
      <c r="D31" s="36" t="inlineStr">
        <is>
          <t>東京都大田区南雪谷２－２－１６</t>
        </is>
      </c>
      <c r="E31" s="37" t="inlineStr">
        <is>
          <t>・月・木・火</t>
        </is>
      </c>
      <c r="F31" s="36" t="inlineStr">
        <is>
          <t>中條・千葉</t>
        </is>
      </c>
      <c r="G31" s="36" t="inlineStr">
        <is>
          <t>段ボール・産廃</t>
        </is>
      </c>
      <c r="H31" s="38" t="n">
        <v>115</v>
      </c>
    </row>
    <row r="32" ht="18" customHeight="1">
      <c r="A32" s="33" t="inlineStr">
        <is>
          <t>TK-029</t>
        </is>
      </c>
      <c r="B32" s="34" t="inlineStr">
        <is>
          <t>東急電鉄　三軒茶屋（世田谷線）</t>
        </is>
      </c>
      <c r="C32" s="35" t="inlineStr">
        <is>
          <t>東急グループ</t>
        </is>
      </c>
      <c r="D32" s="36" t="inlineStr">
        <is>
          <t>東京都世田谷区太子堂４－１</t>
        </is>
      </c>
      <c r="E32" s="37" t="inlineStr"/>
      <c r="F32" s="36" t="inlineStr">
        <is>
          <t>千葉</t>
        </is>
      </c>
      <c r="G32" s="36" t="inlineStr">
        <is>
          <t>産廃</t>
        </is>
      </c>
      <c r="H32" s="38" t="n">
        <v>6</v>
      </c>
    </row>
    <row r="33" ht="18" customHeight="1">
      <c r="A33" s="33" t="inlineStr">
        <is>
          <t>TK-030</t>
        </is>
      </c>
      <c r="B33" s="34" t="inlineStr">
        <is>
          <t>東急電鉄　三軒茶屋（田園都市線）</t>
        </is>
      </c>
      <c r="C33" s="35" t="inlineStr">
        <is>
          <t>東急グループ</t>
        </is>
      </c>
      <c r="D33" s="36" t="inlineStr">
        <is>
          <t>東京都世田谷区太子堂２－１５</t>
        </is>
      </c>
      <c r="E33" s="37" t="inlineStr"/>
      <c r="F33" s="36" t="inlineStr">
        <is>
          <t>千葉</t>
        </is>
      </c>
      <c r="G33" s="36" t="inlineStr">
        <is>
          <t>産廃</t>
        </is>
      </c>
      <c r="H33" s="38" t="n">
        <v>60</v>
      </c>
    </row>
    <row r="34" ht="18" customHeight="1">
      <c r="A34" s="33" t="inlineStr">
        <is>
          <t>TK-031</t>
        </is>
      </c>
      <c r="B34" s="34" t="inlineStr">
        <is>
          <t>東急電鉄　上町駅</t>
        </is>
      </c>
      <c r="C34" s="35" t="inlineStr">
        <is>
          <t>東急グループ</t>
        </is>
      </c>
      <c r="D34" s="36" t="inlineStr">
        <is>
          <t>東京都世田谷区世田谷３－４－３</t>
        </is>
      </c>
      <c r="E34" s="37" t="inlineStr"/>
      <c r="F34" s="36" t="inlineStr">
        <is>
          <t>千葉</t>
        </is>
      </c>
      <c r="G34" s="36" t="inlineStr">
        <is>
          <t>産廃</t>
        </is>
      </c>
      <c r="H34" s="38" t="n">
        <v>0</v>
      </c>
    </row>
    <row r="35" ht="18" customHeight="1">
      <c r="A35" s="33" t="inlineStr">
        <is>
          <t>TK-032</t>
        </is>
      </c>
      <c r="B35" s="34" t="inlineStr">
        <is>
          <t>東急電鉄　下丸子駅</t>
        </is>
      </c>
      <c r="C35" s="35" t="inlineStr">
        <is>
          <t>東急グループ</t>
        </is>
      </c>
      <c r="D35" s="36" t="inlineStr">
        <is>
          <t>東京都大田区下丸子３－７－１</t>
        </is>
      </c>
      <c r="E35" s="37" t="inlineStr">
        <is>
          <t>火</t>
        </is>
      </c>
      <c r="F35" s="36" t="inlineStr">
        <is>
          <t>千葉</t>
        </is>
      </c>
      <c r="G35" s="36" t="inlineStr">
        <is>
          <t>産廃</t>
        </is>
      </c>
      <c r="H35" s="38" t="n">
        <v>40</v>
      </c>
    </row>
    <row r="36" ht="18" customHeight="1">
      <c r="A36" s="33" t="inlineStr">
        <is>
          <t>TK-033</t>
        </is>
      </c>
      <c r="B36" s="34" t="inlineStr">
        <is>
          <t>東急電鉄　下神明駅</t>
        </is>
      </c>
      <c r="C36" s="35" t="inlineStr">
        <is>
          <t>東急グループ</t>
        </is>
      </c>
      <c r="D36" s="36" t="inlineStr">
        <is>
          <t>東京都品川区西品川１－２９－６</t>
        </is>
      </c>
      <c r="E36" s="37" t="inlineStr">
        <is>
          <t>金</t>
        </is>
      </c>
      <c r="F36" s="36" t="inlineStr">
        <is>
          <t>中條</t>
        </is>
      </c>
      <c r="G36" s="36" t="inlineStr">
        <is>
          <t>不燃物</t>
        </is>
      </c>
      <c r="H36" s="38" t="n">
        <v>5</v>
      </c>
    </row>
    <row r="37" ht="18" customHeight="1">
      <c r="A37" s="33" t="inlineStr">
        <is>
          <t>TK-034</t>
        </is>
      </c>
      <c r="B37" s="34" t="inlineStr">
        <is>
          <t>東急電鉄　下高井戸駅</t>
        </is>
      </c>
      <c r="C37" s="35" t="inlineStr">
        <is>
          <t>東急グループ</t>
        </is>
      </c>
      <c r="D37" s="36" t="inlineStr">
        <is>
          <t>東京都世田谷区松原３－２９－１７</t>
        </is>
      </c>
      <c r="E37" s="37" t="inlineStr">
        <is>
          <t>土・木・火</t>
        </is>
      </c>
      <c r="F37" s="36" t="inlineStr">
        <is>
          <t>和田・荻野・藤内・長谷川・長野</t>
        </is>
      </c>
      <c r="G37" s="36" t="inlineStr">
        <is>
          <t>一般廃・段ボール・産廃</t>
        </is>
      </c>
      <c r="H37" s="38" t="n">
        <v>87</v>
      </c>
    </row>
    <row r="38" ht="18" customHeight="1">
      <c r="A38" s="33" t="inlineStr">
        <is>
          <t>TK-035</t>
        </is>
      </c>
      <c r="B38" s="34" t="inlineStr">
        <is>
          <t>東急電鉄　不動前駅</t>
        </is>
      </c>
      <c r="C38" s="35" t="inlineStr">
        <is>
          <t>東急グループ</t>
        </is>
      </c>
      <c r="D38" s="36" t="inlineStr">
        <is>
          <t>東京都品川区西五反田５－１２－１</t>
        </is>
      </c>
      <c r="E38" s="37" t="inlineStr">
        <is>
          <t>金</t>
        </is>
      </c>
      <c r="F38" s="36" t="inlineStr">
        <is>
          <t>中條</t>
        </is>
      </c>
      <c r="G38" s="36" t="inlineStr">
        <is>
          <t>不燃物</t>
        </is>
      </c>
      <c r="H38" s="38" t="n">
        <v>0</v>
      </c>
    </row>
    <row r="39" ht="18" customHeight="1">
      <c r="A39" s="33" t="inlineStr">
        <is>
          <t>TK-036</t>
        </is>
      </c>
      <c r="B39" s="34" t="inlineStr">
        <is>
          <t>東急電鉄　中延駅</t>
        </is>
      </c>
      <c r="C39" s="35" t="inlineStr">
        <is>
          <t>東急グループ</t>
        </is>
      </c>
      <c r="D39" s="36" t="inlineStr">
        <is>
          <t>東京都品川区中延４－５－５</t>
        </is>
      </c>
      <c r="E39" s="37" t="inlineStr">
        <is>
          <t>金</t>
        </is>
      </c>
      <c r="F39" s="36" t="inlineStr">
        <is>
          <t>中條</t>
        </is>
      </c>
      <c r="G39" s="36" t="inlineStr">
        <is>
          <t>不燃物</t>
        </is>
      </c>
      <c r="H39" s="38" t="n">
        <v>0</v>
      </c>
    </row>
    <row r="40" ht="18" customHeight="1">
      <c r="A40" s="33" t="inlineStr">
        <is>
          <t>TK-037</t>
        </is>
      </c>
      <c r="B40" s="34" t="inlineStr">
        <is>
          <t>東急電鉄　中目黒駅</t>
        </is>
      </c>
      <c r="C40" s="35" t="inlineStr">
        <is>
          <t>東急グループ</t>
        </is>
      </c>
      <c r="D40" s="36" t="inlineStr">
        <is>
          <t>東京都目黒区上目黒３－４－１</t>
        </is>
      </c>
      <c r="E40" s="37" t="inlineStr">
        <is>
          <t>土・月・木・水・火・金</t>
        </is>
      </c>
      <c r="F40" s="36" t="inlineStr">
        <is>
          <t>中條・千葉・藤内・長谷川</t>
        </is>
      </c>
      <c r="G40" s="36" t="inlineStr">
        <is>
          <t>一般廃・不燃物・段ボール・産廃</t>
        </is>
      </c>
      <c r="H40" s="38" t="n">
        <v>425</v>
      </c>
    </row>
    <row r="41" ht="18" customHeight="1">
      <c r="A41" s="33" t="inlineStr">
        <is>
          <t>TK-038</t>
        </is>
      </c>
      <c r="B41" s="34" t="inlineStr">
        <is>
          <t>東急電鉄　久が原駅</t>
        </is>
      </c>
      <c r="C41" s="35" t="inlineStr">
        <is>
          <t>東急グループ</t>
        </is>
      </c>
      <c r="D41" s="36" t="inlineStr">
        <is>
          <t>東京都大田区南久が原２－６－１０</t>
        </is>
      </c>
      <c r="E41" s="37" t="inlineStr">
        <is>
          <t>木</t>
        </is>
      </c>
      <c r="F41" s="36" t="inlineStr">
        <is>
          <t>千葉</t>
        </is>
      </c>
      <c r="G41" s="36" t="inlineStr">
        <is>
          <t>産廃</t>
        </is>
      </c>
      <c r="H41" s="38" t="n">
        <v>20</v>
      </c>
    </row>
    <row r="42" ht="18" customHeight="1">
      <c r="A42" s="33" t="inlineStr">
        <is>
          <t>TK-039</t>
        </is>
      </c>
      <c r="B42" s="34" t="inlineStr">
        <is>
          <t>東急電鉄　二子玉川乗務区</t>
        </is>
      </c>
      <c r="C42" s="35" t="inlineStr">
        <is>
          <t>東急グループ</t>
        </is>
      </c>
      <c r="D42" s="36" t="inlineStr">
        <is>
          <t>東京都世田谷区玉川１－１１－５</t>
        </is>
      </c>
      <c r="E42" s="37" t="inlineStr">
        <is>
          <t>土</t>
        </is>
      </c>
      <c r="F42" s="36" t="inlineStr">
        <is>
          <t>和田・荻野</t>
        </is>
      </c>
      <c r="G42" s="36" t="inlineStr">
        <is>
          <t>段ボール</t>
        </is>
      </c>
      <c r="H42" s="38" t="n">
        <v>0</v>
      </c>
    </row>
    <row r="43" ht="18" customHeight="1">
      <c r="A43" s="33" t="inlineStr">
        <is>
          <t>TK-040</t>
        </is>
      </c>
      <c r="B43" s="34" t="inlineStr">
        <is>
          <t>東急電鉄　二子玉川信通事務所</t>
        </is>
      </c>
      <c r="C43" s="35" t="inlineStr">
        <is>
          <t>東急グループ</t>
        </is>
      </c>
      <c r="D43" s="36" t="inlineStr">
        <is>
          <t>東京都世田谷区玉川１－１１－５</t>
        </is>
      </c>
      <c r="E43" s="37" t="inlineStr">
        <is>
          <t>・木・火</t>
        </is>
      </c>
      <c r="F43" s="36" t="inlineStr">
        <is>
          <t>千葉・長野</t>
        </is>
      </c>
      <c r="G43" s="36" t="inlineStr">
        <is>
          <t>産廃</t>
        </is>
      </c>
      <c r="H43" s="38" t="n">
        <v>34</v>
      </c>
    </row>
    <row r="44" ht="18" customHeight="1">
      <c r="A44" s="33" t="inlineStr">
        <is>
          <t>TK-041</t>
        </is>
      </c>
      <c r="B44" s="34" t="inlineStr">
        <is>
          <t>東急電鉄　二子玉川駅</t>
        </is>
      </c>
      <c r="C44" s="35" t="inlineStr">
        <is>
          <t>東急グループ</t>
        </is>
      </c>
      <c r="D44" s="36" t="inlineStr">
        <is>
          <t>東京都世田谷区玉川２－２２－１３</t>
        </is>
      </c>
      <c r="E44" s="37" t="inlineStr">
        <is>
          <t>・土・月・木・水・火・金</t>
        </is>
      </c>
      <c r="F44" s="36" t="inlineStr">
        <is>
          <t>千葉・和田・荻野・藤内・長野</t>
        </is>
      </c>
      <c r="G44" s="36" t="inlineStr">
        <is>
          <t>段ボール・産廃</t>
        </is>
      </c>
      <c r="H44" s="38" t="n">
        <v>400</v>
      </c>
    </row>
    <row r="45" ht="18" customHeight="1">
      <c r="A45" s="33" t="inlineStr">
        <is>
          <t>TK-042</t>
        </is>
      </c>
      <c r="B45" s="34" t="inlineStr">
        <is>
          <t>東急電鉄　五反田駅　１F</t>
        </is>
      </c>
      <c r="C45" s="35" t="inlineStr">
        <is>
          <t>東急グループ</t>
        </is>
      </c>
      <c r="D45" s="36" t="inlineStr">
        <is>
          <t>東京都品川区東五反田２－１－１</t>
        </is>
      </c>
      <c r="E45" s="37" t="inlineStr">
        <is>
          <t>木・火・金</t>
        </is>
      </c>
      <c r="F45" s="36" t="inlineStr">
        <is>
          <t>中條</t>
        </is>
      </c>
      <c r="G45" s="36" t="inlineStr">
        <is>
          <t>不燃物・瓶缶・資源</t>
        </is>
      </c>
      <c r="H45" s="38" t="n">
        <v>35</v>
      </c>
    </row>
    <row r="46" ht="18" customHeight="1">
      <c r="A46" s="33" t="inlineStr">
        <is>
          <t>TK-043</t>
        </is>
      </c>
      <c r="B46" s="34" t="inlineStr">
        <is>
          <t>東急電鉄　五反田駅　４F</t>
        </is>
      </c>
      <c r="C46" s="35" t="inlineStr">
        <is>
          <t>東急グループ</t>
        </is>
      </c>
      <c r="D46" s="36" t="inlineStr">
        <is>
          <t>東京都品川区東五反田２－１－１</t>
        </is>
      </c>
      <c r="E46" s="37" t="inlineStr">
        <is>
          <t>木・火・金</t>
        </is>
      </c>
      <c r="F46" s="36" t="inlineStr">
        <is>
          <t>中條</t>
        </is>
      </c>
      <c r="G46" s="36" t="inlineStr">
        <is>
          <t>不燃物・資源</t>
        </is>
      </c>
      <c r="H46" s="38" t="n">
        <v>20</v>
      </c>
    </row>
    <row r="47" ht="18" customHeight="1">
      <c r="A47" s="33" t="inlineStr">
        <is>
          <t>TK-044</t>
        </is>
      </c>
      <c r="B47" s="34" t="inlineStr">
        <is>
          <t>東急電鉄　代官山駅</t>
        </is>
      </c>
      <c r="C47" s="35" t="inlineStr">
        <is>
          <t>東急グループ</t>
        </is>
      </c>
      <c r="D47" s="36" t="inlineStr">
        <is>
          <t>東京都渋谷区代官山町１９－１</t>
        </is>
      </c>
      <c r="E47" s="37" t="inlineStr">
        <is>
          <t>土</t>
        </is>
      </c>
      <c r="F47" s="36" t="inlineStr">
        <is>
          <t>長野</t>
        </is>
      </c>
      <c r="G47" s="36" t="inlineStr">
        <is>
          <t>産廃</t>
        </is>
      </c>
      <c r="H47" s="38" t="n">
        <v>30</v>
      </c>
    </row>
    <row r="48" ht="18" customHeight="1">
      <c r="A48" s="33" t="inlineStr">
        <is>
          <t>TK-045</t>
        </is>
      </c>
      <c r="B48" s="34" t="inlineStr">
        <is>
          <t>東急電鉄　北千束駅</t>
        </is>
      </c>
      <c r="C48" s="35" t="inlineStr">
        <is>
          <t>東急グループ</t>
        </is>
      </c>
      <c r="D48" s="36" t="inlineStr">
        <is>
          <t>東京都大田区北千束２－１６－１</t>
        </is>
      </c>
      <c r="E48" s="37" t="inlineStr">
        <is>
          <t>火</t>
        </is>
      </c>
      <c r="F48" s="36" t="inlineStr">
        <is>
          <t>中條</t>
        </is>
      </c>
      <c r="G48" s="36" t="inlineStr">
        <is>
          <t>不燃物</t>
        </is>
      </c>
      <c r="H48" s="38" t="n">
        <v>5</v>
      </c>
    </row>
    <row r="49" ht="18" customHeight="1">
      <c r="A49" s="33" t="inlineStr">
        <is>
          <t>TK-046</t>
        </is>
      </c>
      <c r="B49" s="34" t="inlineStr">
        <is>
          <t>東急電鉄　千鳥町駅</t>
        </is>
      </c>
      <c r="C49" s="35" t="inlineStr">
        <is>
          <t>東急グループ</t>
        </is>
      </c>
      <c r="D49" s="36" t="inlineStr">
        <is>
          <t>東京都大田区千鳥１－２０－１</t>
        </is>
      </c>
      <c r="E49" s="37" t="inlineStr">
        <is>
          <t>木</t>
        </is>
      </c>
      <c r="F49" s="36" t="inlineStr">
        <is>
          <t>千葉</t>
        </is>
      </c>
      <c r="G49" s="36" t="inlineStr">
        <is>
          <t>産廃</t>
        </is>
      </c>
      <c r="H49" s="38" t="n">
        <v>20</v>
      </c>
    </row>
    <row r="50" ht="18" customHeight="1">
      <c r="A50" s="33" t="inlineStr">
        <is>
          <t>TK-047</t>
        </is>
      </c>
      <c r="B50" s="34" t="inlineStr">
        <is>
          <t>東急電鉄　多摩川駅</t>
        </is>
      </c>
      <c r="C50" s="35" t="inlineStr">
        <is>
          <t>東急グループ</t>
        </is>
      </c>
      <c r="D50" s="36" t="inlineStr">
        <is>
          <t>東京都大田区田園調布１－５３－８</t>
        </is>
      </c>
      <c r="E50" s="37" t="inlineStr">
        <is>
          <t>・月・木・火</t>
        </is>
      </c>
      <c r="F50" s="36" t="inlineStr">
        <is>
          <t>中條・千葉</t>
        </is>
      </c>
      <c r="G50" s="36" t="inlineStr">
        <is>
          <t>段ボール・産廃・資源</t>
        </is>
      </c>
      <c r="H50" s="38" t="n">
        <v>51</v>
      </c>
    </row>
    <row r="51" ht="18" customHeight="1">
      <c r="A51" s="33" t="inlineStr">
        <is>
          <t>TK-048</t>
        </is>
      </c>
      <c r="B51" s="34" t="inlineStr">
        <is>
          <t>東急電鉄　大岡山駅</t>
        </is>
      </c>
      <c r="C51" s="35" t="inlineStr">
        <is>
          <t>東急グループ</t>
        </is>
      </c>
      <c r="D51" s="36" t="inlineStr">
        <is>
          <t>東京都大田区北千束３－２７－１</t>
        </is>
      </c>
      <c r="E51" s="37" t="inlineStr">
        <is>
          <t>月・木・火</t>
        </is>
      </c>
      <c r="F51" s="36" t="inlineStr">
        <is>
          <t>中條・千葉</t>
        </is>
      </c>
      <c r="G51" s="36" t="inlineStr">
        <is>
          <t>段ボール・産廃</t>
        </is>
      </c>
      <c r="H51" s="38" t="n">
        <v>45</v>
      </c>
    </row>
    <row r="52" ht="18" customHeight="1">
      <c r="A52" s="33" t="inlineStr">
        <is>
          <t>TK-049</t>
        </is>
      </c>
      <c r="B52" s="34" t="inlineStr">
        <is>
          <t>東急電鉄　大崎広小路駅</t>
        </is>
      </c>
      <c r="C52" s="35" t="inlineStr">
        <is>
          <t>東急グループ</t>
        </is>
      </c>
      <c r="D52" s="36" t="inlineStr">
        <is>
          <t>東京都品川区大崎４－１－１</t>
        </is>
      </c>
      <c r="E52" s="37" t="inlineStr">
        <is>
          <t>金</t>
        </is>
      </c>
      <c r="F52" s="36" t="inlineStr">
        <is>
          <t>中條</t>
        </is>
      </c>
      <c r="G52" s="36" t="inlineStr">
        <is>
          <t>不燃物</t>
        </is>
      </c>
      <c r="H52" s="38" t="n">
        <v>10</v>
      </c>
    </row>
    <row r="53" ht="18" customHeight="1">
      <c r="A53" s="33" t="inlineStr">
        <is>
          <t>TK-050</t>
        </is>
      </c>
      <c r="B53" s="34" t="inlineStr">
        <is>
          <t>東急電鉄　奥沢駅＆総合ビル</t>
        </is>
      </c>
      <c r="C53" s="35" t="inlineStr">
        <is>
          <t>東急グループ</t>
        </is>
      </c>
      <c r="D53" s="36" t="inlineStr">
        <is>
          <t>東京都世田谷区奥沢３－４７－１７</t>
        </is>
      </c>
      <c r="E53" s="37" t="inlineStr">
        <is>
          <t>・土・月・木・火</t>
        </is>
      </c>
      <c r="F53" s="36" t="inlineStr">
        <is>
          <t>中條・千葉・和田・荻野</t>
        </is>
      </c>
      <c r="G53" s="36" t="inlineStr">
        <is>
          <t>段ボール・産廃・資源</t>
        </is>
      </c>
      <c r="H53" s="38" t="n">
        <v>320</v>
      </c>
    </row>
    <row r="54" ht="18" customHeight="1">
      <c r="A54" s="33" t="inlineStr">
        <is>
          <t>TK-051</t>
        </is>
      </c>
      <c r="B54" s="34" t="inlineStr">
        <is>
          <t>東急電鉄　学芸大学駅</t>
        </is>
      </c>
      <c r="C54" s="35" t="inlineStr">
        <is>
          <t>東急グループ</t>
        </is>
      </c>
      <c r="D54" s="36" t="inlineStr">
        <is>
          <t>東京都目黒区鷹番３－２－１</t>
        </is>
      </c>
      <c r="E54" s="37" t="inlineStr">
        <is>
          <t>・土・月・木・水・火・金</t>
        </is>
      </c>
      <c r="F54" s="36" t="inlineStr">
        <is>
          <t>千葉・藤内・長谷川</t>
        </is>
      </c>
      <c r="G54" s="36" t="inlineStr">
        <is>
          <t>一般廃・段ボール・産廃</t>
        </is>
      </c>
      <c r="H54" s="38" t="n">
        <v>65</v>
      </c>
    </row>
    <row r="55" ht="18" customHeight="1">
      <c r="A55" s="33" t="inlineStr">
        <is>
          <t>TK-052</t>
        </is>
      </c>
      <c r="B55" s="34" t="inlineStr">
        <is>
          <t>東急電鉄　御嶽山駅</t>
        </is>
      </c>
      <c r="C55" s="35" t="inlineStr">
        <is>
          <t>東急グループ</t>
        </is>
      </c>
      <c r="D55" s="36" t="inlineStr">
        <is>
          <t>東京都大田区北嶺町３２－１７</t>
        </is>
      </c>
      <c r="E55" s="37" t="inlineStr">
        <is>
          <t>木</t>
        </is>
      </c>
      <c r="F55" s="36" t="inlineStr">
        <is>
          <t>千葉</t>
        </is>
      </c>
      <c r="G55" s="36" t="inlineStr">
        <is>
          <t>産廃</t>
        </is>
      </c>
      <c r="H55" s="38" t="n">
        <v>30</v>
      </c>
    </row>
    <row r="56" ht="18" customHeight="1">
      <c r="A56" s="33" t="inlineStr">
        <is>
          <t>TK-053</t>
        </is>
      </c>
      <c r="B56" s="34" t="inlineStr">
        <is>
          <t>東急電鉄　戸越公園駅</t>
        </is>
      </c>
      <c r="C56" s="35" t="inlineStr">
        <is>
          <t>東急グループ</t>
        </is>
      </c>
      <c r="D56" s="36" t="inlineStr">
        <is>
          <t>東京都品川区戸越５－１０－５</t>
        </is>
      </c>
      <c r="E56" s="37" t="inlineStr">
        <is>
          <t>火</t>
        </is>
      </c>
      <c r="F56" s="36" t="inlineStr">
        <is>
          <t>中條</t>
        </is>
      </c>
      <c r="G56" s="36" t="inlineStr">
        <is>
          <t>不燃物</t>
        </is>
      </c>
      <c r="H56" s="38" t="n">
        <v>0</v>
      </c>
    </row>
    <row r="57" ht="18" customHeight="1">
      <c r="A57" s="33" t="inlineStr">
        <is>
          <t>TK-054</t>
        </is>
      </c>
      <c r="B57" s="34" t="inlineStr">
        <is>
          <t>東急電鉄　戸越銀座駅</t>
        </is>
      </c>
      <c r="C57" s="35" t="inlineStr">
        <is>
          <t>東急グループ</t>
        </is>
      </c>
      <c r="D57" s="36" t="inlineStr">
        <is>
          <t>東京都品川区平塚２－１６－１</t>
        </is>
      </c>
      <c r="E57" s="37" t="inlineStr">
        <is>
          <t>金</t>
        </is>
      </c>
      <c r="F57" s="36" t="inlineStr">
        <is>
          <t>中條</t>
        </is>
      </c>
      <c r="G57" s="36" t="inlineStr">
        <is>
          <t>不燃物</t>
        </is>
      </c>
      <c r="H57" s="38" t="n">
        <v>15</v>
      </c>
    </row>
    <row r="58" ht="18" customHeight="1">
      <c r="A58" s="33" t="inlineStr">
        <is>
          <t>TK-055</t>
        </is>
      </c>
      <c r="B58" s="34" t="inlineStr">
        <is>
          <t>東急電鉄　旗の台駅</t>
        </is>
      </c>
      <c r="C58" s="35" t="inlineStr">
        <is>
          <t>東急グループ</t>
        </is>
      </c>
      <c r="D58" s="36" t="inlineStr">
        <is>
          <t>東京都品川区旗の台２－１３－１</t>
        </is>
      </c>
      <c r="E58" s="37" t="inlineStr">
        <is>
          <t>木・金</t>
        </is>
      </c>
      <c r="F58" s="36" t="inlineStr">
        <is>
          <t>中條</t>
        </is>
      </c>
      <c r="G58" s="36" t="inlineStr">
        <is>
          <t>不燃物・段ボール</t>
        </is>
      </c>
      <c r="H58" s="38" t="n">
        <v>18</v>
      </c>
    </row>
    <row r="59" ht="18" customHeight="1">
      <c r="A59" s="33" t="inlineStr">
        <is>
          <t>TK-056</t>
        </is>
      </c>
      <c r="B59" s="34" t="inlineStr">
        <is>
          <t>東急電鉄　武蔵小山駅</t>
        </is>
      </c>
      <c r="C59" s="35" t="inlineStr">
        <is>
          <t>東急グループ</t>
        </is>
      </c>
      <c r="D59" s="36" t="inlineStr">
        <is>
          <t>東京都品川区小山３－４－８</t>
        </is>
      </c>
      <c r="E59" s="37" t="inlineStr">
        <is>
          <t>月・火</t>
        </is>
      </c>
      <c r="F59" s="36" t="inlineStr">
        <is>
          <t>中條</t>
        </is>
      </c>
      <c r="G59" s="36" t="inlineStr">
        <is>
          <t>不燃物・段ボール</t>
        </is>
      </c>
      <c r="H59" s="38" t="n">
        <v>15</v>
      </c>
    </row>
    <row r="60" ht="18" customHeight="1">
      <c r="A60" s="33" t="inlineStr">
        <is>
          <t>TK-057</t>
        </is>
      </c>
      <c r="B60" s="34" t="inlineStr">
        <is>
          <t>東急電鉄　武蔵新田駅</t>
        </is>
      </c>
      <c r="C60" s="35" t="inlineStr">
        <is>
          <t>東急グループ</t>
        </is>
      </c>
      <c r="D60" s="36" t="inlineStr">
        <is>
          <t>東京都大田区矢口１－１８－１</t>
        </is>
      </c>
      <c r="E60" s="37" t="inlineStr">
        <is>
          <t>火</t>
        </is>
      </c>
      <c r="F60" s="36" t="inlineStr">
        <is>
          <t>千葉</t>
        </is>
      </c>
      <c r="G60" s="36" t="inlineStr">
        <is>
          <t>産廃</t>
        </is>
      </c>
      <c r="H60" s="38" t="n">
        <v>30</v>
      </c>
    </row>
    <row r="61" ht="18" customHeight="1">
      <c r="A61" s="33" t="inlineStr">
        <is>
          <t>TK-058</t>
        </is>
      </c>
      <c r="B61" s="34" t="inlineStr">
        <is>
          <t>東急電鉄　池上駅</t>
        </is>
      </c>
      <c r="C61" s="35" t="inlineStr">
        <is>
          <t>東急グループ</t>
        </is>
      </c>
      <c r="D61" s="36" t="inlineStr">
        <is>
          <t>東京都大田区池上６－３－１０</t>
        </is>
      </c>
      <c r="E61" s="37" t="inlineStr">
        <is>
          <t>水</t>
        </is>
      </c>
      <c r="F61" s="36" t="inlineStr">
        <is>
          <t>千葉</t>
        </is>
      </c>
      <c r="G61" s="36" t="inlineStr">
        <is>
          <t>産廃</t>
        </is>
      </c>
      <c r="H61" s="38" t="n">
        <v>70</v>
      </c>
    </row>
    <row r="62" ht="18" customHeight="1">
      <c r="A62" s="33" t="inlineStr">
        <is>
          <t>TK-059</t>
        </is>
      </c>
      <c r="B62" s="34" t="inlineStr">
        <is>
          <t>東急電鉄　沼部駅</t>
        </is>
      </c>
      <c r="C62" s="35" t="inlineStr">
        <is>
          <t>東急グループ</t>
        </is>
      </c>
      <c r="D62" s="36" t="inlineStr">
        <is>
          <t>東京都大田区田園調布本町２８－１</t>
        </is>
      </c>
      <c r="E62" s="37" t="inlineStr">
        <is>
          <t>火</t>
        </is>
      </c>
      <c r="F62" s="36" t="inlineStr">
        <is>
          <t>千葉</t>
        </is>
      </c>
      <c r="G62" s="36" t="inlineStr">
        <is>
          <t>産廃</t>
        </is>
      </c>
      <c r="H62" s="38" t="n">
        <v>60</v>
      </c>
    </row>
    <row r="63" ht="18" customHeight="1">
      <c r="A63" s="33" t="inlineStr">
        <is>
          <t>TK-060</t>
        </is>
      </c>
      <c r="B63" s="34" t="inlineStr">
        <is>
          <t>東急電鉄　洗足池駅</t>
        </is>
      </c>
      <c r="C63" s="35" t="inlineStr">
        <is>
          <t>東急グループ</t>
        </is>
      </c>
      <c r="D63" s="36" t="inlineStr">
        <is>
          <t>東京都大田区東雪谷１－１－６</t>
        </is>
      </c>
      <c r="E63" s="37" t="inlineStr">
        <is>
          <t>火</t>
        </is>
      </c>
      <c r="F63" s="36" t="inlineStr">
        <is>
          <t>中條</t>
        </is>
      </c>
      <c r="G63" s="36" t="inlineStr">
        <is>
          <t>不燃物</t>
        </is>
      </c>
      <c r="H63" s="38" t="n">
        <v>10</v>
      </c>
    </row>
    <row r="64" ht="18" customHeight="1">
      <c r="A64" s="33" t="inlineStr">
        <is>
          <t>TK-061</t>
        </is>
      </c>
      <c r="B64" s="34" t="inlineStr">
        <is>
          <t>東急電鉄　洗足駅</t>
        </is>
      </c>
      <c r="C64" s="35" t="inlineStr">
        <is>
          <t>東急グループ</t>
        </is>
      </c>
      <c r="D64" s="36" t="inlineStr">
        <is>
          <t>東京都目黒区洗足２－２１－１</t>
        </is>
      </c>
      <c r="E64" s="37" t="inlineStr">
        <is>
          <t>火</t>
        </is>
      </c>
      <c r="F64" s="36" t="inlineStr">
        <is>
          <t>中條</t>
        </is>
      </c>
      <c r="G64" s="36" t="inlineStr">
        <is>
          <t>不燃物</t>
        </is>
      </c>
      <c r="H64" s="38" t="n">
        <v>5</v>
      </c>
    </row>
    <row r="65" ht="18" customHeight="1">
      <c r="A65" s="33" t="inlineStr">
        <is>
          <t>TK-062</t>
        </is>
      </c>
      <c r="B65" s="34" t="inlineStr">
        <is>
          <t>東急電鉄　目黒駅</t>
        </is>
      </c>
      <c r="C65" s="35" t="inlineStr">
        <is>
          <t>東急グループ</t>
        </is>
      </c>
      <c r="D65" s="36" t="inlineStr">
        <is>
          <t>東京都品川区上大崎４－２－１</t>
        </is>
      </c>
      <c r="E65" s="37" t="inlineStr">
        <is>
          <t>月・火・金</t>
        </is>
      </c>
      <c r="F65" s="36" t="inlineStr">
        <is>
          <t>中條</t>
        </is>
      </c>
      <c r="G65" s="36" t="inlineStr">
        <is>
          <t>不燃物・段ボール</t>
        </is>
      </c>
      <c r="H65" s="38" t="n">
        <v>39</v>
      </c>
    </row>
    <row r="66" ht="18" customHeight="1">
      <c r="A66" s="33" t="inlineStr">
        <is>
          <t>TK-063</t>
        </is>
      </c>
      <c r="B66" s="34" t="inlineStr">
        <is>
          <t>東急電鉄　矢口渡駅</t>
        </is>
      </c>
      <c r="C66" s="35" t="inlineStr">
        <is>
          <t>東急グループ</t>
        </is>
      </c>
      <c r="D66" s="36" t="inlineStr">
        <is>
          <t>東京都大田区多摩川１－２０－１５</t>
        </is>
      </c>
      <c r="E66" s="37" t="inlineStr">
        <is>
          <t>水</t>
        </is>
      </c>
      <c r="F66" s="36" t="inlineStr">
        <is>
          <t>千葉</t>
        </is>
      </c>
      <c r="G66" s="36" t="inlineStr">
        <is>
          <t>産廃</t>
        </is>
      </c>
      <c r="H66" s="38" t="n">
        <v>30</v>
      </c>
    </row>
    <row r="67" ht="18" customHeight="1">
      <c r="A67" s="33" t="inlineStr">
        <is>
          <t>TK-064</t>
        </is>
      </c>
      <c r="B67" s="34" t="inlineStr">
        <is>
          <t>東急電鉄　祐天寺駅</t>
        </is>
      </c>
      <c r="C67" s="35" t="inlineStr">
        <is>
          <t>東急グループ</t>
        </is>
      </c>
      <c r="D67" s="36" t="inlineStr">
        <is>
          <t>東京都目黒区祐天寺２－１３－３</t>
        </is>
      </c>
      <c r="E67" s="37" t="inlineStr">
        <is>
          <t>月・木</t>
        </is>
      </c>
      <c r="F67" s="36" t="inlineStr">
        <is>
          <t>千葉・長谷川</t>
        </is>
      </c>
      <c r="G67" s="36" t="inlineStr">
        <is>
          <t>一般廃・産廃</t>
        </is>
      </c>
      <c r="H67" s="38" t="n">
        <v>41</v>
      </c>
    </row>
    <row r="68" ht="18" customHeight="1">
      <c r="A68" s="33" t="inlineStr">
        <is>
          <t>TK-065</t>
        </is>
      </c>
      <c r="B68" s="34" t="inlineStr">
        <is>
          <t>東急電鉄　総合管理事務所　１３BL</t>
        </is>
      </c>
      <c r="C68" s="35" t="inlineStr">
        <is>
          <t>東急グループ</t>
        </is>
      </c>
      <c r="D68" s="36" t="inlineStr">
        <is>
          <t>東京都目黒区鷹番３－３－１学大市場</t>
        </is>
      </c>
      <c r="E68" s="37" t="inlineStr">
        <is>
          <t>・土・日・月・木・水・火・金</t>
        </is>
      </c>
      <c r="F68" s="36" t="inlineStr">
        <is>
          <t>中條・千葉・長谷川</t>
        </is>
      </c>
      <c r="G68" s="36" t="inlineStr">
        <is>
          <t>一般廃・産廃</t>
        </is>
      </c>
      <c r="H68" s="38" t="n">
        <v>95</v>
      </c>
    </row>
    <row r="69" ht="18" customHeight="1">
      <c r="A69" s="33" t="inlineStr">
        <is>
          <t>TK-066</t>
        </is>
      </c>
      <c r="B69" s="34" t="inlineStr">
        <is>
          <t>東急電鉄　緑が丘駅</t>
        </is>
      </c>
      <c r="C69" s="35" t="inlineStr">
        <is>
          <t>東急グループ</t>
        </is>
      </c>
      <c r="D69" s="36" t="inlineStr">
        <is>
          <t>東京都目黒区緑が丘３－１－１２</t>
        </is>
      </c>
      <c r="E69" s="37" t="inlineStr">
        <is>
          <t>火</t>
        </is>
      </c>
      <c r="F69" s="36" t="inlineStr">
        <is>
          <t>千葉</t>
        </is>
      </c>
      <c r="G69" s="36" t="inlineStr">
        <is>
          <t>産廃</t>
        </is>
      </c>
      <c r="H69" s="38" t="n">
        <v>20</v>
      </c>
    </row>
    <row r="70" ht="18" customHeight="1">
      <c r="A70" s="33" t="inlineStr">
        <is>
          <t>TK-067</t>
        </is>
      </c>
      <c r="B70" s="34" t="inlineStr">
        <is>
          <t>東急電鉄　自由が丘駅</t>
        </is>
      </c>
      <c r="C70" s="35" t="inlineStr">
        <is>
          <t>東急グループ</t>
        </is>
      </c>
      <c r="D70" s="36" t="inlineStr">
        <is>
          <t>東京都目黒区自由が丘１－３０－１</t>
        </is>
      </c>
      <c r="E70" s="37" t="inlineStr">
        <is>
          <t>・木・火</t>
        </is>
      </c>
      <c r="F70" s="36" t="inlineStr">
        <is>
          <t>千葉</t>
        </is>
      </c>
      <c r="G70" s="36" t="inlineStr">
        <is>
          <t>産廃</t>
        </is>
      </c>
      <c r="H70" s="38" t="n">
        <v>100</v>
      </c>
    </row>
    <row r="71" ht="18" customHeight="1">
      <c r="A71" s="33" t="inlineStr">
        <is>
          <t>TK-068</t>
        </is>
      </c>
      <c r="B71" s="34" t="inlineStr">
        <is>
          <t>東急電鉄　荏原中延駅</t>
        </is>
      </c>
      <c r="C71" s="35" t="inlineStr">
        <is>
          <t>東急グループ</t>
        </is>
      </c>
      <c r="D71" s="36" t="inlineStr">
        <is>
          <t>東京都品川区中延２－８－１</t>
        </is>
      </c>
      <c r="E71" s="37" t="inlineStr">
        <is>
          <t>火</t>
        </is>
      </c>
      <c r="F71" s="36" t="inlineStr">
        <is>
          <t>中條</t>
        </is>
      </c>
      <c r="G71" s="36" t="inlineStr">
        <is>
          <t>不燃物</t>
        </is>
      </c>
      <c r="H71" s="38" t="n">
        <v>1</v>
      </c>
    </row>
    <row r="72" ht="18" customHeight="1">
      <c r="A72" s="33" t="inlineStr">
        <is>
          <t>TK-069</t>
        </is>
      </c>
      <c r="B72" s="34" t="inlineStr">
        <is>
          <t>東急電鉄　荏原町駅</t>
        </is>
      </c>
      <c r="C72" s="35" t="inlineStr">
        <is>
          <t>東急グループ</t>
        </is>
      </c>
      <c r="D72" s="36" t="inlineStr">
        <is>
          <t>東京都品川区中延５－２－１</t>
        </is>
      </c>
      <c r="E72" s="37" t="inlineStr">
        <is>
          <t>金</t>
        </is>
      </c>
      <c r="F72" s="36" t="inlineStr">
        <is>
          <t>中條</t>
        </is>
      </c>
      <c r="G72" s="36" t="inlineStr">
        <is>
          <t>不燃物</t>
        </is>
      </c>
      <c r="H72" s="38" t="n">
        <v>0</v>
      </c>
    </row>
    <row r="73" ht="18" customHeight="1">
      <c r="A73" s="33" t="inlineStr">
        <is>
          <t>TK-070</t>
        </is>
      </c>
      <c r="B73" s="34" t="inlineStr">
        <is>
          <t>東急電鉄　蒲田駅</t>
        </is>
      </c>
      <c r="C73" s="35" t="inlineStr">
        <is>
          <t>東急グループ</t>
        </is>
      </c>
      <c r="D73" s="36" t="inlineStr">
        <is>
          <t>東京都大田区西蒲田７－６９－１</t>
        </is>
      </c>
      <c r="E73" s="37" t="inlineStr">
        <is>
          <t>水</t>
        </is>
      </c>
      <c r="F73" s="36" t="inlineStr">
        <is>
          <t>千葉</t>
        </is>
      </c>
      <c r="G73" s="36" t="inlineStr">
        <is>
          <t>産廃</t>
        </is>
      </c>
      <c r="H73" s="38" t="n">
        <v>70</v>
      </c>
    </row>
    <row r="74" ht="18" customHeight="1">
      <c r="A74" s="33" t="inlineStr">
        <is>
          <t>TK-071</t>
        </is>
      </c>
      <c r="B74" s="34" t="inlineStr">
        <is>
          <t>東急電鉄　蓮沼駅</t>
        </is>
      </c>
      <c r="C74" s="35" t="inlineStr">
        <is>
          <t>東急グループ</t>
        </is>
      </c>
      <c r="D74" s="36" t="inlineStr">
        <is>
          <t>東京都大田区西蒲田７－１７－１</t>
        </is>
      </c>
      <c r="E74" s="37" t="inlineStr">
        <is>
          <t>水</t>
        </is>
      </c>
      <c r="F74" s="36" t="inlineStr">
        <is>
          <t>千葉</t>
        </is>
      </c>
      <c r="G74" s="36" t="inlineStr">
        <is>
          <t>産廃</t>
        </is>
      </c>
      <c r="H74" s="38" t="n">
        <v>10</v>
      </c>
    </row>
    <row r="75" ht="18" customHeight="1">
      <c r="A75" s="33" t="inlineStr">
        <is>
          <t>TK-072</t>
        </is>
      </c>
      <c r="B75" s="34" t="inlineStr">
        <is>
          <t>東急電鉄　西小山駅</t>
        </is>
      </c>
      <c r="C75" s="35" t="inlineStr">
        <is>
          <t>東急グループ</t>
        </is>
      </c>
      <c r="D75" s="36" t="inlineStr">
        <is>
          <t>東京都品川区小山６－３－１０</t>
        </is>
      </c>
      <c r="E75" s="37" t="inlineStr">
        <is>
          <t>火</t>
        </is>
      </c>
      <c r="F75" s="36" t="inlineStr">
        <is>
          <t>中條</t>
        </is>
      </c>
      <c r="G75" s="36" t="inlineStr">
        <is>
          <t>不燃物</t>
        </is>
      </c>
      <c r="H75" s="38" t="n">
        <v>10</v>
      </c>
    </row>
    <row r="76" ht="18" customHeight="1">
      <c r="A76" s="33" t="inlineStr">
        <is>
          <t>TK-073</t>
        </is>
      </c>
      <c r="B76" s="34" t="inlineStr">
        <is>
          <t>東急電鉄　都立大学駅</t>
        </is>
      </c>
      <c r="C76" s="35" t="inlineStr">
        <is>
          <t>東急グループ</t>
        </is>
      </c>
      <c r="D76" s="36" t="inlineStr">
        <is>
          <t>東京都目黒区中根１－５－１</t>
        </is>
      </c>
      <c r="E76" s="37" t="inlineStr">
        <is>
          <t>土・月・木・水・火・金</t>
        </is>
      </c>
      <c r="F76" s="36" t="inlineStr">
        <is>
          <t>中條・長谷川</t>
        </is>
      </c>
      <c r="G76" s="36" t="inlineStr">
        <is>
          <t>一般廃・不燃物</t>
        </is>
      </c>
      <c r="H76" s="38" t="n">
        <v>10</v>
      </c>
    </row>
    <row r="77" ht="18" customHeight="1">
      <c r="A77" s="33" t="inlineStr">
        <is>
          <t>TK-074</t>
        </is>
      </c>
      <c r="B77" s="34" t="inlineStr">
        <is>
          <t>東急電鉄　長原駅</t>
        </is>
      </c>
      <c r="C77" s="35" t="inlineStr">
        <is>
          <t>東急グループ</t>
        </is>
      </c>
      <c r="D77" s="36" t="inlineStr">
        <is>
          <t>東京都大田区上池台１－１０－１０</t>
        </is>
      </c>
      <c r="E77" s="37" t="inlineStr">
        <is>
          <t>火</t>
        </is>
      </c>
      <c r="F77" s="36" t="inlineStr">
        <is>
          <t>中條</t>
        </is>
      </c>
      <c r="G77" s="36" t="inlineStr">
        <is>
          <t>不燃物</t>
        </is>
      </c>
      <c r="H77" s="38" t="n">
        <v>10</v>
      </c>
    </row>
    <row r="78" ht="18" customHeight="1">
      <c r="A78" s="33" t="inlineStr">
        <is>
          <t>TK-075</t>
        </is>
      </c>
      <c r="B78" s="34" t="inlineStr">
        <is>
          <t>東急電鉄　雪が谷検車区</t>
        </is>
      </c>
      <c r="C78" s="35" t="inlineStr">
        <is>
          <t>東急グループ</t>
        </is>
      </c>
      <c r="D78" s="36" t="inlineStr">
        <is>
          <t>東京都大田区北嶺町４６－１４</t>
        </is>
      </c>
      <c r="E78" s="37" t="inlineStr">
        <is>
          <t>月・木</t>
        </is>
      </c>
      <c r="F78" s="36" t="inlineStr">
        <is>
          <t>中條・千葉</t>
        </is>
      </c>
      <c r="G78" s="36" t="inlineStr">
        <is>
          <t>段ボール・産廃</t>
        </is>
      </c>
      <c r="H78" s="38" t="n">
        <v>50</v>
      </c>
    </row>
    <row r="79" ht="18" customHeight="1">
      <c r="A79" s="33" t="inlineStr">
        <is>
          <t>TK-076</t>
        </is>
      </c>
      <c r="B79" s="34" t="inlineStr">
        <is>
          <t>東急電鉄　駒澤大学駅</t>
        </is>
      </c>
      <c r="C79" s="35" t="inlineStr">
        <is>
          <t>東急グループ</t>
        </is>
      </c>
      <c r="D79" s="36" t="inlineStr">
        <is>
          <t>東京都世田谷区上馬４－３</t>
        </is>
      </c>
      <c r="E79" s="37" t="inlineStr">
        <is>
          <t>土・月・木・水・火・金</t>
        </is>
      </c>
      <c r="F79" s="36" t="inlineStr">
        <is>
          <t>和田・荻野・長谷川・長野</t>
        </is>
      </c>
      <c r="G79" s="36" t="inlineStr">
        <is>
          <t>一般廃・段ボール・産廃</t>
        </is>
      </c>
      <c r="H79" s="38" t="n">
        <v>171</v>
      </c>
    </row>
    <row r="80" ht="18" customHeight="1">
      <c r="A80" s="33" t="inlineStr">
        <is>
          <t>TK-077</t>
        </is>
      </c>
      <c r="B80" s="34" t="inlineStr">
        <is>
          <t>東急電鉄　鵜の木駅</t>
        </is>
      </c>
      <c r="C80" s="35" t="inlineStr">
        <is>
          <t>東急グループ</t>
        </is>
      </c>
      <c r="D80" s="36" t="inlineStr">
        <is>
          <t>東京都大田区鵜の木２－４－１</t>
        </is>
      </c>
      <c r="E80" s="37" t="inlineStr">
        <is>
          <t>火</t>
        </is>
      </c>
      <c r="F80" s="36" t="inlineStr">
        <is>
          <t>千葉</t>
        </is>
      </c>
      <c r="G80" s="36" t="inlineStr">
        <is>
          <t>産廃</t>
        </is>
      </c>
      <c r="H80" s="38" t="n">
        <v>20</v>
      </c>
    </row>
    <row r="81" ht="18" customHeight="1">
      <c r="A81" s="33" t="inlineStr">
        <is>
          <t>TK-078</t>
        </is>
      </c>
      <c r="B81" s="34" t="inlineStr">
        <is>
          <t>東急電鉄三軒茶屋駅（田園都市線）</t>
        </is>
      </c>
      <c r="C81" s="35" t="inlineStr">
        <is>
          <t>東急グループ</t>
        </is>
      </c>
      <c r="D81" s="36" t="inlineStr">
        <is>
          <t>東京都世田谷区太子堂２－１５</t>
        </is>
      </c>
      <c r="E81" s="37" t="inlineStr">
        <is>
          <t>土・月・木・火</t>
        </is>
      </c>
      <c r="F81" s="36" t="inlineStr">
        <is>
          <t>中條・和田・荻野・長野</t>
        </is>
      </c>
      <c r="G81" s="36" t="inlineStr">
        <is>
          <t>段ボール・産廃・資源</t>
        </is>
      </c>
      <c r="H81" s="38" t="n">
        <v>85</v>
      </c>
    </row>
    <row r="82" ht="18" customHeight="1">
      <c r="A82" s="33" t="inlineStr">
        <is>
          <t>TK-079</t>
        </is>
      </c>
      <c r="B82" s="34" t="inlineStr">
        <is>
          <t>東急電鉄上町駅</t>
        </is>
      </c>
      <c r="C82" s="35" t="inlineStr">
        <is>
          <t>東急グループ</t>
        </is>
      </c>
      <c r="D82" s="36" t="inlineStr">
        <is>
          <t>東京都世田谷区世田谷３－４－３</t>
        </is>
      </c>
      <c r="E82" s="37" t="inlineStr">
        <is>
          <t>木・火</t>
        </is>
      </c>
      <c r="F82" s="36" t="inlineStr">
        <is>
          <t>長野</t>
        </is>
      </c>
      <c r="G82" s="36" t="inlineStr">
        <is>
          <t>産廃</t>
        </is>
      </c>
      <c r="H82" s="38" t="n">
        <v>120</v>
      </c>
    </row>
    <row r="83" ht="18" customHeight="1">
      <c r="A83" s="33" t="inlineStr">
        <is>
          <t>TK-080</t>
        </is>
      </c>
      <c r="B83" s="34" t="inlineStr">
        <is>
          <t>東急電鉄上野毛駅</t>
        </is>
      </c>
      <c r="C83" s="35" t="inlineStr">
        <is>
          <t>東急グループ</t>
        </is>
      </c>
      <c r="D83" s="36" t="inlineStr">
        <is>
          <t>東京都世田谷区上野毛１－２６－６</t>
        </is>
      </c>
      <c r="E83" s="37" t="inlineStr">
        <is>
          <t>木</t>
        </is>
      </c>
      <c r="F83" s="36" t="inlineStr">
        <is>
          <t>中條・長野</t>
        </is>
      </c>
      <c r="G83" s="36" t="inlineStr">
        <is>
          <t>産廃・資源</t>
        </is>
      </c>
      <c r="H83" s="38" t="n">
        <v>0</v>
      </c>
    </row>
    <row r="84" ht="18" customHeight="1">
      <c r="A84" s="33" t="inlineStr">
        <is>
          <t>TK-081</t>
        </is>
      </c>
      <c r="B84" s="34" t="inlineStr">
        <is>
          <t>東急電鉄九品仏駅</t>
        </is>
      </c>
      <c r="C84" s="35" t="inlineStr">
        <is>
          <t>東急グループ</t>
        </is>
      </c>
      <c r="D84" s="36" t="inlineStr">
        <is>
          <t>東京都世田谷区奥澤７－２０－１</t>
        </is>
      </c>
      <c r="E84" s="37" t="inlineStr">
        <is>
          <t>木</t>
        </is>
      </c>
      <c r="F84" s="36" t="inlineStr">
        <is>
          <t>長野</t>
        </is>
      </c>
      <c r="G84" s="36" t="inlineStr">
        <is>
          <t>産廃</t>
        </is>
      </c>
      <c r="H84" s="38" t="n">
        <v>0</v>
      </c>
    </row>
    <row r="85" ht="18" customHeight="1">
      <c r="A85" s="33" t="inlineStr">
        <is>
          <t>TK-082</t>
        </is>
      </c>
      <c r="B85" s="34" t="inlineStr">
        <is>
          <t>東急電鉄多摩川駅</t>
        </is>
      </c>
      <c r="C85" s="35" t="inlineStr">
        <is>
          <t>東急グループ</t>
        </is>
      </c>
      <c r="D85" s="36" t="inlineStr">
        <is>
          <t>東京都大田区田園調布１－５３－８</t>
        </is>
      </c>
      <c r="E85" s="37" t="inlineStr">
        <is>
          <t>土・木</t>
        </is>
      </c>
      <c r="F85" s="36" t="inlineStr">
        <is>
          <t>和田・荻野・長野</t>
        </is>
      </c>
      <c r="G85" s="36" t="inlineStr">
        <is>
          <t>段ボール・産廃</t>
        </is>
      </c>
      <c r="H85" s="38" t="n">
        <v>60</v>
      </c>
    </row>
    <row r="86" ht="18" customHeight="1">
      <c r="A86" s="33" t="inlineStr">
        <is>
          <t>TK-083</t>
        </is>
      </c>
      <c r="B86" s="34" t="inlineStr">
        <is>
          <t>東急電鉄大井町駅</t>
        </is>
      </c>
      <c r="C86" s="35" t="inlineStr">
        <is>
          <t>東急グループ</t>
        </is>
      </c>
      <c r="D86" s="36" t="inlineStr">
        <is>
          <t>東京都品川区大井１－１－１</t>
        </is>
      </c>
      <c r="E86" s="37" t="inlineStr">
        <is>
          <t>月・木・水・金</t>
        </is>
      </c>
      <c r="F86" s="36" t="inlineStr">
        <is>
          <t>中條・千葉</t>
        </is>
      </c>
      <c r="G86" s="36" t="inlineStr">
        <is>
          <t>段ボール・産廃</t>
        </is>
      </c>
      <c r="H86" s="38" t="n">
        <v>105</v>
      </c>
    </row>
    <row r="87" ht="18" customHeight="1">
      <c r="A87" s="33" t="inlineStr">
        <is>
          <t>TK-084</t>
        </is>
      </c>
      <c r="B87" s="34" t="inlineStr">
        <is>
          <t>東急電鉄尾山台駅</t>
        </is>
      </c>
      <c r="C87" s="35" t="inlineStr">
        <is>
          <t>東急グループ</t>
        </is>
      </c>
      <c r="D87" s="36" t="inlineStr">
        <is>
          <t>東京都世田谷区等々力５－５－７</t>
        </is>
      </c>
      <c r="E87" s="37" t="inlineStr">
        <is>
          <t>木</t>
        </is>
      </c>
      <c r="F87" s="36" t="inlineStr">
        <is>
          <t>長野</t>
        </is>
      </c>
      <c r="G87" s="36" t="inlineStr">
        <is>
          <t>産廃</t>
        </is>
      </c>
      <c r="H87" s="38" t="n">
        <v>20</v>
      </c>
    </row>
    <row r="88" ht="18" customHeight="1">
      <c r="A88" s="33" t="inlineStr">
        <is>
          <t>TK-085</t>
        </is>
      </c>
      <c r="B88" s="34" t="inlineStr">
        <is>
          <t>東急電鉄山下駅</t>
        </is>
      </c>
      <c r="C88" s="35" t="inlineStr">
        <is>
          <t>東急グループ</t>
        </is>
      </c>
      <c r="D88" s="36" t="inlineStr">
        <is>
          <t>東京都世田谷区豪徳寺１－４４－５</t>
        </is>
      </c>
      <c r="E88" s="37" t="inlineStr">
        <is>
          <t>木</t>
        </is>
      </c>
      <c r="F88" s="36" t="inlineStr">
        <is>
          <t>長野</t>
        </is>
      </c>
      <c r="G88" s="36" t="inlineStr">
        <is>
          <t>産廃</t>
        </is>
      </c>
      <c r="H88" s="38" t="n">
        <v>0</v>
      </c>
    </row>
    <row r="89" ht="18" customHeight="1">
      <c r="A89" s="33" t="inlineStr">
        <is>
          <t>TK-086</t>
        </is>
      </c>
      <c r="B89" s="34" t="inlineStr">
        <is>
          <t>東急電鉄桜新町駅</t>
        </is>
      </c>
      <c r="C89" s="35" t="inlineStr">
        <is>
          <t>東急グループ</t>
        </is>
      </c>
      <c r="D89" s="36" t="inlineStr">
        <is>
          <t>東京都世田谷区桜新町２－８</t>
        </is>
      </c>
      <c r="E89" s="37" t="inlineStr">
        <is>
          <t>土・木</t>
        </is>
      </c>
      <c r="F89" s="36" t="inlineStr">
        <is>
          <t>和田・荻野・長野</t>
        </is>
      </c>
      <c r="G89" s="36" t="inlineStr">
        <is>
          <t>段ボール・産廃</t>
        </is>
      </c>
      <c r="H89" s="38" t="n">
        <v>20</v>
      </c>
    </row>
    <row r="90" ht="18" customHeight="1">
      <c r="A90" s="33" t="inlineStr">
        <is>
          <t>TK-087</t>
        </is>
      </c>
      <c r="B90" s="34" t="inlineStr">
        <is>
          <t>東急電鉄池尻大橋駅</t>
        </is>
      </c>
      <c r="C90" s="35" t="inlineStr">
        <is>
          <t>東急グループ</t>
        </is>
      </c>
      <c r="D90" s="36" t="inlineStr">
        <is>
          <t>東京都世田谷区池尻３－２</t>
        </is>
      </c>
      <c r="E90" s="37" t="inlineStr">
        <is>
          <t>土</t>
        </is>
      </c>
      <c r="F90" s="36" t="inlineStr">
        <is>
          <t>和田・荻野・長野</t>
        </is>
      </c>
      <c r="G90" s="36" t="inlineStr">
        <is>
          <t>段ボール・産廃</t>
        </is>
      </c>
      <c r="H90" s="38" t="n">
        <v>50</v>
      </c>
    </row>
    <row r="91" ht="18" customHeight="1">
      <c r="A91" s="33" t="inlineStr">
        <is>
          <t>TK-088</t>
        </is>
      </c>
      <c r="B91" s="34" t="inlineStr">
        <is>
          <t>東急電鉄渋谷駅（副都心線）</t>
        </is>
      </c>
      <c r="C91" s="35" t="inlineStr">
        <is>
          <t>東急グループ</t>
        </is>
      </c>
      <c r="D91" s="36" t="inlineStr">
        <is>
          <t>東京都渋谷区２－２１－１３</t>
        </is>
      </c>
      <c r="E91" s="37" t="inlineStr">
        <is>
          <t>土・月・木・水・火・金</t>
        </is>
      </c>
      <c r="F91" s="36" t="inlineStr">
        <is>
          <t>中條・千葉・和田・荻野・長野</t>
        </is>
      </c>
      <c r="G91" s="36" t="inlineStr">
        <is>
          <t>段ボール・産廃・資源</t>
        </is>
      </c>
      <c r="H91" s="38" t="n">
        <v>918</v>
      </c>
    </row>
    <row r="92" ht="18" customHeight="1">
      <c r="A92" s="33" t="inlineStr">
        <is>
          <t>TK-089</t>
        </is>
      </c>
      <c r="B92" s="34" t="inlineStr">
        <is>
          <t>東急電鉄渋谷駅（田園都市線）</t>
        </is>
      </c>
      <c r="C92" s="35" t="inlineStr">
        <is>
          <t>東急グループ</t>
        </is>
      </c>
      <c r="D92" s="36" t="inlineStr">
        <is>
          <t>東京都渋谷区道玄坂２－１－１</t>
        </is>
      </c>
      <c r="E92" s="37" t="inlineStr">
        <is>
          <t>土・月・木・水・金</t>
        </is>
      </c>
      <c r="F92" s="36" t="inlineStr">
        <is>
          <t>中條・和田・荻野・長野</t>
        </is>
      </c>
      <c r="G92" s="36" t="inlineStr">
        <is>
          <t>段ボール・産廃・資源</t>
        </is>
      </c>
      <c r="H92" s="38" t="n">
        <v>170</v>
      </c>
    </row>
    <row r="93" ht="18" customHeight="1">
      <c r="A93" s="33" t="inlineStr">
        <is>
          <t>TK-090</t>
        </is>
      </c>
      <c r="B93" s="34" t="inlineStr">
        <is>
          <t>東急電鉄用賀駅</t>
        </is>
      </c>
      <c r="C93" s="35" t="inlineStr">
        <is>
          <t>東急グループ</t>
        </is>
      </c>
      <c r="D93" s="36" t="inlineStr">
        <is>
          <t>東京都世田谷区用賀２－３９</t>
        </is>
      </c>
      <c r="E93" s="37" t="inlineStr">
        <is>
          <t>土・木</t>
        </is>
      </c>
      <c r="F93" s="36" t="inlineStr">
        <is>
          <t>和田・荻野・長野</t>
        </is>
      </c>
      <c r="G93" s="36" t="inlineStr">
        <is>
          <t>段ボール・産廃</t>
        </is>
      </c>
      <c r="H93" s="38" t="n">
        <v>60</v>
      </c>
    </row>
    <row r="94" ht="18" customHeight="1">
      <c r="A94" s="33" t="inlineStr">
        <is>
          <t>TK-091</t>
        </is>
      </c>
      <c r="B94" s="34" t="inlineStr">
        <is>
          <t>東急電鉄田園調布駅</t>
        </is>
      </c>
      <c r="C94" s="35" t="inlineStr">
        <is>
          <t>東急グループ</t>
        </is>
      </c>
      <c r="D94" s="36" t="inlineStr">
        <is>
          <t>東京都大田区田園調布３－２５－１８</t>
        </is>
      </c>
      <c r="E94" s="37" t="inlineStr">
        <is>
          <t>・土・月・木・水・火・金</t>
        </is>
      </c>
      <c r="F94" s="36" t="inlineStr">
        <is>
          <t>千葉・和田・荻野・藤内・長野</t>
        </is>
      </c>
      <c r="G94" s="36" t="inlineStr">
        <is>
          <t>段ボール・産廃</t>
        </is>
      </c>
      <c r="H94" s="38" t="n">
        <v>550</v>
      </c>
    </row>
    <row r="95" ht="18" customHeight="1">
      <c r="A95" s="33" t="inlineStr">
        <is>
          <t>TK-092</t>
        </is>
      </c>
      <c r="B95" s="34" t="inlineStr">
        <is>
          <t>東急電鉄石川台駅</t>
        </is>
      </c>
      <c r="C95" s="35" t="inlineStr">
        <is>
          <t>東急グループ</t>
        </is>
      </c>
      <c r="D95" s="36" t="inlineStr">
        <is>
          <t>東京都大田区東雪谷２－２３－１</t>
        </is>
      </c>
      <c r="E95" s="37" t="inlineStr">
        <is>
          <t>火</t>
        </is>
      </c>
      <c r="F95" s="36" t="inlineStr">
        <is>
          <t>千葉</t>
        </is>
      </c>
      <c r="G95" s="36" t="inlineStr">
        <is>
          <t>産廃</t>
        </is>
      </c>
      <c r="H95" s="38" t="n">
        <v>20</v>
      </c>
    </row>
    <row r="96" ht="18" customHeight="1">
      <c r="A96" s="33" t="inlineStr">
        <is>
          <t>TK-093</t>
        </is>
      </c>
      <c r="B96" s="34" t="inlineStr">
        <is>
          <t>東急電鉄等々力駅</t>
        </is>
      </c>
      <c r="C96" s="35" t="inlineStr">
        <is>
          <t>東急グループ</t>
        </is>
      </c>
      <c r="D96" s="36" t="inlineStr">
        <is>
          <t>東京都世田谷区等々力３－１－１</t>
        </is>
      </c>
      <c r="E96" s="37" t="inlineStr">
        <is>
          <t>木</t>
        </is>
      </c>
      <c r="F96" s="36" t="inlineStr">
        <is>
          <t>長野</t>
        </is>
      </c>
      <c r="G96" s="36" t="inlineStr">
        <is>
          <t>産廃</t>
        </is>
      </c>
      <c r="H96" s="38" t="n">
        <v>20</v>
      </c>
    </row>
    <row r="97" ht="18" customHeight="1">
      <c r="A97" s="39" t="inlineStr">
        <is>
          <t>MT-001</t>
        </is>
      </c>
      <c r="B97" s="40" t="inlineStr">
        <is>
          <t>三田線三田駅</t>
        </is>
      </c>
      <c r="C97" s="41" t="inlineStr">
        <is>
          <t>都営地下鉄</t>
        </is>
      </c>
      <c r="D97" s="42" t="inlineStr">
        <is>
          <t>東京都港区芝５－１８－８</t>
        </is>
      </c>
      <c r="E97" s="43" t="inlineStr">
        <is>
          <t>土・木・火・金</t>
        </is>
      </c>
      <c r="F97" s="42" t="inlineStr">
        <is>
          <t>宮原・岡田</t>
        </is>
      </c>
      <c r="G97" s="42" t="inlineStr">
        <is>
          <t>一般廃・産廃</t>
        </is>
      </c>
      <c r="H97" s="44" t="n">
        <v>140</v>
      </c>
    </row>
    <row r="98" ht="18" customHeight="1">
      <c r="A98" s="39" t="inlineStr">
        <is>
          <t>MT-002</t>
        </is>
      </c>
      <c r="B98" s="40" t="inlineStr">
        <is>
          <t>三田線内幸町駅</t>
        </is>
      </c>
      <c r="C98" s="41" t="inlineStr">
        <is>
          <t>都営地下鉄</t>
        </is>
      </c>
      <c r="D98" s="42" t="inlineStr">
        <is>
          <t>東京都千代田区内幸町２－２－３</t>
        </is>
      </c>
      <c r="E98" s="43" t="inlineStr">
        <is>
          <t>土</t>
        </is>
      </c>
      <c r="F98" s="42" t="inlineStr">
        <is>
          <t>宮原・玉山</t>
        </is>
      </c>
      <c r="G98" s="42" t="inlineStr">
        <is>
          <t>産廃</t>
        </is>
      </c>
      <c r="H98" s="44" t="n">
        <v>24</v>
      </c>
    </row>
    <row r="99" ht="18" customHeight="1">
      <c r="A99" s="39" t="inlineStr">
        <is>
          <t>MT-003</t>
        </is>
      </c>
      <c r="B99" s="40" t="inlineStr">
        <is>
          <t>三田線千石駅</t>
        </is>
      </c>
      <c r="C99" s="41" t="inlineStr">
        <is>
          <t>都営地下鉄</t>
        </is>
      </c>
      <c r="D99" s="42" t="inlineStr">
        <is>
          <t>東京都文京区千石１－２９－１３</t>
        </is>
      </c>
      <c r="E99" s="43" t="inlineStr">
        <is>
          <t>土</t>
        </is>
      </c>
      <c r="F99" s="42" t="inlineStr">
        <is>
          <t>渡辺・柳沼</t>
        </is>
      </c>
      <c r="G99" s="42" t="inlineStr">
        <is>
          <t>産廃</t>
        </is>
      </c>
      <c r="H99" s="44" t="n">
        <v>16</v>
      </c>
    </row>
    <row r="100" ht="18" customHeight="1">
      <c r="A100" s="39" t="inlineStr">
        <is>
          <t>MT-004</t>
        </is>
      </c>
      <c r="B100" s="40" t="inlineStr">
        <is>
          <t>三田線大手町駅</t>
        </is>
      </c>
      <c r="C100" s="41" t="inlineStr">
        <is>
          <t>都営地下鉄</t>
        </is>
      </c>
      <c r="D100" s="42" t="inlineStr">
        <is>
          <t>東京都千代田区丸の内１－３－１</t>
        </is>
      </c>
      <c r="E100" s="43" t="inlineStr">
        <is>
          <t>土</t>
        </is>
      </c>
      <c r="F100" s="42" t="inlineStr">
        <is>
          <t>宮原・玉山</t>
        </is>
      </c>
      <c r="G100" s="42" t="inlineStr">
        <is>
          <t>産廃</t>
        </is>
      </c>
      <c r="H100" s="44" t="n">
        <v>40</v>
      </c>
    </row>
    <row r="101" ht="18" customHeight="1">
      <c r="A101" s="39" t="inlineStr">
        <is>
          <t>MT-005</t>
        </is>
      </c>
      <c r="B101" s="40" t="inlineStr">
        <is>
          <t>三田線巣鴨駅</t>
        </is>
      </c>
      <c r="C101" s="41" t="inlineStr">
        <is>
          <t>都営地下鉄</t>
        </is>
      </c>
      <c r="D101" s="42" t="inlineStr">
        <is>
          <t>東京都豊島区巣鴨３－２７－７</t>
        </is>
      </c>
      <c r="E101" s="43" t="inlineStr">
        <is>
          <t>土</t>
        </is>
      </c>
      <c r="F101" s="42" t="inlineStr">
        <is>
          <t>渡辺・柳沼</t>
        </is>
      </c>
      <c r="G101" s="42" t="inlineStr">
        <is>
          <t>産廃</t>
        </is>
      </c>
      <c r="H101" s="44" t="n">
        <v>32</v>
      </c>
    </row>
    <row r="102" ht="18" customHeight="1">
      <c r="A102" s="39" t="inlineStr">
        <is>
          <t>MT-006</t>
        </is>
      </c>
      <c r="B102" s="40" t="inlineStr">
        <is>
          <t>三田線御成門駅</t>
        </is>
      </c>
      <c r="C102" s="41" t="inlineStr">
        <is>
          <t>都営地下鉄</t>
        </is>
      </c>
      <c r="D102" s="42" t="inlineStr">
        <is>
          <t>東京都港区西新橋３－２４－６</t>
        </is>
      </c>
      <c r="E102" s="43" t="inlineStr">
        <is>
          <t>金</t>
        </is>
      </c>
      <c r="F102" s="42" t="inlineStr">
        <is>
          <t>宮原</t>
        </is>
      </c>
      <c r="G102" s="42" t="inlineStr">
        <is>
          <t>産廃</t>
        </is>
      </c>
      <c r="H102" s="44" t="n">
        <v>32</v>
      </c>
    </row>
    <row r="103" ht="18" customHeight="1">
      <c r="A103" s="39" t="inlineStr">
        <is>
          <t>MT-007</t>
        </is>
      </c>
      <c r="B103" s="40" t="inlineStr">
        <is>
          <t>三田線志村三丁目</t>
        </is>
      </c>
      <c r="C103" s="41" t="inlineStr">
        <is>
          <t>都営地下鉄</t>
        </is>
      </c>
      <c r="D103" s="42" t="inlineStr">
        <is>
          <t>東京都板橋区志村３－２３－１</t>
        </is>
      </c>
      <c r="E103" s="43" t="inlineStr">
        <is>
          <t>土・木</t>
        </is>
      </c>
      <c r="F103" s="42" t="inlineStr">
        <is>
          <t>大迫</t>
        </is>
      </c>
      <c r="G103" s="42" t="inlineStr">
        <is>
          <t>一般廃</t>
        </is>
      </c>
      <c r="H103" s="44" t="n">
        <v>80</v>
      </c>
    </row>
    <row r="104" ht="18" customHeight="1">
      <c r="A104" s="39" t="inlineStr">
        <is>
          <t>MT-008</t>
        </is>
      </c>
      <c r="B104" s="40" t="inlineStr">
        <is>
          <t>三田線志村三丁目駅</t>
        </is>
      </c>
      <c r="C104" s="41" t="inlineStr">
        <is>
          <t>都営地下鉄</t>
        </is>
      </c>
      <c r="D104" s="42" t="inlineStr">
        <is>
          <t>東京都板橋区志村３－２３－１</t>
        </is>
      </c>
      <c r="E104" s="43" t="inlineStr">
        <is>
          <t>土</t>
        </is>
      </c>
      <c r="F104" s="42" t="inlineStr">
        <is>
          <t>渡辺・柳沼</t>
        </is>
      </c>
      <c r="G104" s="42" t="inlineStr">
        <is>
          <t>産廃</t>
        </is>
      </c>
      <c r="H104" s="44" t="n">
        <v>16</v>
      </c>
    </row>
    <row r="105" ht="18" customHeight="1">
      <c r="A105" s="39" t="inlineStr">
        <is>
          <t>MT-009</t>
        </is>
      </c>
      <c r="B105" s="40" t="inlineStr">
        <is>
          <t>三田線志村坂下駅</t>
        </is>
      </c>
      <c r="C105" s="41" t="inlineStr">
        <is>
          <t>都営地下鉄</t>
        </is>
      </c>
      <c r="D105" s="42" t="inlineStr">
        <is>
          <t>東京都板橋区志村１－１４－１３</t>
        </is>
      </c>
      <c r="E105" s="43" t="inlineStr">
        <is>
          <t>土</t>
        </is>
      </c>
      <c r="F105" s="42" t="inlineStr">
        <is>
          <t>渡辺・柳沼</t>
        </is>
      </c>
      <c r="G105" s="42" t="inlineStr">
        <is>
          <t>産廃</t>
        </is>
      </c>
      <c r="H105" s="44" t="n">
        <v>8</v>
      </c>
    </row>
    <row r="106" ht="18" customHeight="1">
      <c r="A106" s="39" t="inlineStr">
        <is>
          <t>MT-010</t>
        </is>
      </c>
      <c r="B106" s="40" t="inlineStr">
        <is>
          <t>三田線新板橋駅</t>
        </is>
      </c>
      <c r="C106" s="41" t="inlineStr">
        <is>
          <t>都営地下鉄</t>
        </is>
      </c>
      <c r="D106" s="42" t="inlineStr">
        <is>
          <t>東京都板橋区板橋１－５３－１７</t>
        </is>
      </c>
      <c r="E106" s="43" t="inlineStr">
        <is>
          <t>土</t>
        </is>
      </c>
      <c r="F106" s="42" t="inlineStr">
        <is>
          <t>渡辺・柳沼</t>
        </is>
      </c>
      <c r="G106" s="42" t="inlineStr">
        <is>
          <t>産廃</t>
        </is>
      </c>
      <c r="H106" s="44" t="n">
        <v>16</v>
      </c>
    </row>
    <row r="107" ht="18" customHeight="1">
      <c r="A107" s="39" t="inlineStr">
        <is>
          <t>MT-011</t>
        </is>
      </c>
      <c r="B107" s="40" t="inlineStr">
        <is>
          <t>三田線新高島平駅</t>
        </is>
      </c>
      <c r="C107" s="41" t="inlineStr">
        <is>
          <t>都営地下鉄</t>
        </is>
      </c>
      <c r="D107" s="42" t="inlineStr">
        <is>
          <t>東京都板橋区高島平７－１</t>
        </is>
      </c>
      <c r="E107" s="43" t="inlineStr">
        <is>
          <t>土・火</t>
        </is>
      </c>
      <c r="F107" s="42" t="inlineStr">
        <is>
          <t>大迫・渡辺・柳沼</t>
        </is>
      </c>
      <c r="G107" s="42" t="inlineStr">
        <is>
          <t>一般廃・産廃</t>
        </is>
      </c>
      <c r="H107" s="44" t="n">
        <v>84</v>
      </c>
    </row>
    <row r="108" ht="18" customHeight="1">
      <c r="A108" s="39" t="inlineStr">
        <is>
          <t>MT-012</t>
        </is>
      </c>
      <c r="B108" s="40" t="inlineStr">
        <is>
          <t>三田線日比谷駅</t>
        </is>
      </c>
      <c r="C108" s="41" t="inlineStr">
        <is>
          <t>都営地下鉄</t>
        </is>
      </c>
      <c r="D108" s="42" t="inlineStr">
        <is>
          <t>東京都千代田区有楽町１－１３－１</t>
        </is>
      </c>
      <c r="E108" s="43" t="inlineStr">
        <is>
          <t>土</t>
        </is>
      </c>
      <c r="F108" s="42" t="inlineStr">
        <is>
          <t>宮原・玉山</t>
        </is>
      </c>
      <c r="G108" s="42" t="inlineStr">
        <is>
          <t>産廃</t>
        </is>
      </c>
      <c r="H108" s="44" t="n">
        <v>40</v>
      </c>
    </row>
    <row r="109" ht="18" customHeight="1">
      <c r="A109" s="39" t="inlineStr">
        <is>
          <t>MT-013</t>
        </is>
      </c>
      <c r="B109" s="40" t="inlineStr">
        <is>
          <t>三田線春日駅</t>
        </is>
      </c>
      <c r="C109" s="41" t="inlineStr">
        <is>
          <t>都営地下鉄</t>
        </is>
      </c>
      <c r="D109" s="42" t="inlineStr">
        <is>
          <t>東京都文京区本郷４－１５－１６</t>
        </is>
      </c>
      <c r="E109" s="43" t="inlineStr">
        <is>
          <t>土</t>
        </is>
      </c>
      <c r="F109" s="42" t="inlineStr">
        <is>
          <t>渡辺・柳沼</t>
        </is>
      </c>
      <c r="G109" s="42" t="inlineStr">
        <is>
          <t>産廃</t>
        </is>
      </c>
      <c r="H109" s="44" t="n">
        <v>32</v>
      </c>
    </row>
    <row r="110" ht="18" customHeight="1">
      <c r="A110" s="39" t="inlineStr">
        <is>
          <t>MT-014</t>
        </is>
      </c>
      <c r="B110" s="40" t="inlineStr">
        <is>
          <t>三田線本蓮沼駅</t>
        </is>
      </c>
      <c r="C110" s="41" t="inlineStr">
        <is>
          <t>都営地下鉄</t>
        </is>
      </c>
      <c r="D110" s="42" t="inlineStr">
        <is>
          <t>東京都板橋区蓮沼町１９－８</t>
        </is>
      </c>
      <c r="E110" s="43" t="inlineStr">
        <is>
          <t>土</t>
        </is>
      </c>
      <c r="F110" s="42" t="inlineStr">
        <is>
          <t>渡辺・柳沼</t>
        </is>
      </c>
      <c r="G110" s="42" t="inlineStr">
        <is>
          <t>産廃</t>
        </is>
      </c>
      <c r="H110" s="44" t="n">
        <v>16</v>
      </c>
    </row>
    <row r="111" ht="18" customHeight="1">
      <c r="A111" s="39" t="inlineStr">
        <is>
          <t>MT-015</t>
        </is>
      </c>
      <c r="B111" s="40" t="inlineStr">
        <is>
          <t>三田線板橋区役所前駅</t>
        </is>
      </c>
      <c r="C111" s="41" t="inlineStr">
        <is>
          <t>都営地下鉄</t>
        </is>
      </c>
      <c r="D111" s="42" t="inlineStr">
        <is>
          <t>東京都板橋区板橋２－６６－１７</t>
        </is>
      </c>
      <c r="E111" s="43" t="inlineStr">
        <is>
          <t>土</t>
        </is>
      </c>
      <c r="F111" s="42" t="inlineStr">
        <is>
          <t>渡辺・柳沼</t>
        </is>
      </c>
      <c r="G111" s="42" t="inlineStr">
        <is>
          <t>産廃</t>
        </is>
      </c>
      <c r="H111" s="44" t="n">
        <v>16</v>
      </c>
    </row>
    <row r="112" ht="18" customHeight="1">
      <c r="A112" s="39" t="inlineStr">
        <is>
          <t>MT-016</t>
        </is>
      </c>
      <c r="B112" s="40" t="inlineStr">
        <is>
          <t>三田線板橋本町駅</t>
        </is>
      </c>
      <c r="C112" s="41" t="inlineStr">
        <is>
          <t>都営地下鉄</t>
        </is>
      </c>
      <c r="D112" s="42" t="inlineStr">
        <is>
          <t>東京都板橋区大和町１７－１</t>
        </is>
      </c>
      <c r="E112" s="43" t="inlineStr">
        <is>
          <t>土</t>
        </is>
      </c>
      <c r="F112" s="42" t="inlineStr">
        <is>
          <t>渡辺・柳沼</t>
        </is>
      </c>
      <c r="G112" s="42" t="inlineStr">
        <is>
          <t>産廃</t>
        </is>
      </c>
      <c r="H112" s="44" t="n">
        <v>8</v>
      </c>
    </row>
    <row r="113" ht="18" customHeight="1">
      <c r="A113" s="39" t="inlineStr">
        <is>
          <t>MT-017</t>
        </is>
      </c>
      <c r="B113" s="40" t="inlineStr">
        <is>
          <t>三田線水道橋駅</t>
        </is>
      </c>
      <c r="C113" s="41" t="inlineStr">
        <is>
          <t>都営地下鉄</t>
        </is>
      </c>
      <c r="D113" s="42" t="inlineStr">
        <is>
          <t>東京都文京区後楽１－３－４２</t>
        </is>
      </c>
      <c r="E113" s="43" t="inlineStr">
        <is>
          <t>土</t>
        </is>
      </c>
      <c r="F113" s="42" t="inlineStr">
        <is>
          <t>渡辺・柳沼</t>
        </is>
      </c>
      <c r="G113" s="42" t="inlineStr">
        <is>
          <t>産廃</t>
        </is>
      </c>
      <c r="H113" s="44" t="n">
        <v>32</v>
      </c>
    </row>
    <row r="114" ht="18" customHeight="1">
      <c r="A114" s="39" t="inlineStr">
        <is>
          <t>MT-018</t>
        </is>
      </c>
      <c r="B114" s="40" t="inlineStr">
        <is>
          <t>三田線白山駅</t>
        </is>
      </c>
      <c r="C114" s="41" t="inlineStr">
        <is>
          <t>都営地下鉄</t>
        </is>
      </c>
      <c r="D114" s="42" t="inlineStr">
        <is>
          <t>東京都文京区白山５－３６－１０</t>
        </is>
      </c>
      <c r="E114" s="43" t="inlineStr">
        <is>
          <t>土</t>
        </is>
      </c>
      <c r="F114" s="42" t="inlineStr">
        <is>
          <t>渡辺・柳沼</t>
        </is>
      </c>
      <c r="G114" s="42" t="inlineStr">
        <is>
          <t>産廃</t>
        </is>
      </c>
      <c r="H114" s="44" t="n">
        <v>16</v>
      </c>
    </row>
    <row r="115" ht="18" customHeight="1">
      <c r="A115" s="39" t="inlineStr">
        <is>
          <t>MT-019</t>
        </is>
      </c>
      <c r="B115" s="40" t="inlineStr">
        <is>
          <t>三田線神保町駅</t>
        </is>
      </c>
      <c r="C115" s="41" t="inlineStr">
        <is>
          <t>都営地下鉄</t>
        </is>
      </c>
      <c r="D115" s="42" t="inlineStr">
        <is>
          <t>東京都千代田区神田神保町２－１</t>
        </is>
      </c>
      <c r="E115" s="43" t="inlineStr">
        <is>
          <t>月・木・水・金</t>
        </is>
      </c>
      <c r="F115" s="42" t="inlineStr">
        <is>
          <t>宮原・岡田</t>
        </is>
      </c>
      <c r="G115" s="42" t="inlineStr">
        <is>
          <t>一般廃・産廃</t>
        </is>
      </c>
      <c r="H115" s="44" t="n">
        <v>120</v>
      </c>
    </row>
    <row r="116" ht="18" customHeight="1">
      <c r="A116" s="39" t="inlineStr">
        <is>
          <t>MT-020</t>
        </is>
      </c>
      <c r="B116" s="40" t="inlineStr">
        <is>
          <t>三田線芝公園駅</t>
        </is>
      </c>
      <c r="C116" s="41" t="inlineStr">
        <is>
          <t>都営地下鉄</t>
        </is>
      </c>
      <c r="D116" s="42" t="inlineStr">
        <is>
          <t>東京都港区芝公園４－８－１４</t>
        </is>
      </c>
      <c r="E116" s="43" t="inlineStr">
        <is>
          <t>土・水・火</t>
        </is>
      </c>
      <c r="F116" s="42" t="inlineStr">
        <is>
          <t>宮原・岡田</t>
        </is>
      </c>
      <c r="G116" s="42" t="inlineStr">
        <is>
          <t>一般廃・産廃</t>
        </is>
      </c>
      <c r="H116" s="44" t="n">
        <v>54</v>
      </c>
    </row>
    <row r="117" ht="18" customHeight="1">
      <c r="A117" s="39" t="inlineStr">
        <is>
          <t>MT-021</t>
        </is>
      </c>
      <c r="B117" s="40" t="inlineStr">
        <is>
          <t>三田線蓮根駅</t>
        </is>
      </c>
      <c r="C117" s="41" t="inlineStr">
        <is>
          <t>都営地下鉄</t>
        </is>
      </c>
      <c r="D117" s="42" t="inlineStr">
        <is>
          <t>東京都板橋区蓮根２－３１－３０</t>
        </is>
      </c>
      <c r="E117" s="43" t="inlineStr">
        <is>
          <t>土・火</t>
        </is>
      </c>
      <c r="F117" s="42" t="inlineStr">
        <is>
          <t>大迫・渡辺・柳沼</t>
        </is>
      </c>
      <c r="G117" s="42" t="inlineStr">
        <is>
          <t>一般廃・産廃</t>
        </is>
      </c>
      <c r="H117" s="44" t="n">
        <v>76</v>
      </c>
    </row>
    <row r="118" ht="18" customHeight="1">
      <c r="A118" s="39" t="inlineStr">
        <is>
          <t>MT-022</t>
        </is>
      </c>
      <c r="B118" s="40" t="inlineStr">
        <is>
          <t>三田線西台駅</t>
        </is>
      </c>
      <c r="C118" s="41" t="inlineStr">
        <is>
          <t>都営地下鉄</t>
        </is>
      </c>
      <c r="D118" s="42" t="inlineStr">
        <is>
          <t>東京都板橋区高島平９－１－１</t>
        </is>
      </c>
      <c r="E118" s="43" t="inlineStr">
        <is>
          <t>土・火</t>
        </is>
      </c>
      <c r="F118" s="42" t="inlineStr">
        <is>
          <t>大迫・渡辺・柳沼</t>
        </is>
      </c>
      <c r="G118" s="42" t="inlineStr">
        <is>
          <t>一般廃・産廃</t>
        </is>
      </c>
      <c r="H118" s="44" t="n">
        <v>116</v>
      </c>
    </row>
    <row r="119" ht="18" customHeight="1">
      <c r="A119" s="39" t="inlineStr">
        <is>
          <t>MT-023</t>
        </is>
      </c>
      <c r="B119" s="40" t="inlineStr">
        <is>
          <t>三田線西巣鴨駅</t>
        </is>
      </c>
      <c r="C119" s="41" t="inlineStr">
        <is>
          <t>都営地下鉄</t>
        </is>
      </c>
      <c r="D119" s="42" t="inlineStr">
        <is>
          <t>東京都豊島区西巣鴨３－２５－１３</t>
        </is>
      </c>
      <c r="E119" s="43" t="inlineStr">
        <is>
          <t>土</t>
        </is>
      </c>
      <c r="F119" s="42" t="inlineStr">
        <is>
          <t>渡辺・柳沼</t>
        </is>
      </c>
      <c r="G119" s="42" t="inlineStr">
        <is>
          <t>産廃</t>
        </is>
      </c>
      <c r="H119" s="44" t="n">
        <v>16</v>
      </c>
    </row>
    <row r="120" ht="18" customHeight="1">
      <c r="A120" s="39" t="inlineStr">
        <is>
          <t>MT-024</t>
        </is>
      </c>
      <c r="B120" s="40" t="inlineStr">
        <is>
          <t>三田線西高島平駅</t>
        </is>
      </c>
      <c r="C120" s="41" t="inlineStr">
        <is>
          <t>都営地下鉄</t>
        </is>
      </c>
      <c r="D120" s="42" t="inlineStr">
        <is>
          <t>東京都板橋区高島平６－１</t>
        </is>
      </c>
      <c r="E120" s="43" t="inlineStr">
        <is>
          <t>土・木・火</t>
        </is>
      </c>
      <c r="F120" s="42" t="inlineStr">
        <is>
          <t>大迫・渡辺・柳沼</t>
        </is>
      </c>
      <c r="G120" s="42" t="inlineStr">
        <is>
          <t>一般廃・産廃</t>
        </is>
      </c>
      <c r="H120" s="44" t="n">
        <v>180</v>
      </c>
    </row>
    <row r="121" ht="18" customHeight="1">
      <c r="A121" s="39" t="inlineStr">
        <is>
          <t>MT-025</t>
        </is>
      </c>
      <c r="B121" s="40" t="inlineStr">
        <is>
          <t>三田線高島平駅</t>
        </is>
      </c>
      <c r="C121" s="41" t="inlineStr">
        <is>
          <t>都営地下鉄</t>
        </is>
      </c>
      <c r="D121" s="42" t="inlineStr">
        <is>
          <t>東京都板橋区高島平８－２－１</t>
        </is>
      </c>
      <c r="E121" s="43" t="inlineStr">
        <is>
          <t>土・木・火</t>
        </is>
      </c>
      <c r="F121" s="42" t="inlineStr">
        <is>
          <t>大迫・渡辺・柳沼</t>
        </is>
      </c>
      <c r="G121" s="42" t="inlineStr">
        <is>
          <t>一般廃・産廃</t>
        </is>
      </c>
      <c r="H121" s="44" t="n">
        <v>76</v>
      </c>
    </row>
    <row r="122" ht="18" customHeight="1">
      <c r="A122" s="39" t="inlineStr">
        <is>
          <t>MT-026</t>
        </is>
      </c>
      <c r="B122" s="40" t="inlineStr">
        <is>
          <t>光が丘乗務区（都交通局）</t>
        </is>
      </c>
      <c r="C122" s="41" t="inlineStr">
        <is>
          <t>都営地下鉄</t>
        </is>
      </c>
      <c r="D122" s="42" t="inlineStr">
        <is>
          <t>東京都練馬区光が丘２－９－３</t>
        </is>
      </c>
      <c r="E122" s="43" t="inlineStr">
        <is>
          <t>土・月・木・火</t>
        </is>
      </c>
      <c r="F122" s="42" t="inlineStr">
        <is>
          <t>大迫・宮原</t>
        </is>
      </c>
      <c r="G122" s="42" t="inlineStr">
        <is>
          <t>一般廃・産廃</t>
        </is>
      </c>
      <c r="H122" s="44" t="n">
        <v>220</v>
      </c>
    </row>
    <row r="123" ht="18" customHeight="1">
      <c r="A123" s="39" t="inlineStr">
        <is>
          <t>MT-027</t>
        </is>
      </c>
      <c r="B123" s="40" t="inlineStr">
        <is>
          <t>大島乗務区（都交通局）</t>
        </is>
      </c>
      <c r="C123" s="41" t="inlineStr">
        <is>
          <t>都営地下鉄</t>
        </is>
      </c>
      <c r="D123" s="42" t="inlineStr">
        <is>
          <t>東京都江東区大島９－９－２２</t>
        </is>
      </c>
      <c r="E123" s="43" t="inlineStr">
        <is>
          <t>月・木・水・金</t>
        </is>
      </c>
      <c r="F123" s="42" t="inlineStr">
        <is>
          <t>宮原・岡田</t>
        </is>
      </c>
      <c r="G123" s="42" t="inlineStr">
        <is>
          <t>一般廃・産廃</t>
        </is>
      </c>
      <c r="H123" s="44" t="n">
        <v>632</v>
      </c>
    </row>
    <row r="124" ht="18" customHeight="1">
      <c r="A124" s="39" t="inlineStr">
        <is>
          <t>MT-028</t>
        </is>
      </c>
      <c r="B124" s="40" t="inlineStr">
        <is>
          <t>大江戸線上野御徒町駅</t>
        </is>
      </c>
      <c r="C124" s="41" t="inlineStr">
        <is>
          <t>都営地下鉄</t>
        </is>
      </c>
      <c r="D124" s="42" t="inlineStr">
        <is>
          <t>東京都台東区上野５－２６－６</t>
        </is>
      </c>
      <c r="E124" s="43" t="inlineStr">
        <is>
          <t>土</t>
        </is>
      </c>
      <c r="F124" s="42" t="inlineStr">
        <is>
          <t>宮原・玉山</t>
        </is>
      </c>
      <c r="G124" s="42" t="inlineStr">
        <is>
          <t>産廃</t>
        </is>
      </c>
      <c r="H124" s="44" t="n">
        <v>48</v>
      </c>
    </row>
    <row r="125" ht="18" customHeight="1">
      <c r="A125" s="39" t="inlineStr">
        <is>
          <t>MT-029</t>
        </is>
      </c>
      <c r="B125" s="40" t="inlineStr">
        <is>
          <t>大江戸線両国駅</t>
        </is>
      </c>
      <c r="C125" s="41" t="inlineStr">
        <is>
          <t>都営地下鉄</t>
        </is>
      </c>
      <c r="D125" s="42" t="inlineStr">
        <is>
          <t>東京都墨田区横綱１－４－２９</t>
        </is>
      </c>
      <c r="E125" s="43" t="inlineStr">
        <is>
          <t>土・木・火</t>
        </is>
      </c>
      <c r="F125" s="42" t="inlineStr">
        <is>
          <t>宮原・玉山・岡田</t>
        </is>
      </c>
      <c r="G125" s="42" t="inlineStr">
        <is>
          <t>一般廃・産廃</t>
        </is>
      </c>
      <c r="H125" s="44" t="n">
        <v>36</v>
      </c>
    </row>
    <row r="126" ht="18" customHeight="1">
      <c r="A126" s="39" t="inlineStr">
        <is>
          <t>MT-030</t>
        </is>
      </c>
      <c r="B126" s="40" t="inlineStr">
        <is>
          <t>大江戸線中井駅</t>
        </is>
      </c>
      <c r="C126" s="41" t="inlineStr">
        <is>
          <t>都営地下鉄</t>
        </is>
      </c>
      <c r="D126" s="42" t="inlineStr">
        <is>
          <t>東京都中野区上落合２－２０－８</t>
        </is>
      </c>
      <c r="E126" s="43" t="inlineStr">
        <is>
          <t>土・月・火</t>
        </is>
      </c>
      <c r="F126" s="42" t="inlineStr">
        <is>
          <t>大迫・宮原</t>
        </is>
      </c>
      <c r="G126" s="42" t="inlineStr">
        <is>
          <t>一般廃・産廃</t>
        </is>
      </c>
      <c r="H126" s="44" t="n">
        <v>98</v>
      </c>
    </row>
    <row r="127" ht="18" customHeight="1">
      <c r="A127" s="39" t="inlineStr">
        <is>
          <t>MT-031</t>
        </is>
      </c>
      <c r="B127" s="40" t="inlineStr">
        <is>
          <t>大江戸線中野坂上駅</t>
        </is>
      </c>
      <c r="C127" s="41" t="inlineStr">
        <is>
          <t>都営地下鉄</t>
        </is>
      </c>
      <c r="D127" s="42" t="inlineStr">
        <is>
          <t>東京都中野区中央２－２－２８</t>
        </is>
      </c>
      <c r="E127" s="43" t="inlineStr">
        <is>
          <t>土・月・木・火</t>
        </is>
      </c>
      <c r="F127" s="42" t="inlineStr">
        <is>
          <t>大迫・宮原</t>
        </is>
      </c>
      <c r="G127" s="42" t="inlineStr">
        <is>
          <t>一般廃・産廃</t>
        </is>
      </c>
      <c r="H127" s="44" t="n">
        <v>128</v>
      </c>
    </row>
    <row r="128" ht="18" customHeight="1">
      <c r="A128" s="39" t="inlineStr">
        <is>
          <t>MT-032</t>
        </is>
      </c>
      <c r="B128" s="40" t="inlineStr">
        <is>
          <t>大江戸線代々木駅</t>
        </is>
      </c>
      <c r="C128" s="41" t="inlineStr">
        <is>
          <t>都営地下鉄</t>
        </is>
      </c>
      <c r="D128" s="42" t="inlineStr">
        <is>
          <t>東京都渋谷区代々木１－３５－５</t>
        </is>
      </c>
      <c r="E128" s="43" t="inlineStr">
        <is>
          <t>土・木・水</t>
        </is>
      </c>
      <c r="F128" s="42" t="inlineStr">
        <is>
          <t>宮原・岡田</t>
        </is>
      </c>
      <c r="G128" s="42" t="inlineStr">
        <is>
          <t>一般廃・産廃</t>
        </is>
      </c>
      <c r="H128" s="44" t="n">
        <v>72</v>
      </c>
    </row>
    <row r="129" ht="18" customHeight="1">
      <c r="A129" s="39" t="inlineStr">
        <is>
          <t>MT-033</t>
        </is>
      </c>
      <c r="B129" s="40" t="inlineStr">
        <is>
          <t>大江戸線光が丘駅</t>
        </is>
      </c>
      <c r="C129" s="41" t="inlineStr">
        <is>
          <t>都営地下鉄</t>
        </is>
      </c>
      <c r="D129" s="42" t="inlineStr">
        <is>
          <t>東京都練馬区光が丘２－９－５</t>
        </is>
      </c>
      <c r="E129" s="43" t="inlineStr">
        <is>
          <t>土・月・木・火</t>
        </is>
      </c>
      <c r="F129" s="42" t="inlineStr">
        <is>
          <t>大迫・宮原</t>
        </is>
      </c>
      <c r="G129" s="42" t="inlineStr">
        <is>
          <t>一般廃・産廃</t>
        </is>
      </c>
      <c r="H129" s="44" t="n">
        <v>136</v>
      </c>
    </row>
    <row r="130" ht="18" customHeight="1">
      <c r="A130" s="39" t="inlineStr">
        <is>
          <t>MT-034</t>
        </is>
      </c>
      <c r="B130" s="40" t="inlineStr">
        <is>
          <t>大江戸線六本木駅</t>
        </is>
      </c>
      <c r="C130" s="41" t="inlineStr">
        <is>
          <t>都営地下鉄</t>
        </is>
      </c>
      <c r="D130" s="42" t="inlineStr">
        <is>
          <t>東京都港区赤坂９－７－３９</t>
        </is>
      </c>
      <c r="E130" s="43" t="inlineStr">
        <is>
          <t>土・木・水・火</t>
        </is>
      </c>
      <c r="F130" s="42" t="inlineStr">
        <is>
          <t>宮原・岡田</t>
        </is>
      </c>
      <c r="G130" s="42" t="inlineStr">
        <is>
          <t>一般廃・産廃</t>
        </is>
      </c>
      <c r="H130" s="44" t="n">
        <v>128</v>
      </c>
    </row>
    <row r="131" ht="18" customHeight="1">
      <c r="A131" s="39" t="inlineStr">
        <is>
          <t>MT-035</t>
        </is>
      </c>
      <c r="B131" s="40" t="inlineStr">
        <is>
          <t>大江戸線勝どき駅</t>
        </is>
      </c>
      <c r="C131" s="41" t="inlineStr">
        <is>
          <t>都営地下鉄</t>
        </is>
      </c>
      <c r="D131" s="42" t="inlineStr">
        <is>
          <t>東京都中央区勝どき２－１０－１５</t>
        </is>
      </c>
      <c r="E131" s="43" t="inlineStr">
        <is>
          <t>土・木・水・火</t>
        </is>
      </c>
      <c r="F131" s="42" t="inlineStr">
        <is>
          <t>宮原・岡田</t>
        </is>
      </c>
      <c r="G131" s="42" t="inlineStr">
        <is>
          <t>一般廃・産廃</t>
        </is>
      </c>
      <c r="H131" s="44" t="n">
        <v>110</v>
      </c>
    </row>
    <row r="132" ht="18" customHeight="1">
      <c r="A132" s="39" t="inlineStr">
        <is>
          <t>MT-036</t>
        </is>
      </c>
      <c r="B132" s="40" t="inlineStr">
        <is>
          <t>大江戸線国立競技場</t>
        </is>
      </c>
      <c r="C132" s="41" t="inlineStr">
        <is>
          <t>都営地下鉄</t>
        </is>
      </c>
      <c r="D132" s="42" t="inlineStr">
        <is>
          <t>東京都新宿区霞ヶ丘町10番地</t>
        </is>
      </c>
      <c r="E132" s="43" t="inlineStr">
        <is>
          <t>土・木・水</t>
        </is>
      </c>
      <c r="F132" s="42" t="inlineStr">
        <is>
          <t>宮原・岡田</t>
        </is>
      </c>
      <c r="G132" s="42" t="inlineStr">
        <is>
          <t>一般廃・産廃</t>
        </is>
      </c>
      <c r="H132" s="44" t="n">
        <v>56</v>
      </c>
    </row>
    <row r="133" ht="18" customHeight="1">
      <c r="A133" s="39" t="inlineStr">
        <is>
          <t>MT-037</t>
        </is>
      </c>
      <c r="B133" s="40" t="inlineStr">
        <is>
          <t>大江戸線大門駅</t>
        </is>
      </c>
      <c r="C133" s="41" t="inlineStr">
        <is>
          <t>都営地下鉄</t>
        </is>
      </c>
      <c r="D133" s="42" t="inlineStr">
        <is>
          <t>東京都港区浜松町２－３－４</t>
        </is>
      </c>
      <c r="E133" s="43" t="inlineStr">
        <is>
          <t>土・木・水・火</t>
        </is>
      </c>
      <c r="F133" s="42" t="inlineStr">
        <is>
          <t>宮原・岡田</t>
        </is>
      </c>
      <c r="G133" s="42" t="inlineStr">
        <is>
          <t>一般廃・産廃</t>
        </is>
      </c>
      <c r="H133" s="44" t="n">
        <v>220</v>
      </c>
    </row>
    <row r="134" ht="18" customHeight="1">
      <c r="A134" s="39" t="inlineStr">
        <is>
          <t>MT-038</t>
        </is>
      </c>
      <c r="B134" s="40" t="inlineStr">
        <is>
          <t>大江戸線新宿西口駅</t>
        </is>
      </c>
      <c r="C134" s="41" t="inlineStr">
        <is>
          <t>都営地下鉄</t>
        </is>
      </c>
      <c r="D134" s="42" t="inlineStr">
        <is>
          <t>東京都新宿区西新宿１－３－１</t>
        </is>
      </c>
      <c r="E134" s="43" t="inlineStr">
        <is>
          <t>土・月・木・火</t>
        </is>
      </c>
      <c r="F134" s="42" t="inlineStr">
        <is>
          <t>大迫・宮原</t>
        </is>
      </c>
      <c r="G134" s="42" t="inlineStr">
        <is>
          <t>一般廃・産廃</t>
        </is>
      </c>
      <c r="H134" s="44" t="n">
        <v>156</v>
      </c>
    </row>
    <row r="135" ht="18" customHeight="1">
      <c r="A135" s="39" t="inlineStr">
        <is>
          <t>MT-039</t>
        </is>
      </c>
      <c r="B135" s="40" t="inlineStr">
        <is>
          <t>大江戸線新宿駅</t>
        </is>
      </c>
      <c r="C135" s="41" t="inlineStr">
        <is>
          <t>都営地下鉄</t>
        </is>
      </c>
      <c r="D135" s="42" t="inlineStr">
        <is>
          <t>東京都渋谷区代々木２－１－１</t>
        </is>
      </c>
      <c r="E135" s="43" t="inlineStr">
        <is>
          <t>土・木・水・火</t>
        </is>
      </c>
      <c r="F135" s="42" t="inlineStr">
        <is>
          <t>宮原・岡田</t>
        </is>
      </c>
      <c r="G135" s="42" t="inlineStr">
        <is>
          <t>一般廃・産廃</t>
        </is>
      </c>
      <c r="H135" s="44" t="n">
        <v>128</v>
      </c>
    </row>
    <row r="136" ht="18" customHeight="1">
      <c r="A136" s="39" t="inlineStr">
        <is>
          <t>MT-040</t>
        </is>
      </c>
      <c r="B136" s="40" t="inlineStr">
        <is>
          <t>大江戸線新御徒町駅</t>
        </is>
      </c>
      <c r="C136" s="41" t="inlineStr">
        <is>
          <t>都営地下鉄</t>
        </is>
      </c>
      <c r="D136" s="42" t="inlineStr">
        <is>
          <t>東京都台東区元浅草１－５－２</t>
        </is>
      </c>
      <c r="E136" s="43" t="inlineStr">
        <is>
          <t>土</t>
        </is>
      </c>
      <c r="F136" s="42" t="inlineStr">
        <is>
          <t>宮原・玉山</t>
        </is>
      </c>
      <c r="G136" s="42" t="inlineStr">
        <is>
          <t>産廃</t>
        </is>
      </c>
      <c r="H136" s="44" t="n">
        <v>16</v>
      </c>
    </row>
    <row r="137" ht="18" customHeight="1">
      <c r="A137" s="39" t="inlineStr">
        <is>
          <t>MT-041</t>
        </is>
      </c>
      <c r="B137" s="40" t="inlineStr">
        <is>
          <t>大江戸線新江古田駅</t>
        </is>
      </c>
      <c r="C137" s="41" t="inlineStr">
        <is>
          <t>都営地下鉄</t>
        </is>
      </c>
      <c r="D137" s="42" t="inlineStr">
        <is>
          <t>東京都中野区江原町２－２９－１３</t>
        </is>
      </c>
      <c r="E137" s="43" t="inlineStr">
        <is>
          <t>土・月・木</t>
        </is>
      </c>
      <c r="F137" s="42" t="inlineStr">
        <is>
          <t>大迫・宮原</t>
        </is>
      </c>
      <c r="G137" s="42" t="inlineStr">
        <is>
          <t>一般廃・産廃</t>
        </is>
      </c>
      <c r="H137" s="44" t="n">
        <v>48</v>
      </c>
    </row>
    <row r="138" ht="18" customHeight="1">
      <c r="A138" s="39" t="inlineStr">
        <is>
          <t>MT-042</t>
        </is>
      </c>
      <c r="B138" s="40" t="inlineStr">
        <is>
          <t>大江戸線春日駅</t>
        </is>
      </c>
      <c r="C138" s="41" t="inlineStr">
        <is>
          <t>都営地下鉄</t>
        </is>
      </c>
      <c r="D138" s="42" t="inlineStr">
        <is>
          <t>東京都文京区春日１－１６－１７</t>
        </is>
      </c>
      <c r="E138" s="43" t="inlineStr">
        <is>
          <t>土</t>
        </is>
      </c>
      <c r="F138" s="42" t="inlineStr">
        <is>
          <t>渡辺・柳沼</t>
        </is>
      </c>
      <c r="G138" s="42" t="inlineStr">
        <is>
          <t>産廃</t>
        </is>
      </c>
      <c r="H138" s="44" t="n">
        <v>0</v>
      </c>
    </row>
    <row r="139" ht="18" customHeight="1">
      <c r="A139" s="39" t="inlineStr">
        <is>
          <t>MT-043</t>
        </is>
      </c>
      <c r="B139" s="40" t="inlineStr">
        <is>
          <t>大江戸線月島駅</t>
        </is>
      </c>
      <c r="C139" s="41" t="inlineStr">
        <is>
          <t>都営地下鉄</t>
        </is>
      </c>
      <c r="D139" s="42" t="inlineStr">
        <is>
          <t>東京都中央区月島１－５－４</t>
        </is>
      </c>
      <c r="E139" s="43" t="inlineStr">
        <is>
          <t>土・水・火</t>
        </is>
      </c>
      <c r="F139" s="42" t="inlineStr">
        <is>
          <t>宮原・岡田</t>
        </is>
      </c>
      <c r="G139" s="42" t="inlineStr">
        <is>
          <t>一般廃・産廃</t>
        </is>
      </c>
      <c r="H139" s="44" t="n">
        <v>72</v>
      </c>
    </row>
    <row r="140" ht="18" customHeight="1">
      <c r="A140" s="39" t="inlineStr">
        <is>
          <t>MT-044</t>
        </is>
      </c>
      <c r="B140" s="40" t="inlineStr">
        <is>
          <t>大江戸線本郷三丁目駅</t>
        </is>
      </c>
      <c r="C140" s="41" t="inlineStr">
        <is>
          <t>都営地下鉄</t>
        </is>
      </c>
      <c r="D140" s="42" t="inlineStr">
        <is>
          <t>東京都文京区本郷２－４０－８</t>
        </is>
      </c>
      <c r="E140" s="43" t="inlineStr">
        <is>
          <t>土</t>
        </is>
      </c>
      <c r="F140" s="42" t="inlineStr">
        <is>
          <t>渡辺・柳沼</t>
        </is>
      </c>
      <c r="G140" s="42" t="inlineStr">
        <is>
          <t>産廃</t>
        </is>
      </c>
      <c r="H140" s="44" t="n">
        <v>8</v>
      </c>
    </row>
    <row r="141" ht="18" customHeight="1">
      <c r="A141" s="39" t="inlineStr">
        <is>
          <t>MT-045</t>
        </is>
      </c>
      <c r="B141" s="40" t="inlineStr">
        <is>
          <t>大江戸線東中野駅</t>
        </is>
      </c>
      <c r="C141" s="41" t="inlineStr">
        <is>
          <t>都営地下鉄</t>
        </is>
      </c>
      <c r="D141" s="42" t="inlineStr">
        <is>
          <t>東京都中野区東中野３－８－１６</t>
        </is>
      </c>
      <c r="E141" s="43" t="inlineStr">
        <is>
          <t>土・月・木</t>
        </is>
      </c>
      <c r="F141" s="42" t="inlineStr">
        <is>
          <t>大迫・宮原</t>
        </is>
      </c>
      <c r="G141" s="42" t="inlineStr">
        <is>
          <t>一般廃・産廃</t>
        </is>
      </c>
      <c r="H141" s="44" t="n">
        <v>74</v>
      </c>
    </row>
    <row r="142" ht="18" customHeight="1">
      <c r="A142" s="39" t="inlineStr">
        <is>
          <t>MT-046</t>
        </is>
      </c>
      <c r="B142" s="40" t="inlineStr">
        <is>
          <t>大江戸線東新宿駅</t>
        </is>
      </c>
      <c r="C142" s="41" t="inlineStr">
        <is>
          <t>都営地下鉄</t>
        </is>
      </c>
      <c r="D142" s="42" t="inlineStr">
        <is>
          <t>東京都新宿区新宿７－２７－３</t>
        </is>
      </c>
      <c r="E142" s="43" t="inlineStr">
        <is>
          <t>土・月・木・火</t>
        </is>
      </c>
      <c r="F142" s="42" t="inlineStr">
        <is>
          <t>大迫・宮原</t>
        </is>
      </c>
      <c r="G142" s="42" t="inlineStr">
        <is>
          <t>一般廃・産廃</t>
        </is>
      </c>
      <c r="H142" s="44" t="n">
        <v>84</v>
      </c>
    </row>
    <row r="143" ht="18" customHeight="1">
      <c r="A143" s="39" t="inlineStr">
        <is>
          <t>MT-047</t>
        </is>
      </c>
      <c r="B143" s="40" t="inlineStr">
        <is>
          <t>大江戸線森下駅</t>
        </is>
      </c>
      <c r="C143" s="41" t="inlineStr">
        <is>
          <t>都営地下鉄</t>
        </is>
      </c>
      <c r="D143" s="42" t="inlineStr">
        <is>
          <t>東京都江東区森下２－１７－１７</t>
        </is>
      </c>
      <c r="E143" s="43" t="inlineStr">
        <is>
          <t>月・木・金</t>
        </is>
      </c>
      <c r="F143" s="42" t="inlineStr">
        <is>
          <t>宮原・岡田</t>
        </is>
      </c>
      <c r="G143" s="42" t="inlineStr">
        <is>
          <t>一般廃・産廃</t>
        </is>
      </c>
      <c r="H143" s="44" t="n">
        <v>38</v>
      </c>
    </row>
    <row r="144" ht="18" customHeight="1">
      <c r="A144" s="39" t="inlineStr">
        <is>
          <t>MT-048</t>
        </is>
      </c>
      <c r="B144" s="40" t="inlineStr">
        <is>
          <t>大江戸線汐留駅</t>
        </is>
      </c>
      <c r="C144" s="41" t="inlineStr">
        <is>
          <t>都営地下鉄</t>
        </is>
      </c>
      <c r="D144" s="42" t="inlineStr">
        <is>
          <t>東京都港区東新橋１－５－８</t>
        </is>
      </c>
      <c r="E144" s="43" t="inlineStr">
        <is>
          <t>土・木</t>
        </is>
      </c>
      <c r="F144" s="42" t="inlineStr">
        <is>
          <t>宮原・玉山・岡田</t>
        </is>
      </c>
      <c r="G144" s="42" t="inlineStr">
        <is>
          <t>一般廃・産廃</t>
        </is>
      </c>
      <c r="H144" s="44" t="n">
        <v>64</v>
      </c>
    </row>
    <row r="145" ht="18" customHeight="1">
      <c r="A145" s="39" t="inlineStr">
        <is>
          <t>MT-049</t>
        </is>
      </c>
      <c r="B145" s="40" t="inlineStr">
        <is>
          <t>大江戸線清澄白河駅</t>
        </is>
      </c>
      <c r="C145" s="41" t="inlineStr">
        <is>
          <t>都営地下鉄</t>
        </is>
      </c>
      <c r="D145" s="42" t="inlineStr">
        <is>
          <t>東京都江東区清澄３－１１－４</t>
        </is>
      </c>
      <c r="E145" s="43" t="inlineStr">
        <is>
          <t>土・木・水</t>
        </is>
      </c>
      <c r="F145" s="42" t="inlineStr">
        <is>
          <t>宮原・岡田</t>
        </is>
      </c>
      <c r="G145" s="42" t="inlineStr">
        <is>
          <t>一般廃・産廃</t>
        </is>
      </c>
      <c r="H145" s="44" t="n">
        <v>56</v>
      </c>
    </row>
    <row r="146" ht="18" customHeight="1">
      <c r="A146" s="39" t="inlineStr">
        <is>
          <t>MT-050</t>
        </is>
      </c>
      <c r="B146" s="40" t="inlineStr">
        <is>
          <t>大江戸線牛込柳町駅</t>
        </is>
      </c>
      <c r="C146" s="41" t="inlineStr">
        <is>
          <t>都営地下鉄</t>
        </is>
      </c>
      <c r="D146" s="42" t="inlineStr">
        <is>
          <t>東京都新宿区原町２－３－２</t>
        </is>
      </c>
      <c r="E146" s="43" t="inlineStr">
        <is>
          <t>土・月・木</t>
        </is>
      </c>
      <c r="F146" s="42" t="inlineStr">
        <is>
          <t>大迫・宮原</t>
        </is>
      </c>
      <c r="G146" s="42" t="inlineStr">
        <is>
          <t>一般廃・産廃</t>
        </is>
      </c>
      <c r="H146" s="44" t="n">
        <v>72</v>
      </c>
    </row>
    <row r="147" ht="18" customHeight="1">
      <c r="A147" s="39" t="inlineStr">
        <is>
          <t>MT-051</t>
        </is>
      </c>
      <c r="B147" s="40" t="inlineStr">
        <is>
          <t>大江戸線牛込神楽坂駅</t>
        </is>
      </c>
      <c r="C147" s="41" t="inlineStr">
        <is>
          <t>都営地下鉄</t>
        </is>
      </c>
      <c r="D147" s="42" t="inlineStr">
        <is>
          <t>東京都新宿区箪笥町１５</t>
        </is>
      </c>
      <c r="E147" s="43" t="inlineStr">
        <is>
          <t>土・月・木</t>
        </is>
      </c>
      <c r="F147" s="42" t="inlineStr">
        <is>
          <t>大迫・宮原</t>
        </is>
      </c>
      <c r="G147" s="42" t="inlineStr">
        <is>
          <t>一般廃・産廃</t>
        </is>
      </c>
      <c r="H147" s="44" t="n">
        <v>56</v>
      </c>
    </row>
    <row r="148" ht="18" customHeight="1">
      <c r="A148" s="39" t="inlineStr">
        <is>
          <t>MT-052</t>
        </is>
      </c>
      <c r="B148" s="40" t="inlineStr">
        <is>
          <t>大江戸線築地市場駅</t>
        </is>
      </c>
      <c r="C148" s="41" t="inlineStr">
        <is>
          <t>都営地下鉄</t>
        </is>
      </c>
      <c r="D148" s="42" t="inlineStr">
        <is>
          <t>東京都中央区築地５－１－２</t>
        </is>
      </c>
      <c r="E148" s="43" t="inlineStr">
        <is>
          <t>土・火</t>
        </is>
      </c>
      <c r="F148" s="42" t="inlineStr">
        <is>
          <t>宮原・玉山・岡田</t>
        </is>
      </c>
      <c r="G148" s="42" t="inlineStr">
        <is>
          <t>一般廃・産廃</t>
        </is>
      </c>
      <c r="H148" s="44" t="n">
        <v>64</v>
      </c>
    </row>
    <row r="149" ht="18" customHeight="1">
      <c r="A149" s="39" t="inlineStr">
        <is>
          <t>MT-053</t>
        </is>
      </c>
      <c r="B149" s="40" t="inlineStr">
        <is>
          <t>大江戸線練馬春日町駅</t>
        </is>
      </c>
      <c r="C149" s="41" t="inlineStr">
        <is>
          <t>都営地下鉄</t>
        </is>
      </c>
      <c r="D149" s="42" t="inlineStr">
        <is>
          <t>東京都練馬区春日町３－２９－２５</t>
        </is>
      </c>
      <c r="E149" s="43" t="inlineStr">
        <is>
          <t>土・火</t>
        </is>
      </c>
      <c r="F149" s="42" t="inlineStr">
        <is>
          <t>大迫・宮原</t>
        </is>
      </c>
      <c r="G149" s="42" t="inlineStr">
        <is>
          <t>一般廃・産廃</t>
        </is>
      </c>
      <c r="H149" s="44" t="n">
        <v>66</v>
      </c>
    </row>
    <row r="150" ht="18" customHeight="1">
      <c r="A150" s="39" t="inlineStr">
        <is>
          <t>MT-054</t>
        </is>
      </c>
      <c r="B150" s="40" t="inlineStr">
        <is>
          <t>大江戸線練馬駅</t>
        </is>
      </c>
      <c r="C150" s="41" t="inlineStr">
        <is>
          <t>都営地下鉄</t>
        </is>
      </c>
      <c r="D150" s="42" t="inlineStr">
        <is>
          <t>東京都練馬区豊玉北５－１７－１２</t>
        </is>
      </c>
      <c r="E150" s="43" t="inlineStr">
        <is>
          <t>土・月・木・火</t>
        </is>
      </c>
      <c r="F150" s="42" t="inlineStr">
        <is>
          <t>大迫・宮原</t>
        </is>
      </c>
      <c r="G150" s="42" t="inlineStr">
        <is>
          <t>一般廃・産廃</t>
        </is>
      </c>
      <c r="H150" s="44" t="n">
        <v>102</v>
      </c>
    </row>
    <row r="151" ht="18" customHeight="1">
      <c r="A151" s="39" t="inlineStr">
        <is>
          <t>MT-055</t>
        </is>
      </c>
      <c r="B151" s="40" t="inlineStr">
        <is>
          <t>大江戸線若松河田駅</t>
        </is>
      </c>
      <c r="C151" s="41" t="inlineStr">
        <is>
          <t>都営地下鉄</t>
        </is>
      </c>
      <c r="D151" s="42" t="inlineStr">
        <is>
          <t>東京都新宿区河田町１０－１０</t>
        </is>
      </c>
      <c r="E151" s="43" t="inlineStr">
        <is>
          <t>土・月・火</t>
        </is>
      </c>
      <c r="F151" s="42" t="inlineStr">
        <is>
          <t>大迫・宮原</t>
        </is>
      </c>
      <c r="G151" s="42" t="inlineStr">
        <is>
          <t>一般廃・産廃</t>
        </is>
      </c>
      <c r="H151" s="44" t="n">
        <v>56</v>
      </c>
    </row>
    <row r="152" ht="18" customHeight="1">
      <c r="A152" s="39" t="inlineStr">
        <is>
          <t>MT-056</t>
        </is>
      </c>
      <c r="B152" s="40" t="inlineStr">
        <is>
          <t>大江戸線落合南長崎駅</t>
        </is>
      </c>
      <c r="C152" s="41" t="inlineStr">
        <is>
          <t>都営地下鉄</t>
        </is>
      </c>
      <c r="D152" s="42" t="inlineStr">
        <is>
          <t>東京都新宿区西落合３－１－１</t>
        </is>
      </c>
      <c r="E152" s="43" t="inlineStr">
        <is>
          <t>木・火</t>
        </is>
      </c>
      <c r="F152" s="42" t="inlineStr">
        <is>
          <t>大迫・宮原</t>
        </is>
      </c>
      <c r="G152" s="42" t="inlineStr">
        <is>
          <t>一般廃・産廃</t>
        </is>
      </c>
      <c r="H152" s="44" t="n">
        <v>56</v>
      </c>
    </row>
    <row r="153" ht="18" customHeight="1">
      <c r="A153" s="39" t="inlineStr">
        <is>
          <t>MT-057</t>
        </is>
      </c>
      <c r="B153" s="40" t="inlineStr">
        <is>
          <t>大江戸線蔵前駅</t>
        </is>
      </c>
      <c r="C153" s="41" t="inlineStr">
        <is>
          <t>都営地下鉄</t>
        </is>
      </c>
      <c r="D153" s="42" t="inlineStr">
        <is>
          <t>東京都台東区寿３－３－１</t>
        </is>
      </c>
      <c r="E153" s="43" t="inlineStr">
        <is>
          <t>土・月・金</t>
        </is>
      </c>
      <c r="F153" s="42" t="inlineStr">
        <is>
          <t>宮原・玉山・岡田</t>
        </is>
      </c>
      <c r="G153" s="42" t="inlineStr">
        <is>
          <t>一般廃・産廃</t>
        </is>
      </c>
      <c r="H153" s="44" t="n">
        <v>46</v>
      </c>
    </row>
    <row r="154" ht="18" customHeight="1">
      <c r="A154" s="39" t="inlineStr">
        <is>
          <t>MT-058</t>
        </is>
      </c>
      <c r="B154" s="40" t="inlineStr">
        <is>
          <t>大江戸線西新宿五丁目駅</t>
        </is>
      </c>
      <c r="C154" s="41" t="inlineStr">
        <is>
          <t>都営地下鉄</t>
        </is>
      </c>
      <c r="D154" s="42" t="inlineStr">
        <is>
          <t>東京都新宿区西新宿５－２５－９</t>
        </is>
      </c>
      <c r="E154" s="43" t="inlineStr">
        <is>
          <t>土・火</t>
        </is>
      </c>
      <c r="F154" s="42" t="inlineStr">
        <is>
          <t>大迫・宮原</t>
        </is>
      </c>
      <c r="G154" s="42" t="inlineStr">
        <is>
          <t>一般廃・産廃</t>
        </is>
      </c>
      <c r="H154" s="44" t="n">
        <v>44</v>
      </c>
    </row>
    <row r="155" ht="18" customHeight="1">
      <c r="A155" s="39" t="inlineStr">
        <is>
          <t>MT-059</t>
        </is>
      </c>
      <c r="B155" s="40" t="inlineStr">
        <is>
          <t>大江戸線豊島園駅</t>
        </is>
      </c>
      <c r="C155" s="41" t="inlineStr">
        <is>
          <t>都営地下鉄</t>
        </is>
      </c>
      <c r="D155" s="42" t="inlineStr">
        <is>
          <t>東京都練馬区練馬４－１４－１７</t>
        </is>
      </c>
      <c r="E155" s="43" t="inlineStr">
        <is>
          <t>土・月・火</t>
        </is>
      </c>
      <c r="F155" s="42" t="inlineStr">
        <is>
          <t>大迫・宮原</t>
        </is>
      </c>
      <c r="G155" s="42" t="inlineStr">
        <is>
          <t>一般廃・産廃</t>
        </is>
      </c>
      <c r="H155" s="44" t="n">
        <v>88</v>
      </c>
    </row>
    <row r="156" ht="18" customHeight="1">
      <c r="A156" s="39" t="inlineStr">
        <is>
          <t>MT-060</t>
        </is>
      </c>
      <c r="B156" s="40" t="inlineStr">
        <is>
          <t>大江戸線赤羽橋駅</t>
        </is>
      </c>
      <c r="C156" s="41" t="inlineStr">
        <is>
          <t>都営地下鉄</t>
        </is>
      </c>
      <c r="D156" s="42" t="inlineStr">
        <is>
          <t>東京都港区麻布十番１－４－６</t>
        </is>
      </c>
      <c r="E156" s="43" t="inlineStr">
        <is>
          <t>土・水・火</t>
        </is>
      </c>
      <c r="F156" s="42" t="inlineStr">
        <is>
          <t>宮原・岡田</t>
        </is>
      </c>
      <c r="G156" s="42" t="inlineStr">
        <is>
          <t>一般廃・産廃</t>
        </is>
      </c>
      <c r="H156" s="44" t="n">
        <v>72</v>
      </c>
    </row>
    <row r="157" ht="18" customHeight="1">
      <c r="A157" s="39" t="inlineStr">
        <is>
          <t>MT-061</t>
        </is>
      </c>
      <c r="B157" s="40" t="inlineStr">
        <is>
          <t>大江戸線都庁前駅</t>
        </is>
      </c>
      <c r="C157" s="41" t="inlineStr">
        <is>
          <t>都営地下鉄</t>
        </is>
      </c>
      <c r="D157" s="42" t="inlineStr">
        <is>
          <t>東京都新宿区西新宿２－８－１</t>
        </is>
      </c>
      <c r="E157" s="43" t="inlineStr">
        <is>
          <t>土・木・火</t>
        </is>
      </c>
      <c r="F157" s="42" t="inlineStr">
        <is>
          <t>大迫・宮原</t>
        </is>
      </c>
      <c r="G157" s="42" t="inlineStr">
        <is>
          <t>一般廃・産廃</t>
        </is>
      </c>
      <c r="H157" s="44" t="n">
        <v>208</v>
      </c>
    </row>
    <row r="158" ht="18" customHeight="1">
      <c r="A158" s="39" t="inlineStr">
        <is>
          <t>MT-062</t>
        </is>
      </c>
      <c r="B158" s="40" t="inlineStr">
        <is>
          <t>大江戸線門前仲町駅</t>
        </is>
      </c>
      <c r="C158" s="41" t="inlineStr">
        <is>
          <t>都営地下鉄</t>
        </is>
      </c>
      <c r="D158" s="42" t="inlineStr">
        <is>
          <t>東京都江東区門前仲町２－５－２</t>
        </is>
      </c>
      <c r="E158" s="43" t="inlineStr">
        <is>
          <t>土・木・水・火</t>
        </is>
      </c>
      <c r="F158" s="42" t="inlineStr">
        <is>
          <t>宮原・岡田</t>
        </is>
      </c>
      <c r="G158" s="42" t="inlineStr">
        <is>
          <t>一般廃・産廃</t>
        </is>
      </c>
      <c r="H158" s="44" t="n">
        <v>164</v>
      </c>
    </row>
    <row r="159" ht="18" customHeight="1">
      <c r="A159" s="39" t="inlineStr">
        <is>
          <t>MT-063</t>
        </is>
      </c>
      <c r="B159" s="40" t="inlineStr">
        <is>
          <t>大江戸線青山一丁目駅</t>
        </is>
      </c>
      <c r="C159" s="41" t="inlineStr">
        <is>
          <t>都営地下鉄</t>
        </is>
      </c>
      <c r="D159" s="42" t="inlineStr">
        <is>
          <t>東京都港区北青山１－２－４</t>
        </is>
      </c>
      <c r="E159" s="43" t="inlineStr">
        <is>
          <t>土・木・水・火</t>
        </is>
      </c>
      <c r="F159" s="42" t="inlineStr">
        <is>
          <t>宮原・岡田</t>
        </is>
      </c>
      <c r="G159" s="42" t="inlineStr">
        <is>
          <t>一般廃・産廃</t>
        </is>
      </c>
      <c r="H159" s="44" t="n">
        <v>122</v>
      </c>
    </row>
    <row r="160" ht="18" customHeight="1">
      <c r="A160" s="39" t="inlineStr">
        <is>
          <t>MT-064</t>
        </is>
      </c>
      <c r="B160" s="40" t="inlineStr">
        <is>
          <t>大江戸線飯田橋駅</t>
        </is>
      </c>
      <c r="C160" s="41" t="inlineStr">
        <is>
          <t>都営地下鉄</t>
        </is>
      </c>
      <c r="D160" s="42" t="inlineStr">
        <is>
          <t>東京都文京区後楽１－９－５</t>
        </is>
      </c>
      <c r="E160" s="43" t="inlineStr">
        <is>
          <t>土・木・火</t>
        </is>
      </c>
      <c r="F160" s="42" t="inlineStr">
        <is>
          <t>大迫・宮原</t>
        </is>
      </c>
      <c r="G160" s="42" t="inlineStr">
        <is>
          <t>一般廃・産廃</t>
        </is>
      </c>
      <c r="H160" s="44" t="n">
        <v>56</v>
      </c>
    </row>
    <row r="161" ht="18" customHeight="1">
      <c r="A161" s="39" t="inlineStr">
        <is>
          <t>MT-065</t>
        </is>
      </c>
      <c r="B161" s="40" t="inlineStr">
        <is>
          <t>大江戸線麻布十番駅</t>
        </is>
      </c>
      <c r="C161" s="41" t="inlineStr">
        <is>
          <t>都営地下鉄</t>
        </is>
      </c>
      <c r="D161" s="42" t="inlineStr">
        <is>
          <t>東京都港区麻布十番１－４－６</t>
        </is>
      </c>
      <c r="E161" s="43" t="inlineStr">
        <is>
          <t>土・水</t>
        </is>
      </c>
      <c r="F161" s="42" t="inlineStr">
        <is>
          <t>宮原・岡田</t>
        </is>
      </c>
      <c r="G161" s="42" t="inlineStr">
        <is>
          <t>一般廃・産廃</t>
        </is>
      </c>
      <c r="H161" s="44" t="n">
        <v>56</v>
      </c>
    </row>
    <row r="162" ht="18" customHeight="1">
      <c r="A162" s="39" t="inlineStr">
        <is>
          <t>MT-066</t>
        </is>
      </c>
      <c r="B162" s="40" t="inlineStr">
        <is>
          <t>新宿線一之江駅</t>
        </is>
      </c>
      <c r="C162" s="41" t="inlineStr">
        <is>
          <t>都営地下鉄</t>
        </is>
      </c>
      <c r="D162" s="42" t="inlineStr">
        <is>
          <t>新宿線江戸川区春江町４－２</t>
        </is>
      </c>
      <c r="E162" s="43" t="inlineStr">
        <is>
          <t>月・水・火・金</t>
        </is>
      </c>
      <c r="F162" s="42" t="inlineStr">
        <is>
          <t>宮原・岡田</t>
        </is>
      </c>
      <c r="G162" s="42" t="inlineStr">
        <is>
          <t>一般廃・産廃</t>
        </is>
      </c>
      <c r="H162" s="44" t="n">
        <v>94</v>
      </c>
    </row>
    <row r="163" ht="18" customHeight="1">
      <c r="A163" s="39" t="inlineStr">
        <is>
          <t>MT-067</t>
        </is>
      </c>
      <c r="B163" s="40" t="inlineStr">
        <is>
          <t>新宿線九段下駅</t>
        </is>
      </c>
      <c r="C163" s="41" t="inlineStr">
        <is>
          <t>都営地下鉄</t>
        </is>
      </c>
      <c r="D163" s="42" t="inlineStr">
        <is>
          <t>東京都千代田区九段北１－１３－１９</t>
        </is>
      </c>
      <c r="E163" s="43" t="inlineStr">
        <is>
          <t>土・月・水・金</t>
        </is>
      </c>
      <c r="F163" s="42" t="inlineStr">
        <is>
          <t>宮原・玉山・岡田</t>
        </is>
      </c>
      <c r="G163" s="42" t="inlineStr">
        <is>
          <t>一般廃・産廃</t>
        </is>
      </c>
      <c r="H163" s="44" t="n">
        <v>100</v>
      </c>
    </row>
    <row r="164" ht="18" customHeight="1">
      <c r="A164" s="39" t="inlineStr">
        <is>
          <t>MT-068</t>
        </is>
      </c>
      <c r="B164" s="40" t="inlineStr">
        <is>
          <t>新宿線住吉駅</t>
        </is>
      </c>
      <c r="C164" s="41" t="inlineStr">
        <is>
          <t>都営地下鉄</t>
        </is>
      </c>
      <c r="D164" s="42" t="inlineStr">
        <is>
          <t>東京都江東区住吉２－２３－１２</t>
        </is>
      </c>
      <c r="E164" s="43" t="inlineStr">
        <is>
          <t>月・水</t>
        </is>
      </c>
      <c r="F164" s="42" t="inlineStr">
        <is>
          <t>宮原・岡田</t>
        </is>
      </c>
      <c r="G164" s="42" t="inlineStr">
        <is>
          <t>一般廃・産廃</t>
        </is>
      </c>
      <c r="H164" s="44" t="n">
        <v>48</v>
      </c>
    </row>
    <row r="165" ht="18" customHeight="1">
      <c r="A165" s="39" t="inlineStr">
        <is>
          <t>MT-069</t>
        </is>
      </c>
      <c r="B165" s="40" t="inlineStr">
        <is>
          <t>新宿線大島駅</t>
        </is>
      </c>
      <c r="C165" s="41" t="inlineStr">
        <is>
          <t>都営地下鉄</t>
        </is>
      </c>
      <c r="D165" s="42" t="inlineStr">
        <is>
          <t>東京都江東区大島５－１０－８</t>
        </is>
      </c>
      <c r="E165" s="43" t="inlineStr">
        <is>
          <t>月・木・水・金</t>
        </is>
      </c>
      <c r="F165" s="42" t="inlineStr">
        <is>
          <t>宮原・岡田</t>
        </is>
      </c>
      <c r="G165" s="42" t="inlineStr">
        <is>
          <t>一般廃・産廃</t>
        </is>
      </c>
      <c r="H165" s="44" t="n">
        <v>64</v>
      </c>
    </row>
    <row r="166" ht="18" customHeight="1">
      <c r="A166" s="39" t="inlineStr">
        <is>
          <t>MT-070</t>
        </is>
      </c>
      <c r="B166" s="40" t="inlineStr">
        <is>
          <t>新宿線小川町駅</t>
        </is>
      </c>
      <c r="C166" s="41" t="inlineStr">
        <is>
          <t>都営地下鉄</t>
        </is>
      </c>
      <c r="D166" s="42" t="inlineStr">
        <is>
          <t>東京都千代田区神田小川町１－６</t>
        </is>
      </c>
      <c r="E166" s="43" t="inlineStr">
        <is>
          <t>土・月・水・金</t>
        </is>
      </c>
      <c r="F166" s="42" t="inlineStr">
        <is>
          <t>宮原・玉山・岡田</t>
        </is>
      </c>
      <c r="G166" s="42" t="inlineStr">
        <is>
          <t>一般廃・産廃</t>
        </is>
      </c>
      <c r="H166" s="44" t="n">
        <v>110</v>
      </c>
    </row>
    <row r="167" ht="18" customHeight="1">
      <c r="A167" s="39" t="inlineStr">
        <is>
          <t>MT-071</t>
        </is>
      </c>
      <c r="B167" s="40" t="inlineStr">
        <is>
          <t>新宿線岩本町駅</t>
        </is>
      </c>
      <c r="C167" s="41" t="inlineStr">
        <is>
          <t>都営地下鉄</t>
        </is>
      </c>
      <c r="D167" s="42" t="inlineStr">
        <is>
          <t>東京都千代田区神田岩本町１</t>
        </is>
      </c>
      <c r="E167" s="43" t="inlineStr">
        <is>
          <t>月・水・火・金</t>
        </is>
      </c>
      <c r="F167" s="42" t="inlineStr">
        <is>
          <t>宮原・岡田</t>
        </is>
      </c>
      <c r="G167" s="42" t="inlineStr">
        <is>
          <t>一般廃・産廃</t>
        </is>
      </c>
      <c r="H167" s="44" t="n">
        <v>110</v>
      </c>
    </row>
    <row r="168" ht="18" customHeight="1">
      <c r="A168" s="39" t="inlineStr">
        <is>
          <t>MT-072</t>
        </is>
      </c>
      <c r="B168" s="40" t="inlineStr">
        <is>
          <t>新宿線市ヶ谷駅</t>
        </is>
      </c>
      <c r="C168" s="41" t="inlineStr">
        <is>
          <t>都営地下鉄</t>
        </is>
      </c>
      <c r="D168" s="42" t="inlineStr">
        <is>
          <t>東京都千代田区九段南４－８－２２</t>
        </is>
      </c>
      <c r="E168" s="43" t="inlineStr">
        <is>
          <t>月・水・火・金</t>
        </is>
      </c>
      <c r="F168" s="42" t="inlineStr">
        <is>
          <t>宮原・岡田</t>
        </is>
      </c>
      <c r="G168" s="42" t="inlineStr">
        <is>
          <t>一般廃・産廃</t>
        </is>
      </c>
      <c r="H168" s="44" t="n">
        <v>128</v>
      </c>
    </row>
    <row r="169" ht="18" customHeight="1">
      <c r="A169" s="39" t="inlineStr">
        <is>
          <t>MT-073</t>
        </is>
      </c>
      <c r="B169" s="40" t="inlineStr">
        <is>
          <t>新宿線新宿三丁目駅</t>
        </is>
      </c>
      <c r="C169" s="41" t="inlineStr">
        <is>
          <t>都営地下鉄</t>
        </is>
      </c>
      <c r="D169" s="42" t="inlineStr">
        <is>
          <t>東京都新宿区新宿３－３－２</t>
        </is>
      </c>
      <c r="E169" s="43" t="inlineStr">
        <is>
          <t>月・水・火・金</t>
        </is>
      </c>
      <c r="F169" s="42" t="inlineStr">
        <is>
          <t>宮原・岡田</t>
        </is>
      </c>
      <c r="G169" s="42" t="inlineStr">
        <is>
          <t>一般廃・産廃</t>
        </is>
      </c>
      <c r="H169" s="44" t="n">
        <v>162</v>
      </c>
    </row>
    <row r="170" ht="18" customHeight="1">
      <c r="A170" s="39" t="inlineStr">
        <is>
          <t>MT-074</t>
        </is>
      </c>
      <c r="B170" s="40" t="inlineStr">
        <is>
          <t>新宿線曙橋駅</t>
        </is>
      </c>
      <c r="C170" s="41" t="inlineStr">
        <is>
          <t>都営地下鉄</t>
        </is>
      </c>
      <c r="D170" s="42" t="inlineStr">
        <is>
          <t>東京都新宿区住吉町７－１</t>
        </is>
      </c>
      <c r="E170" s="43" t="inlineStr">
        <is>
          <t>月・木・水</t>
        </is>
      </c>
      <c r="F170" s="42" t="inlineStr">
        <is>
          <t>宮原・岡田</t>
        </is>
      </c>
      <c r="G170" s="42" t="inlineStr">
        <is>
          <t>一般廃・産廃</t>
        </is>
      </c>
      <c r="H170" s="44" t="n">
        <v>116</v>
      </c>
    </row>
    <row r="171" ht="18" customHeight="1">
      <c r="A171" s="39" t="inlineStr">
        <is>
          <t>MT-075</t>
        </is>
      </c>
      <c r="B171" s="40" t="inlineStr">
        <is>
          <t>新宿線東大島駅</t>
        </is>
      </c>
      <c r="C171" s="41" t="inlineStr">
        <is>
          <t>都営地下鉄</t>
        </is>
      </c>
      <c r="D171" s="42" t="inlineStr">
        <is>
          <t>東京都江東区大島９－３－１４</t>
        </is>
      </c>
      <c r="E171" s="43" t="inlineStr">
        <is>
          <t>月・木・水・金</t>
        </is>
      </c>
      <c r="F171" s="42" t="inlineStr">
        <is>
          <t>宮原・岡田</t>
        </is>
      </c>
      <c r="G171" s="42" t="inlineStr">
        <is>
          <t>一般廃・産廃</t>
        </is>
      </c>
      <c r="H171" s="44" t="n">
        <v>132</v>
      </c>
    </row>
    <row r="172" ht="18" customHeight="1">
      <c r="A172" s="39" t="inlineStr">
        <is>
          <t>MT-076</t>
        </is>
      </c>
      <c r="B172" s="40" t="inlineStr">
        <is>
          <t>新宿線森下駅</t>
        </is>
      </c>
      <c r="C172" s="41" t="inlineStr">
        <is>
          <t>都営地下鉄</t>
        </is>
      </c>
      <c r="D172" s="42" t="inlineStr">
        <is>
          <t>東京都江東区森下１－１３－１０</t>
        </is>
      </c>
      <c r="E172" s="43" t="inlineStr">
        <is>
          <t>月・木・金</t>
        </is>
      </c>
      <c r="F172" s="42" t="inlineStr">
        <is>
          <t>宮原・岡田</t>
        </is>
      </c>
      <c r="G172" s="42" t="inlineStr">
        <is>
          <t>一般廃・産廃</t>
        </is>
      </c>
      <c r="H172" s="44" t="n">
        <v>48</v>
      </c>
    </row>
    <row r="173" ht="18" customHeight="1">
      <c r="A173" s="39" t="inlineStr">
        <is>
          <t>MT-077</t>
        </is>
      </c>
      <c r="B173" s="40" t="inlineStr">
        <is>
          <t>新宿線浜町駅</t>
        </is>
      </c>
      <c r="C173" s="41" t="inlineStr">
        <is>
          <t>都営地下鉄</t>
        </is>
      </c>
      <c r="D173" s="42" t="inlineStr">
        <is>
          <t>東京都中央区日本橋浜町２－５９－３</t>
        </is>
      </c>
      <c r="E173" s="43" t="inlineStr">
        <is>
          <t>水・火・金</t>
        </is>
      </c>
      <c r="F173" s="42" t="inlineStr">
        <is>
          <t>宮原・岡田</t>
        </is>
      </c>
      <c r="G173" s="42" t="inlineStr">
        <is>
          <t>一般廃・産廃</t>
        </is>
      </c>
      <c r="H173" s="44" t="n">
        <v>54</v>
      </c>
    </row>
    <row r="174" ht="18" customHeight="1">
      <c r="A174" s="39" t="inlineStr">
        <is>
          <t>MT-078</t>
        </is>
      </c>
      <c r="B174" s="40" t="inlineStr">
        <is>
          <t>新宿線瑞江駅</t>
        </is>
      </c>
      <c r="C174" s="41" t="inlineStr">
        <is>
          <t>都営地下鉄</t>
        </is>
      </c>
      <c r="D174" s="42" t="inlineStr">
        <is>
          <t>新宿線江戸川区瑞江２－２－１</t>
        </is>
      </c>
      <c r="E174" s="43" t="inlineStr">
        <is>
          <t>月・木・水・金</t>
        </is>
      </c>
      <c r="F174" s="42" t="inlineStr">
        <is>
          <t>宮原・岡田</t>
        </is>
      </c>
      <c r="G174" s="42" t="inlineStr">
        <is>
          <t>一般廃・産廃</t>
        </is>
      </c>
      <c r="H174" s="44" t="n">
        <v>94</v>
      </c>
    </row>
    <row r="175" ht="18" customHeight="1">
      <c r="A175" s="39" t="inlineStr">
        <is>
          <t>MT-079</t>
        </is>
      </c>
      <c r="B175" s="40" t="inlineStr">
        <is>
          <t>新宿線神保町駅</t>
        </is>
      </c>
      <c r="C175" s="41" t="inlineStr">
        <is>
          <t>都営地下鉄</t>
        </is>
      </c>
      <c r="D175" s="42" t="inlineStr">
        <is>
          <t>東京都千代田区神田神保町２－７</t>
        </is>
      </c>
      <c r="E175" s="43" t="inlineStr">
        <is>
          <t>月・水・火・金</t>
        </is>
      </c>
      <c r="F175" s="42" t="inlineStr">
        <is>
          <t>宮原・岡田</t>
        </is>
      </c>
      <c r="G175" s="42" t="inlineStr">
        <is>
          <t>一般廃・産廃</t>
        </is>
      </c>
      <c r="H175" s="44" t="n">
        <v>100</v>
      </c>
    </row>
    <row r="176" ht="18" customHeight="1">
      <c r="A176" s="39" t="inlineStr">
        <is>
          <t>MT-080</t>
        </is>
      </c>
      <c r="B176" s="40" t="inlineStr">
        <is>
          <t>新宿線篠崎駅</t>
        </is>
      </c>
      <c r="C176" s="41" t="inlineStr">
        <is>
          <t>都営地下鉄</t>
        </is>
      </c>
      <c r="D176" s="42" t="inlineStr">
        <is>
          <t>東京都江戸川区篠崎町７－２７－１</t>
        </is>
      </c>
      <c r="E176" s="43" t="inlineStr">
        <is>
          <t>月・木・水</t>
        </is>
      </c>
      <c r="F176" s="42" t="inlineStr">
        <is>
          <t>宮原・岡田</t>
        </is>
      </c>
      <c r="G176" s="42" t="inlineStr">
        <is>
          <t>一般廃・産廃</t>
        </is>
      </c>
      <c r="H176" s="44" t="n">
        <v>64</v>
      </c>
    </row>
    <row r="177" ht="18" customHeight="1">
      <c r="A177" s="39" t="inlineStr">
        <is>
          <t>MT-081</t>
        </is>
      </c>
      <c r="B177" s="40" t="inlineStr">
        <is>
          <t>新宿線船堀駅</t>
        </is>
      </c>
      <c r="C177" s="41" t="inlineStr">
        <is>
          <t>都営地下鉄</t>
        </is>
      </c>
      <c r="D177" s="42" t="inlineStr">
        <is>
          <t>東京都江戸川区船堀３－６－１</t>
        </is>
      </c>
      <c r="E177" s="43" t="inlineStr">
        <is>
          <t>月・水・火・金</t>
        </is>
      </c>
      <c r="F177" s="42" t="inlineStr">
        <is>
          <t>宮原・岡田</t>
        </is>
      </c>
      <c r="G177" s="42" t="inlineStr">
        <is>
          <t>一般廃・産廃</t>
        </is>
      </c>
      <c r="H177" s="44" t="n">
        <v>84</v>
      </c>
    </row>
    <row r="178" ht="18" customHeight="1">
      <c r="A178" s="39" t="inlineStr">
        <is>
          <t>MT-082</t>
        </is>
      </c>
      <c r="B178" s="40" t="inlineStr">
        <is>
          <t>新宿線菊川駅</t>
        </is>
      </c>
      <c r="C178" s="41" t="inlineStr">
        <is>
          <t>都営地下鉄</t>
        </is>
      </c>
      <c r="D178" s="42" t="inlineStr">
        <is>
          <t>東京都墨田区菊川３－１６－２</t>
        </is>
      </c>
      <c r="E178" s="43" t="inlineStr">
        <is>
          <t>月・火・金</t>
        </is>
      </c>
      <c r="F178" s="42" t="inlineStr">
        <is>
          <t>宮原・岡田</t>
        </is>
      </c>
      <c r="G178" s="42" t="inlineStr">
        <is>
          <t>一般廃・産廃</t>
        </is>
      </c>
      <c r="H178" s="44" t="n">
        <v>48</v>
      </c>
    </row>
    <row r="179" ht="18" customHeight="1">
      <c r="A179" s="39" t="inlineStr">
        <is>
          <t>MT-083</t>
        </is>
      </c>
      <c r="B179" s="40" t="inlineStr">
        <is>
          <t>新宿線西大島駅</t>
        </is>
      </c>
      <c r="C179" s="41" t="inlineStr">
        <is>
          <t>都営地下鉄</t>
        </is>
      </c>
      <c r="D179" s="42" t="inlineStr">
        <is>
          <t>東京都江東区大島２－４１－１９</t>
        </is>
      </c>
      <c r="E179" s="43" t="inlineStr">
        <is>
          <t>月・木・水・金</t>
        </is>
      </c>
      <c r="F179" s="42" t="inlineStr">
        <is>
          <t>宮原・岡田</t>
        </is>
      </c>
      <c r="G179" s="42" t="inlineStr">
        <is>
          <t>一般廃・産廃</t>
        </is>
      </c>
      <c r="H179" s="44" t="n">
        <v>66</v>
      </c>
    </row>
    <row r="180" ht="18" customHeight="1">
      <c r="A180" s="39" t="inlineStr">
        <is>
          <t>MT-084</t>
        </is>
      </c>
      <c r="B180" s="40" t="inlineStr">
        <is>
          <t>新宿線馬喰横山駅</t>
        </is>
      </c>
      <c r="C180" s="41" t="inlineStr">
        <is>
          <t>都営地下鉄</t>
        </is>
      </c>
      <c r="D180" s="42" t="inlineStr">
        <is>
          <t>東京都中央区日本橋横山町４－１３</t>
        </is>
      </c>
      <c r="E180" s="43" t="inlineStr">
        <is>
          <t>月・水・金</t>
        </is>
      </c>
      <c r="F180" s="42" t="inlineStr">
        <is>
          <t>宮原・岡田</t>
        </is>
      </c>
      <c r="G180" s="42" t="inlineStr">
        <is>
          <t>一般廃・産廃</t>
        </is>
      </c>
      <c r="H180" s="44" t="n">
        <v>220</v>
      </c>
    </row>
    <row r="181" ht="18" customHeight="1">
      <c r="A181" s="39" t="inlineStr">
        <is>
          <t>MT-085</t>
        </is>
      </c>
      <c r="B181" s="40" t="inlineStr">
        <is>
          <t>日暮里・舎人ライナー舎人駅</t>
        </is>
      </c>
      <c r="C181" s="41" t="inlineStr">
        <is>
          <t>都営地下鉄</t>
        </is>
      </c>
      <c r="D181" s="42" t="inlineStr">
        <is>
          <t>東京都足立区舎人１－１６－１５</t>
        </is>
      </c>
      <c r="E181" s="43" t="inlineStr">
        <is>
          <t>土</t>
        </is>
      </c>
      <c r="F181" s="42" t="inlineStr">
        <is>
          <t>渡辺・柳沼</t>
        </is>
      </c>
      <c r="G181" s="42" t="inlineStr">
        <is>
          <t>産廃</t>
        </is>
      </c>
      <c r="H181" s="44" t="n">
        <v>56</v>
      </c>
    </row>
    <row r="182" ht="18" customHeight="1">
      <c r="A182" s="39" t="inlineStr">
        <is>
          <t>MT-086</t>
        </is>
      </c>
      <c r="B182" s="40" t="inlineStr">
        <is>
          <t>日暮里舎人ライナー日暮里駅</t>
        </is>
      </c>
      <c r="C182" s="41" t="inlineStr">
        <is>
          <t>都営地下鉄</t>
        </is>
      </c>
      <c r="D182" s="42" t="inlineStr">
        <is>
          <t>東京都荒川区西日暮里２－１９－２</t>
        </is>
      </c>
      <c r="E182" s="43" t="inlineStr">
        <is>
          <t>土・木・火・金</t>
        </is>
      </c>
      <c r="F182" s="42" t="inlineStr">
        <is>
          <t>宮原・岡田</t>
        </is>
      </c>
      <c r="G182" s="42" t="inlineStr">
        <is>
          <t>一般廃・産廃</t>
        </is>
      </c>
      <c r="H182" s="44" t="n">
        <v>114</v>
      </c>
    </row>
    <row r="183" ht="18" customHeight="1">
      <c r="A183" s="39" t="inlineStr">
        <is>
          <t>MT-087</t>
        </is>
      </c>
      <c r="B183" s="40" t="inlineStr">
        <is>
          <t>日暮里舎人ライナー舎人駅</t>
        </is>
      </c>
      <c r="C183" s="41" t="inlineStr">
        <is>
          <t>都営地下鉄</t>
        </is>
      </c>
      <c r="D183" s="42" t="inlineStr">
        <is>
          <t>東京都足立区舎人１－１６－１５</t>
        </is>
      </c>
      <c r="E183" s="43" t="inlineStr">
        <is>
          <t>木</t>
        </is>
      </c>
      <c r="F183" s="42" t="inlineStr">
        <is>
          <t>岡田</t>
        </is>
      </c>
      <c r="G183" s="42" t="inlineStr">
        <is>
          <t>一般廃</t>
        </is>
      </c>
      <c r="H183" s="44" t="n">
        <v>120</v>
      </c>
    </row>
    <row r="184" ht="18" customHeight="1">
      <c r="A184" s="39" t="inlineStr">
        <is>
          <t>MT-088</t>
        </is>
      </c>
      <c r="B184" s="40" t="inlineStr">
        <is>
          <t>日暮里舎人ライナー西日暮里駅</t>
        </is>
      </c>
      <c r="C184" s="41" t="inlineStr">
        <is>
          <t>都営地下鉄</t>
        </is>
      </c>
      <c r="D184" s="42" t="inlineStr">
        <is>
          <t>東京都荒川区西日暮里５－３１－７</t>
        </is>
      </c>
      <c r="E184" s="43" t="inlineStr">
        <is>
          <t>土・火・金</t>
        </is>
      </c>
      <c r="F184" s="42" t="inlineStr">
        <is>
          <t>宮原・岡田</t>
        </is>
      </c>
      <c r="G184" s="42" t="inlineStr">
        <is>
          <t>一般廃・産廃</t>
        </is>
      </c>
      <c r="H184" s="44" t="n">
        <v>46</v>
      </c>
    </row>
    <row r="185" ht="18" customHeight="1">
      <c r="A185" s="39" t="inlineStr">
        <is>
          <t>MT-089</t>
        </is>
      </c>
      <c r="B185" s="40" t="inlineStr">
        <is>
          <t>旧西馬込乗務区庁舎（都交通局）</t>
        </is>
      </c>
      <c r="C185" s="41" t="inlineStr">
        <is>
          <t>都営地下鉄</t>
        </is>
      </c>
      <c r="D185" s="42" t="inlineStr">
        <is>
          <t>東京都大田区南馬込５－４２－５</t>
        </is>
      </c>
      <c r="E185" s="43" t="inlineStr">
        <is>
          <t>金</t>
        </is>
      </c>
      <c r="F185" s="42" t="inlineStr">
        <is>
          <t>宮原</t>
        </is>
      </c>
      <c r="G185" s="42" t="inlineStr">
        <is>
          <t>産廃</t>
        </is>
      </c>
      <c r="H185" s="44" t="n">
        <v>0</v>
      </c>
    </row>
    <row r="186" ht="18" customHeight="1">
      <c r="A186" s="39" t="inlineStr">
        <is>
          <t>MT-090</t>
        </is>
      </c>
      <c r="B186" s="40" t="inlineStr">
        <is>
          <t>浅草線三田駅</t>
        </is>
      </c>
      <c r="C186" s="41" t="inlineStr">
        <is>
          <t>都営地下鉄</t>
        </is>
      </c>
      <c r="D186" s="42" t="inlineStr">
        <is>
          <t>東京都港区芝５－３４－１０</t>
        </is>
      </c>
      <c r="E186" s="43" t="inlineStr">
        <is>
          <t>土・木・火・金</t>
        </is>
      </c>
      <c r="F186" s="42" t="inlineStr">
        <is>
          <t>宮原・岡田</t>
        </is>
      </c>
      <c r="G186" s="42" t="inlineStr">
        <is>
          <t>一般廃・産廃</t>
        </is>
      </c>
      <c r="H186" s="44" t="n">
        <v>108</v>
      </c>
    </row>
    <row r="187" ht="18" customHeight="1">
      <c r="A187" s="39" t="inlineStr">
        <is>
          <t>MT-091</t>
        </is>
      </c>
      <c r="B187" s="40" t="inlineStr">
        <is>
          <t>浅草線中延駅</t>
        </is>
      </c>
      <c r="C187" s="41" t="inlineStr">
        <is>
          <t>都営地下鉄</t>
        </is>
      </c>
      <c r="D187" s="42" t="inlineStr">
        <is>
          <t>東京都品川区東中延２－９－１２</t>
        </is>
      </c>
      <c r="E187" s="43" t="inlineStr">
        <is>
          <t>金</t>
        </is>
      </c>
      <c r="F187" s="42" t="inlineStr">
        <is>
          <t>宮原</t>
        </is>
      </c>
      <c r="G187" s="42" t="inlineStr">
        <is>
          <t>産廃</t>
        </is>
      </c>
      <c r="H187" s="44" t="n">
        <v>32</v>
      </c>
    </row>
    <row r="188" ht="18" customHeight="1">
      <c r="A188" s="39" t="inlineStr">
        <is>
          <t>MT-092</t>
        </is>
      </c>
      <c r="B188" s="40" t="inlineStr">
        <is>
          <t>浅草線五反田駅</t>
        </is>
      </c>
      <c r="C188" s="41" t="inlineStr">
        <is>
          <t>都営地下鉄</t>
        </is>
      </c>
      <c r="D188" s="42" t="inlineStr">
        <is>
          <t>東京都品川区東五反田１－２６－２</t>
        </is>
      </c>
      <c r="E188" s="43" t="inlineStr">
        <is>
          <t>金</t>
        </is>
      </c>
      <c r="F188" s="42" t="inlineStr">
        <is>
          <t>宮原</t>
        </is>
      </c>
      <c r="G188" s="42" t="inlineStr">
        <is>
          <t>産廃</t>
        </is>
      </c>
      <c r="H188" s="44" t="n">
        <v>24</v>
      </c>
    </row>
    <row r="189" ht="18" customHeight="1">
      <c r="A189" s="39" t="inlineStr">
        <is>
          <t>MT-093</t>
        </is>
      </c>
      <c r="B189" s="40" t="inlineStr">
        <is>
          <t>浅草線人形町駅</t>
        </is>
      </c>
      <c r="C189" s="41" t="inlineStr">
        <is>
          <t>都営地下鉄</t>
        </is>
      </c>
      <c r="D189" s="42" t="inlineStr">
        <is>
          <t>東京都中央区日本橋人形町３－７－１３</t>
        </is>
      </c>
      <c r="E189" s="43" t="inlineStr">
        <is>
          <t>月・水・火・金</t>
        </is>
      </c>
      <c r="F189" s="42" t="inlineStr">
        <is>
          <t>宮原・岡田</t>
        </is>
      </c>
      <c r="G189" s="42" t="inlineStr">
        <is>
          <t>一般廃・産廃</t>
        </is>
      </c>
      <c r="H189" s="44" t="n">
        <v>114</v>
      </c>
    </row>
    <row r="190" ht="18" customHeight="1">
      <c r="A190" s="39" t="inlineStr">
        <is>
          <t>MT-094</t>
        </is>
      </c>
      <c r="B190" s="40" t="inlineStr">
        <is>
          <t>浅草線宝町駅</t>
        </is>
      </c>
      <c r="C190" s="41" t="inlineStr">
        <is>
          <t>都営地下鉄</t>
        </is>
      </c>
      <c r="D190" s="42" t="inlineStr">
        <is>
          <t>東京都中央区京橋２－１３－１１</t>
        </is>
      </c>
      <c r="E190" s="43" t="inlineStr">
        <is>
          <t>土</t>
        </is>
      </c>
      <c r="F190" s="42" t="inlineStr">
        <is>
          <t>宮原・玉山</t>
        </is>
      </c>
      <c r="G190" s="42" t="inlineStr">
        <is>
          <t>産廃</t>
        </is>
      </c>
      <c r="H190" s="44" t="n">
        <v>8</v>
      </c>
    </row>
    <row r="191" ht="18" customHeight="1">
      <c r="A191" s="39" t="inlineStr">
        <is>
          <t>MT-095</t>
        </is>
      </c>
      <c r="B191" s="40" t="inlineStr">
        <is>
          <t>浅草線戸越駅</t>
        </is>
      </c>
      <c r="C191" s="41" t="inlineStr">
        <is>
          <t>都営地下鉄</t>
        </is>
      </c>
      <c r="D191" s="42" t="inlineStr">
        <is>
          <t>東京都品川区戸越３－４－１７</t>
        </is>
      </c>
      <c r="E191" s="43" t="inlineStr">
        <is>
          <t>金</t>
        </is>
      </c>
      <c r="F191" s="42" t="inlineStr">
        <is>
          <t>宮原</t>
        </is>
      </c>
      <c r="G191" s="42" t="inlineStr">
        <is>
          <t>産廃</t>
        </is>
      </c>
      <c r="H191" s="44" t="n">
        <v>16</v>
      </c>
    </row>
    <row r="192" ht="18" customHeight="1">
      <c r="A192" s="39" t="inlineStr">
        <is>
          <t>MT-096</t>
        </is>
      </c>
      <c r="B192" s="40" t="inlineStr">
        <is>
          <t>浅草線新橋駅</t>
        </is>
      </c>
      <c r="C192" s="41" t="inlineStr">
        <is>
          <t>都営地下鉄</t>
        </is>
      </c>
      <c r="D192" s="42" t="inlineStr">
        <is>
          <t>東京都港区新橋２－２１－１</t>
        </is>
      </c>
      <c r="E192" s="43" t="inlineStr">
        <is>
          <t>金</t>
        </is>
      </c>
      <c r="F192" s="42" t="inlineStr">
        <is>
          <t>宮原</t>
        </is>
      </c>
      <c r="G192" s="42" t="inlineStr">
        <is>
          <t>産廃</t>
        </is>
      </c>
      <c r="H192" s="44" t="n">
        <v>40</v>
      </c>
    </row>
    <row r="193" ht="18" customHeight="1">
      <c r="A193" s="39" t="inlineStr">
        <is>
          <t>MT-097</t>
        </is>
      </c>
      <c r="B193" s="40" t="inlineStr">
        <is>
          <t>浅草線日本橋駅</t>
        </is>
      </c>
      <c r="C193" s="41" t="inlineStr">
        <is>
          <t>都営地下鉄</t>
        </is>
      </c>
      <c r="D193" s="42" t="inlineStr">
        <is>
          <t>東京都中央区日本橋１－１３－１</t>
        </is>
      </c>
      <c r="E193" s="43" t="inlineStr">
        <is>
          <t>木</t>
        </is>
      </c>
      <c r="F193" s="42" t="inlineStr">
        <is>
          <t>宮原</t>
        </is>
      </c>
      <c r="G193" s="42" t="inlineStr">
        <is>
          <t>産廃</t>
        </is>
      </c>
      <c r="H193" s="44" t="n">
        <v>24</v>
      </c>
    </row>
    <row r="194" ht="18" customHeight="1">
      <c r="A194" s="39" t="inlineStr">
        <is>
          <t>MT-098</t>
        </is>
      </c>
      <c r="B194" s="40" t="inlineStr">
        <is>
          <t>浅草線本所吾妻橋駅</t>
        </is>
      </c>
      <c r="C194" s="41" t="inlineStr">
        <is>
          <t>都営地下鉄</t>
        </is>
      </c>
      <c r="D194" s="42" t="inlineStr">
        <is>
          <t>東京都墨田区吾妻橋３－７－１６</t>
        </is>
      </c>
      <c r="E194" s="43" t="inlineStr">
        <is>
          <t>土・木・火</t>
        </is>
      </c>
      <c r="F194" s="42" t="inlineStr">
        <is>
          <t>宮原・玉山・岡田</t>
        </is>
      </c>
      <c r="G194" s="42" t="inlineStr">
        <is>
          <t>一般廃・産廃</t>
        </is>
      </c>
      <c r="H194" s="44" t="n">
        <v>66</v>
      </c>
    </row>
    <row r="195" ht="18" customHeight="1">
      <c r="A195" s="39" t="inlineStr">
        <is>
          <t>MT-099</t>
        </is>
      </c>
      <c r="B195" s="40" t="inlineStr">
        <is>
          <t>浅草線東日本橋駅</t>
        </is>
      </c>
      <c r="C195" s="41" t="inlineStr">
        <is>
          <t>都営地下鉄</t>
        </is>
      </c>
      <c r="D195" s="42" t="inlineStr">
        <is>
          <t>東京都中央区東日本橋３－１１－８</t>
        </is>
      </c>
      <c r="E195" s="43" t="inlineStr">
        <is>
          <t>土・月・水</t>
        </is>
      </c>
      <c r="F195" s="42" t="inlineStr">
        <is>
          <t>宮原・玉山・岡田</t>
        </is>
      </c>
      <c r="G195" s="42" t="inlineStr">
        <is>
          <t>一般廃・産廃</t>
        </is>
      </c>
      <c r="H195" s="44" t="n">
        <v>74</v>
      </c>
    </row>
    <row r="196" ht="18" customHeight="1">
      <c r="A196" s="39" t="inlineStr">
        <is>
          <t>MT-100</t>
        </is>
      </c>
      <c r="B196" s="40" t="inlineStr">
        <is>
          <t>浅草線東銀座駅</t>
        </is>
      </c>
      <c r="C196" s="41" t="inlineStr">
        <is>
          <t>都営地下鉄</t>
        </is>
      </c>
      <c r="D196" s="42" t="inlineStr">
        <is>
          <t>東京都中央区銀座４－１０－１０</t>
        </is>
      </c>
      <c r="E196" s="43" t="inlineStr">
        <is>
          <t>土</t>
        </is>
      </c>
      <c r="F196" s="42" t="inlineStr">
        <is>
          <t>宮原・玉山</t>
        </is>
      </c>
      <c r="G196" s="42" t="inlineStr">
        <is>
          <t>産廃</t>
        </is>
      </c>
      <c r="H196" s="44" t="n">
        <v>48</v>
      </c>
    </row>
    <row r="197" ht="18" customHeight="1">
      <c r="A197" s="39" t="inlineStr">
        <is>
          <t>MT-101</t>
        </is>
      </c>
      <c r="B197" s="40" t="inlineStr">
        <is>
          <t>浅草線泉岳寺駅</t>
        </is>
      </c>
      <c r="C197" s="41" t="inlineStr">
        <is>
          <t>都営地下鉄</t>
        </is>
      </c>
      <c r="D197" s="42" t="inlineStr">
        <is>
          <t>東京都港区高輪２－１６－３４</t>
        </is>
      </c>
      <c r="E197" s="43" t="inlineStr">
        <is>
          <t>土・木・火・金</t>
        </is>
      </c>
      <c r="F197" s="42" t="inlineStr">
        <is>
          <t>宮原・岡田</t>
        </is>
      </c>
      <c r="G197" s="42" t="inlineStr">
        <is>
          <t>一般廃・産廃</t>
        </is>
      </c>
      <c r="H197" s="44" t="n">
        <v>108</v>
      </c>
    </row>
    <row r="198" ht="18" customHeight="1">
      <c r="A198" s="39" t="inlineStr">
        <is>
          <t>MT-102</t>
        </is>
      </c>
      <c r="B198" s="40" t="inlineStr">
        <is>
          <t>浅草線浅草橋駅</t>
        </is>
      </c>
      <c r="C198" s="41" t="inlineStr">
        <is>
          <t>都営地下鉄</t>
        </is>
      </c>
      <c r="D198" s="42" t="inlineStr">
        <is>
          <t>東京都台東区浅草橋１－１８－１１</t>
        </is>
      </c>
      <c r="E198" s="43" t="inlineStr">
        <is>
          <t>土・月・水・金</t>
        </is>
      </c>
      <c r="F198" s="42" t="inlineStr">
        <is>
          <t>宮原・玉山・岡田</t>
        </is>
      </c>
      <c r="G198" s="42" t="inlineStr">
        <is>
          <t>一般廃・産廃</t>
        </is>
      </c>
      <c r="H198" s="44" t="n">
        <v>102</v>
      </c>
    </row>
    <row r="199" ht="18" customHeight="1">
      <c r="A199" s="39" t="inlineStr">
        <is>
          <t>MT-103</t>
        </is>
      </c>
      <c r="B199" s="40" t="inlineStr">
        <is>
          <t>浅草線浅草駅</t>
        </is>
      </c>
      <c r="C199" s="41" t="inlineStr">
        <is>
          <t>都営地下鉄</t>
        </is>
      </c>
      <c r="D199" s="42" t="inlineStr">
        <is>
          <t>東京都台東区駒形１－１２－１４</t>
        </is>
      </c>
      <c r="E199" s="43" t="inlineStr">
        <is>
          <t>土・月・水・金</t>
        </is>
      </c>
      <c r="F199" s="42" t="inlineStr">
        <is>
          <t>宮原・玉山・岡田</t>
        </is>
      </c>
      <c r="G199" s="42" t="inlineStr">
        <is>
          <t>一般廃・産廃</t>
        </is>
      </c>
      <c r="H199" s="44" t="n">
        <v>158</v>
      </c>
    </row>
    <row r="200" ht="18" customHeight="1">
      <c r="A200" s="39" t="inlineStr">
        <is>
          <t>MT-104</t>
        </is>
      </c>
      <c r="B200" s="40" t="inlineStr">
        <is>
          <t>浅草線蔵前駅</t>
        </is>
      </c>
      <c r="C200" s="41" t="inlineStr">
        <is>
          <t>都営地下鉄</t>
        </is>
      </c>
      <c r="D200" s="42" t="inlineStr">
        <is>
          <t>東京都台東区蔵前２－３－１</t>
        </is>
      </c>
      <c r="E200" s="43" t="inlineStr">
        <is>
          <t>月・水・金</t>
        </is>
      </c>
      <c r="F200" s="42" t="inlineStr">
        <is>
          <t>宮原・岡田</t>
        </is>
      </c>
      <c r="G200" s="42" t="inlineStr">
        <is>
          <t>一般廃・産廃</t>
        </is>
      </c>
      <c r="H200" s="44" t="n">
        <v>100</v>
      </c>
    </row>
    <row r="201" ht="18" customHeight="1">
      <c r="A201" s="39" t="inlineStr">
        <is>
          <t>MT-105</t>
        </is>
      </c>
      <c r="B201" s="40" t="inlineStr">
        <is>
          <t>浅草線西馬込駅</t>
        </is>
      </c>
      <c r="C201" s="41" t="inlineStr">
        <is>
          <t>都営地下鉄</t>
        </is>
      </c>
      <c r="D201" s="42" t="inlineStr">
        <is>
          <t>東京都大田区西馬込２－１－６</t>
        </is>
      </c>
      <c r="E201" s="43" t="inlineStr">
        <is>
          <t>金</t>
        </is>
      </c>
      <c r="F201" s="42" t="inlineStr">
        <is>
          <t>宮原</t>
        </is>
      </c>
      <c r="G201" s="42" t="inlineStr">
        <is>
          <t>産廃</t>
        </is>
      </c>
      <c r="H201" s="44" t="n">
        <v>40</v>
      </c>
    </row>
    <row r="202" ht="18" customHeight="1">
      <c r="A202" s="39" t="inlineStr">
        <is>
          <t>MT-106</t>
        </is>
      </c>
      <c r="B202" s="40" t="inlineStr">
        <is>
          <t>浅草線馬込駅</t>
        </is>
      </c>
      <c r="C202" s="41" t="inlineStr">
        <is>
          <t>都営地下鉄</t>
        </is>
      </c>
      <c r="D202" s="42" t="inlineStr">
        <is>
          <t>東京都大田区北馬込２－９－１２</t>
        </is>
      </c>
      <c r="E202" s="43" t="inlineStr">
        <is>
          <t>金</t>
        </is>
      </c>
      <c r="F202" s="42" t="inlineStr">
        <is>
          <t>宮原</t>
        </is>
      </c>
      <c r="G202" s="42" t="inlineStr">
        <is>
          <t>産廃</t>
        </is>
      </c>
      <c r="H202" s="44" t="n">
        <v>32</v>
      </c>
    </row>
    <row r="203" ht="18" customHeight="1">
      <c r="A203" s="39" t="inlineStr">
        <is>
          <t>MT-107</t>
        </is>
      </c>
      <c r="B203" s="40" t="inlineStr">
        <is>
          <t>浅草線高輪台駅</t>
        </is>
      </c>
      <c r="C203" s="41" t="inlineStr">
        <is>
          <t>都営地下鉄</t>
        </is>
      </c>
      <c r="D203" s="42" t="inlineStr">
        <is>
          <t>東京都港区白金台２－２６－７</t>
        </is>
      </c>
      <c r="E203" s="43" t="inlineStr">
        <is>
          <t>金</t>
        </is>
      </c>
      <c r="F203" s="42" t="inlineStr">
        <is>
          <t>宮原</t>
        </is>
      </c>
      <c r="G203" s="42" t="inlineStr">
        <is>
          <t>産廃</t>
        </is>
      </c>
      <c r="H203" s="44" t="n">
        <v>32</v>
      </c>
    </row>
    <row r="204" ht="18" customHeight="1">
      <c r="A204" s="39" t="inlineStr">
        <is>
          <t>MT-108</t>
        </is>
      </c>
      <c r="B204" s="40" t="inlineStr">
        <is>
          <t>荒川電車営業所</t>
        </is>
      </c>
      <c r="C204" s="41" t="inlineStr">
        <is>
          <t>都営地下鉄</t>
        </is>
      </c>
      <c r="D204" s="42" t="inlineStr">
        <is>
          <t>東京都荒川区西尾久８－３３－７</t>
        </is>
      </c>
      <c r="E204" s="43" t="inlineStr">
        <is>
          <t>土・木・火</t>
        </is>
      </c>
      <c r="F204" s="42" t="inlineStr">
        <is>
          <t>岡田</t>
        </is>
      </c>
      <c r="G204" s="42" t="inlineStr">
        <is>
          <t>一般廃</t>
        </is>
      </c>
      <c r="H204" s="44" t="n">
        <v>240</v>
      </c>
    </row>
    <row r="205" ht="18" customHeight="1">
      <c r="A205" s="39" t="inlineStr">
        <is>
          <t>MT-109</t>
        </is>
      </c>
      <c r="B205" s="40" t="inlineStr">
        <is>
          <t>荒川電車営業所（都交通局）</t>
        </is>
      </c>
      <c r="C205" s="41" t="inlineStr">
        <is>
          <t>都営地下鉄</t>
        </is>
      </c>
      <c r="D205" s="42" t="inlineStr">
        <is>
          <t>東京都荒川区西尾久８－３３－７</t>
        </is>
      </c>
      <c r="E205" s="43" t="inlineStr">
        <is>
          <t>金</t>
        </is>
      </c>
      <c r="F205" s="42" t="inlineStr">
        <is>
          <t>宮原</t>
        </is>
      </c>
      <c r="G205" s="42" t="inlineStr">
        <is>
          <t>産廃</t>
        </is>
      </c>
      <c r="H205" s="44" t="n">
        <v>144</v>
      </c>
    </row>
    <row r="206" ht="18" customHeight="1">
      <c r="A206" s="39" t="inlineStr">
        <is>
          <t>MT-110</t>
        </is>
      </c>
      <c r="B206" s="40" t="inlineStr">
        <is>
          <t>都営新宿線本八幡駅</t>
        </is>
      </c>
      <c r="C206" s="41" t="inlineStr">
        <is>
          <t>都営地下鉄</t>
        </is>
      </c>
      <c r="D206" s="42" t="inlineStr">
        <is>
          <t>千葉県市川市八幡２－１６－１３</t>
        </is>
      </c>
      <c r="E206" s="43" t="inlineStr">
        <is>
          <t>木</t>
        </is>
      </c>
      <c r="F206" s="42" t="inlineStr">
        <is>
          <t>宮原</t>
        </is>
      </c>
      <c r="G206" s="42" t="inlineStr">
        <is>
          <t>産廃</t>
        </is>
      </c>
      <c r="H206" s="44" t="n">
        <v>0</v>
      </c>
    </row>
    <row r="207" ht="18" customHeight="1">
      <c r="A207" s="45" t="inlineStr">
        <is>
          <t>GN-001</t>
        </is>
      </c>
      <c r="B207" s="46" t="inlineStr">
        <is>
          <t>(有)NTサービス</t>
        </is>
      </c>
      <c r="C207" s="47" t="inlineStr">
        <is>
          <t>一般事業者</t>
        </is>
      </c>
      <c r="D207" s="48" t="inlineStr">
        <is>
          <t>東京都大田区久が原３－４１－１２シンワビル１F</t>
        </is>
      </c>
      <c r="E207" s="49" t="inlineStr">
        <is>
          <t>土・木・火</t>
        </is>
      </c>
      <c r="F207" s="48" t="inlineStr">
        <is>
          <t>白</t>
        </is>
      </c>
      <c r="G207" s="48" t="inlineStr">
        <is>
          <t>一般廃</t>
        </is>
      </c>
      <c r="H207" s="50" t="n">
        <v>560</v>
      </c>
    </row>
    <row r="208" ht="18" customHeight="1">
      <c r="A208" s="45" t="inlineStr">
        <is>
          <t>GN-002</t>
        </is>
      </c>
      <c r="B208" s="46" t="inlineStr">
        <is>
          <t>(有)NT・サービス</t>
        </is>
      </c>
      <c r="C208" s="47" t="inlineStr">
        <is>
          <t>一般事業者</t>
        </is>
      </c>
      <c r="D208" s="48" t="inlineStr">
        <is>
          <t>東京都大田区久が原３－４１－１２シンワビル１F</t>
        </is>
      </c>
      <c r="E208" s="49" t="inlineStr">
        <is>
          <t>月</t>
        </is>
      </c>
      <c r="F208" s="48" t="inlineStr">
        <is>
          <t>千葉</t>
        </is>
      </c>
      <c r="G208" s="48" t="inlineStr">
        <is>
          <t>産廃</t>
        </is>
      </c>
      <c r="H208" s="50" t="n">
        <v>40</v>
      </c>
    </row>
    <row r="209" ht="18" customHeight="1">
      <c r="A209" s="45" t="inlineStr">
        <is>
          <t>GN-003</t>
        </is>
      </c>
      <c r="B209" s="46" t="inlineStr">
        <is>
          <t>(株)ハピラルテストソリューションズ</t>
        </is>
      </c>
      <c r="C209" s="47" t="inlineStr">
        <is>
          <t>一般事業者</t>
        </is>
      </c>
      <c r="D209" s="48" t="inlineStr">
        <is>
          <t>東京都渋谷区千駄ヶ谷１－２５－１１</t>
        </is>
      </c>
      <c r="E209" s="49" t="inlineStr">
        <is>
          <t>土・木</t>
        </is>
      </c>
      <c r="F209" s="48" t="inlineStr">
        <is>
          <t>岡田</t>
        </is>
      </c>
      <c r="G209" s="48" t="inlineStr">
        <is>
          <t>一般廃</t>
        </is>
      </c>
      <c r="H209" s="50" t="n">
        <v>28</v>
      </c>
    </row>
    <row r="210" ht="18" customHeight="1">
      <c r="A210" s="45" t="inlineStr">
        <is>
          <t>GN-004</t>
        </is>
      </c>
      <c r="B210" s="46" t="inlineStr">
        <is>
          <t>(株)ハピラル・テストソリューションズ</t>
        </is>
      </c>
      <c r="C210" s="47" t="inlineStr">
        <is>
          <t>一般事業者</t>
        </is>
      </c>
      <c r="D210" s="48" t="inlineStr">
        <is>
          <t>東京都渋谷区千駄ヶ谷１－２５－１１外苑西オフィス</t>
        </is>
      </c>
      <c r="E210" s="49" t="inlineStr">
        <is>
          <t>水</t>
        </is>
      </c>
      <c r="F210" s="48" t="inlineStr">
        <is>
          <t>長野</t>
        </is>
      </c>
      <c r="G210" s="48" t="inlineStr">
        <is>
          <t>産廃</t>
        </is>
      </c>
      <c r="H210" s="50" t="n">
        <v>30</v>
      </c>
    </row>
    <row r="211" ht="18" customHeight="1">
      <c r="A211" s="45" t="inlineStr">
        <is>
          <t>GN-005</t>
        </is>
      </c>
      <c r="B211" s="46" t="inlineStr">
        <is>
          <t>(株)ユタカ</t>
        </is>
      </c>
      <c r="C211" s="47" t="inlineStr">
        <is>
          <t>一般事業者</t>
        </is>
      </c>
      <c r="D211" s="48" t="inlineStr">
        <is>
          <t>東京都大田区京浜島２－２－２</t>
        </is>
      </c>
      <c r="E211" s="49" t="inlineStr">
        <is>
          <t>月・火・金</t>
        </is>
      </c>
      <c r="F211" s="48" t="inlineStr">
        <is>
          <t>白・鈴木</t>
        </is>
      </c>
      <c r="G211" s="48" t="inlineStr">
        <is>
          <t>一般廃・不燃物</t>
        </is>
      </c>
      <c r="H211" s="50" t="n">
        <v>1508</v>
      </c>
    </row>
    <row r="212" ht="18" customHeight="1">
      <c r="A212" s="45" t="inlineStr">
        <is>
          <t>GN-006</t>
        </is>
      </c>
      <c r="B212" s="46" t="inlineStr">
        <is>
          <t>(株)前川試験機製作所</t>
        </is>
      </c>
      <c r="C212" s="47" t="inlineStr">
        <is>
          <t>一般事業者</t>
        </is>
      </c>
      <c r="D212" s="48" t="inlineStr">
        <is>
          <t>東京都大田区大森南２－１６－１</t>
        </is>
      </c>
      <c r="E212" s="49" t="inlineStr">
        <is>
          <t>・水・金</t>
        </is>
      </c>
      <c r="F212" s="48" t="inlineStr">
        <is>
          <t>千葉・白</t>
        </is>
      </c>
      <c r="G212" s="48" t="inlineStr">
        <is>
          <t>一般廃・産廃</t>
        </is>
      </c>
      <c r="H212" s="50" t="n">
        <v>140</v>
      </c>
    </row>
    <row r="213" ht="18" customHeight="1">
      <c r="A213" s="45" t="inlineStr">
        <is>
          <t>GN-007</t>
        </is>
      </c>
      <c r="B213" s="46" t="inlineStr">
        <is>
          <t>(株)銀座マギー　田園調布ビル</t>
        </is>
      </c>
      <c r="C213" s="47" t="inlineStr">
        <is>
          <t>一般事業者</t>
        </is>
      </c>
      <c r="D213" s="48" t="inlineStr">
        <is>
          <t>東京都大田区田園調布１－３３－１</t>
        </is>
      </c>
      <c r="E213" s="49" t="inlineStr">
        <is>
          <t>月</t>
        </is>
      </c>
      <c r="F213" s="48" t="inlineStr">
        <is>
          <t>千葉</t>
        </is>
      </c>
      <c r="G213" s="48" t="inlineStr">
        <is>
          <t>産廃</t>
        </is>
      </c>
      <c r="H213" s="50" t="n">
        <v>30</v>
      </c>
    </row>
    <row r="214" ht="18" customHeight="1">
      <c r="A214" s="45" t="inlineStr">
        <is>
          <t>GN-008</t>
        </is>
      </c>
      <c r="B214" s="46" t="inlineStr">
        <is>
          <t>(株)銀座マギー田園調布ビル</t>
        </is>
      </c>
      <c r="C214" s="47" t="inlineStr">
        <is>
          <t>一般事業者</t>
        </is>
      </c>
      <c r="D214" s="48" t="inlineStr">
        <is>
          <t>東京都大田区田園調布１－３３－１</t>
        </is>
      </c>
      <c r="E214" s="49" t="inlineStr">
        <is>
          <t>木</t>
        </is>
      </c>
      <c r="F214" s="48" t="inlineStr">
        <is>
          <t>白</t>
        </is>
      </c>
      <c r="G214" s="48" t="inlineStr">
        <is>
          <t>一般廃</t>
        </is>
      </c>
      <c r="H214" s="50" t="n">
        <v>10</v>
      </c>
    </row>
    <row r="215" ht="18" customHeight="1">
      <c r="A215" s="45" t="inlineStr">
        <is>
          <t>GN-009</t>
        </is>
      </c>
      <c r="B215" s="46" t="inlineStr">
        <is>
          <t>ADI</t>
        </is>
      </c>
      <c r="C215" s="47" t="inlineStr">
        <is>
          <t>一般事業者</t>
        </is>
      </c>
      <c r="D215" s="48" t="inlineStr">
        <is>
          <t>東京都目黒区上目黒３－４６－７　プラスキューブ１F</t>
        </is>
      </c>
      <c r="E215" s="49" t="inlineStr">
        <is>
          <t>土・月・木・水・火・金</t>
        </is>
      </c>
      <c r="F215" s="48" t="inlineStr">
        <is>
          <t>千葉・長谷川</t>
        </is>
      </c>
      <c r="G215" s="48" t="inlineStr">
        <is>
          <t>一般廃・産廃</t>
        </is>
      </c>
      <c r="H215" s="50" t="n">
        <v>80</v>
      </c>
    </row>
    <row r="216" ht="18" customHeight="1">
      <c r="A216" s="45" t="inlineStr">
        <is>
          <t>GN-010</t>
        </is>
      </c>
      <c r="B216" s="46" t="inlineStr">
        <is>
          <t>ALWAYS OUT OF STOCK</t>
        </is>
      </c>
      <c r="C216" s="47" t="inlineStr">
        <is>
          <t>一般事業者</t>
        </is>
      </c>
      <c r="D216" s="48" t="inlineStr">
        <is>
          <t>東京都目黒区上目黒３－４３－１８　K4</t>
        </is>
      </c>
      <c r="E216" s="49" t="inlineStr">
        <is>
          <t>土・月・木・水・火・金</t>
        </is>
      </c>
      <c r="F216" s="48" t="inlineStr">
        <is>
          <t>千葉・長谷川</t>
        </is>
      </c>
      <c r="G216" s="48" t="inlineStr">
        <is>
          <t>一般廃・産廃</t>
        </is>
      </c>
      <c r="H216" s="50" t="n">
        <v>0</v>
      </c>
    </row>
    <row r="217" ht="18" customHeight="1">
      <c r="A217" s="45" t="inlineStr">
        <is>
          <t>GN-011</t>
        </is>
      </c>
      <c r="B217" s="46" t="inlineStr">
        <is>
          <t>ASReal</t>
        </is>
      </c>
      <c r="C217" s="47" t="inlineStr">
        <is>
          <t>一般事業者</t>
        </is>
      </c>
      <c r="D217" s="48" t="inlineStr">
        <is>
          <t>東京都目黒区上目黒３－４３－２０　K1</t>
        </is>
      </c>
      <c r="E217" s="49" t="inlineStr">
        <is>
          <t>土・月・木・水・火・金</t>
        </is>
      </c>
      <c r="F217" s="48" t="inlineStr">
        <is>
          <t>千葉・長谷川</t>
        </is>
      </c>
      <c r="G217" s="48" t="inlineStr">
        <is>
          <t>一般廃・産廃</t>
        </is>
      </c>
      <c r="H217" s="50" t="n">
        <v>0</v>
      </c>
    </row>
    <row r="218" ht="18" customHeight="1">
      <c r="A218" s="45" t="inlineStr">
        <is>
          <t>GN-012</t>
        </is>
      </c>
      <c r="B218" s="46" t="inlineStr">
        <is>
          <t>Ben's Cookies 自由が丘店</t>
        </is>
      </c>
      <c r="C218" s="47" t="inlineStr">
        <is>
          <t>一般事業者</t>
        </is>
      </c>
      <c r="D218" s="48" t="inlineStr">
        <is>
          <t>東京都目黒区自由が丘１－９－８　東急線「自由が丘駅」構内</t>
        </is>
      </c>
      <c r="E218" s="49" t="inlineStr">
        <is>
          <t>・木・火</t>
        </is>
      </c>
      <c r="F218" s="48" t="inlineStr">
        <is>
          <t>千葉</t>
        </is>
      </c>
      <c r="G218" s="48" t="inlineStr">
        <is>
          <t>産廃</t>
        </is>
      </c>
      <c r="H218" s="50" t="n">
        <v>4</v>
      </c>
    </row>
    <row r="219" ht="18" customHeight="1">
      <c r="A219" s="45" t="inlineStr">
        <is>
          <t>GN-013</t>
        </is>
      </c>
      <c r="B219" s="46" t="inlineStr">
        <is>
          <t>CAGCHIYA TAP ROOM　自由が丘店</t>
        </is>
      </c>
      <c r="C219" s="47" t="inlineStr">
        <is>
          <t>一般事業者</t>
        </is>
      </c>
      <c r="D219" s="48" t="inlineStr">
        <is>
          <t>東京都世田谷区奥沢５－４２－３　トレインチ自由が丘B101</t>
        </is>
      </c>
      <c r="E219" s="49" t="inlineStr">
        <is>
          <t>・日・木・火</t>
        </is>
      </c>
      <c r="F219" s="48" t="inlineStr">
        <is>
          <t>中條・千葉</t>
        </is>
      </c>
      <c r="G219" s="48" t="inlineStr">
        <is>
          <t>一般廃・産廃</t>
        </is>
      </c>
      <c r="H219" s="50" t="n">
        <v>13</v>
      </c>
    </row>
    <row r="220" ht="18" customHeight="1">
      <c r="A220" s="45" t="inlineStr">
        <is>
          <t>GN-014</t>
        </is>
      </c>
      <c r="B220" s="46" t="inlineStr">
        <is>
          <t>CHANCEジム中目黒店</t>
        </is>
      </c>
      <c r="C220" s="47" t="inlineStr">
        <is>
          <t>一般事業者</t>
        </is>
      </c>
      <c r="D220" s="48" t="inlineStr">
        <is>
          <t>東京都目黒区上目黒２－４４－２４コムズ中目黒　３F</t>
        </is>
      </c>
      <c r="E220" s="49" t="inlineStr">
        <is>
          <t>・土・月・木・水・火・金</t>
        </is>
      </c>
      <c r="F220" s="48" t="inlineStr">
        <is>
          <t>千葉・長谷川</t>
        </is>
      </c>
      <c r="G220" s="48" t="inlineStr">
        <is>
          <t>一般廃・産廃</t>
        </is>
      </c>
      <c r="H220" s="50" t="n">
        <v>8</v>
      </c>
    </row>
    <row r="221" ht="18" customHeight="1">
      <c r="A221" s="45" t="inlineStr">
        <is>
          <t>GN-015</t>
        </is>
      </c>
      <c r="B221" s="46" t="inlineStr">
        <is>
          <t>CHI-FO</t>
        </is>
      </c>
      <c r="C221" s="47" t="inlineStr">
        <is>
          <t>一般事業者</t>
        </is>
      </c>
      <c r="D221" s="48" t="inlineStr">
        <is>
          <t>東京都目黒区鷹番２－２１－１９　１０BL-E1</t>
        </is>
      </c>
      <c r="E221" s="49" t="inlineStr">
        <is>
          <t>土・月・木・水・火・金</t>
        </is>
      </c>
      <c r="F221" s="48" t="inlineStr">
        <is>
          <t>中條・千葉・長谷川</t>
        </is>
      </c>
      <c r="G221" s="48" t="inlineStr">
        <is>
          <t>一般廃・瓶缶・産廃</t>
        </is>
      </c>
      <c r="H221" s="50" t="n">
        <v>56</v>
      </c>
    </row>
    <row r="222" ht="18" customHeight="1">
      <c r="A222" s="45" t="inlineStr">
        <is>
          <t>GN-016</t>
        </is>
      </c>
      <c r="B222" s="46" t="inlineStr">
        <is>
          <t>CHIYA-BA</t>
        </is>
      </c>
      <c r="C222" s="47" t="inlineStr">
        <is>
          <t>一般事業者</t>
        </is>
      </c>
      <c r="D222" s="48" t="inlineStr">
        <is>
          <t>東京都目黒区上目黒３－４５－１２　J２</t>
        </is>
      </c>
      <c r="E222" s="49" t="inlineStr">
        <is>
          <t>土・月・木・水・火・金</t>
        </is>
      </c>
      <c r="F222" s="48" t="inlineStr">
        <is>
          <t>千葉・長谷川</t>
        </is>
      </c>
      <c r="G222" s="48" t="inlineStr">
        <is>
          <t>一般廃・産廃</t>
        </is>
      </c>
      <c r="H222" s="50" t="n">
        <v>65</v>
      </c>
    </row>
    <row r="223" ht="18" customHeight="1">
      <c r="A223" s="45" t="inlineStr">
        <is>
          <t>GN-017</t>
        </is>
      </c>
      <c r="B223" s="46" t="inlineStr">
        <is>
          <t>CREPE by SIDER</t>
        </is>
      </c>
      <c r="C223" s="47" t="inlineStr">
        <is>
          <t>一般事業者</t>
        </is>
      </c>
      <c r="D223" s="48" t="inlineStr">
        <is>
          <t>東京都目黒区鷹番３－４－２５　GAKUDAI PARK STREET 14-4</t>
        </is>
      </c>
      <c r="E223" s="49" t="inlineStr">
        <is>
          <t>・土・日・月・木・水・火・金</t>
        </is>
      </c>
      <c r="F223" s="48" t="inlineStr">
        <is>
          <t>中條・千葉・長谷川</t>
        </is>
      </c>
      <c r="G223" s="48" t="inlineStr">
        <is>
          <t>一般廃・産廃</t>
        </is>
      </c>
      <c r="H223" s="50" t="n">
        <v>45</v>
      </c>
    </row>
    <row r="224" ht="18" customHeight="1">
      <c r="A224" s="45" t="inlineStr">
        <is>
          <t>GN-018</t>
        </is>
      </c>
      <c r="B224" s="46" t="inlineStr">
        <is>
          <t>Caldo　NAKAMEGURO</t>
        </is>
      </c>
      <c r="C224" s="47" t="inlineStr">
        <is>
          <t>一般事業者</t>
        </is>
      </c>
      <c r="D224" s="48" t="inlineStr">
        <is>
          <t>東京都目黒区上目黒３－５－２　９F-３</t>
        </is>
      </c>
      <c r="E224" s="49" t="inlineStr">
        <is>
          <t>・土・日・月・木・水・火・金</t>
        </is>
      </c>
      <c r="F224" s="48" t="inlineStr">
        <is>
          <t>中條・千葉・長谷川</t>
        </is>
      </c>
      <c r="G224" s="48" t="inlineStr">
        <is>
          <t>一般廃・瓶缶・産廃</t>
        </is>
      </c>
      <c r="H224" s="50" t="n">
        <v>92</v>
      </c>
    </row>
    <row r="225" ht="18" customHeight="1">
      <c r="A225" s="45" t="inlineStr">
        <is>
          <t>GN-019</t>
        </is>
      </c>
      <c r="B225" s="46" t="inlineStr">
        <is>
          <t>Curry Kiosk CARMA</t>
        </is>
      </c>
      <c r="C225" s="47" t="inlineStr">
        <is>
          <t>一般事業者</t>
        </is>
      </c>
      <c r="D225" s="48" t="inlineStr">
        <is>
          <t>東京都目黒区碑文谷６－６－５　GAKUDAI COLLECTIV B-１</t>
        </is>
      </c>
      <c r="E225" s="49" t="inlineStr">
        <is>
          <t>土・月・木・水・火・金</t>
        </is>
      </c>
      <c r="F225" s="48" t="inlineStr">
        <is>
          <t>千葉・長谷川</t>
        </is>
      </c>
      <c r="G225" s="48" t="inlineStr">
        <is>
          <t>一般廃・産廃</t>
        </is>
      </c>
      <c r="H225" s="50" t="n">
        <v>55</v>
      </c>
    </row>
    <row r="226" ht="18" customHeight="1">
      <c r="A226" s="45" t="inlineStr">
        <is>
          <t>GN-020</t>
        </is>
      </c>
      <c r="B226" s="46" t="inlineStr">
        <is>
          <t>DDDD（ディフォー）</t>
        </is>
      </c>
      <c r="C226" s="47" t="inlineStr">
        <is>
          <t>一般事業者</t>
        </is>
      </c>
      <c r="D226" s="48" t="inlineStr">
        <is>
          <t>東京都渋谷区代官山町１３－１代官山ログロードL３　１F</t>
        </is>
      </c>
      <c r="E226" s="49" t="inlineStr">
        <is>
          <t>土・日・月・木・水・火・金</t>
        </is>
      </c>
      <c r="F226" s="48" t="inlineStr">
        <is>
          <t>中條・和田・荻野・長谷川・長野</t>
        </is>
      </c>
      <c r="G226" s="48" t="inlineStr">
        <is>
          <t>一般廃・段ボール・産廃</t>
        </is>
      </c>
      <c r="H226" s="50" t="n">
        <v>40</v>
      </c>
    </row>
    <row r="227" ht="18" customHeight="1">
      <c r="A227" s="45" t="inlineStr">
        <is>
          <t>GN-021</t>
        </is>
      </c>
      <c r="B227" s="46" t="inlineStr">
        <is>
          <t>DEAN&amp;DELUCA</t>
        </is>
      </c>
      <c r="C227" s="47" t="inlineStr">
        <is>
          <t>一般事業者</t>
        </is>
      </c>
      <c r="D227" s="48" t="inlineStr">
        <is>
          <t>東京都目黒区碑文谷５－１１－１３　高架下１７BL</t>
        </is>
      </c>
      <c r="E227" s="49" t="inlineStr">
        <is>
          <t>土・日・月・木・水・火・金</t>
        </is>
      </c>
      <c r="F227" s="48" t="inlineStr">
        <is>
          <t>中條・千葉・藤内・長谷川</t>
        </is>
      </c>
      <c r="G227" s="48" t="inlineStr">
        <is>
          <t>一般廃・段ボール・瓶缶・産廃</t>
        </is>
      </c>
      <c r="H227" s="50" t="n">
        <v>925</v>
      </c>
    </row>
    <row r="228" ht="18" customHeight="1">
      <c r="A228" s="45" t="inlineStr">
        <is>
          <t>GN-022</t>
        </is>
      </c>
      <c r="B228" s="46" t="inlineStr">
        <is>
          <t>DUMBO Doughnuts</t>
        </is>
      </c>
      <c r="C228" s="47" t="inlineStr">
        <is>
          <t>一般事業者</t>
        </is>
      </c>
      <c r="D228" s="48" t="inlineStr">
        <is>
          <t>東京都世田谷区奥沢５－４２－３　トレインチ自由が丘２F</t>
        </is>
      </c>
      <c r="E228" s="49" t="inlineStr">
        <is>
          <t>・日・木・火</t>
        </is>
      </c>
      <c r="F228" s="48" t="inlineStr">
        <is>
          <t>中條・千葉</t>
        </is>
      </c>
      <c r="G228" s="48" t="inlineStr">
        <is>
          <t>一般廃・産廃</t>
        </is>
      </c>
      <c r="H228" s="50" t="n">
        <v>27</v>
      </c>
    </row>
    <row r="229" ht="18" customHeight="1">
      <c r="A229" s="45" t="inlineStr">
        <is>
          <t>GN-023</t>
        </is>
      </c>
      <c r="B229" s="46" t="inlineStr">
        <is>
          <t>Dream Life</t>
        </is>
      </c>
      <c r="C229" s="47" t="inlineStr">
        <is>
          <t>一般事業者</t>
        </is>
      </c>
      <c r="D229" s="48" t="inlineStr">
        <is>
          <t>東京都目黒区上目黒３－４３－１６　L３</t>
        </is>
      </c>
      <c r="E229" s="49" t="inlineStr">
        <is>
          <t>土・月・木・水・火・金</t>
        </is>
      </c>
      <c r="F229" s="48" t="inlineStr">
        <is>
          <t>千葉・長谷川</t>
        </is>
      </c>
      <c r="G229" s="48" t="inlineStr">
        <is>
          <t>一般廃・産廃</t>
        </is>
      </c>
      <c r="H229" s="50" t="n">
        <v>4</v>
      </c>
    </row>
    <row r="230" ht="18" customHeight="1">
      <c r="A230" s="45" t="inlineStr">
        <is>
          <t>GN-024</t>
        </is>
      </c>
      <c r="B230" s="46" t="inlineStr">
        <is>
          <t>E-style大井町校</t>
        </is>
      </c>
      <c r="C230" s="47" t="inlineStr">
        <is>
          <t>一般事業者</t>
        </is>
      </c>
      <c r="D230" s="48" t="inlineStr">
        <is>
          <t>東京都品川区大井１－１－１</t>
        </is>
      </c>
      <c r="E230" s="49" t="inlineStr">
        <is>
          <t>月・木・水・金</t>
        </is>
      </c>
      <c r="F230" s="48" t="inlineStr">
        <is>
          <t>中條・千葉</t>
        </is>
      </c>
      <c r="G230" s="48" t="inlineStr">
        <is>
          <t>段ボール・産廃</t>
        </is>
      </c>
      <c r="H230" s="50" t="n">
        <v>4</v>
      </c>
    </row>
    <row r="231" ht="18" customHeight="1">
      <c r="A231" s="45" t="inlineStr">
        <is>
          <t>GN-025</t>
        </is>
      </c>
      <c r="B231" s="46" t="inlineStr">
        <is>
          <t>FACT</t>
        </is>
      </c>
      <c r="C231" s="47" t="inlineStr">
        <is>
          <t>一般事業者</t>
        </is>
      </c>
      <c r="D231" s="48" t="inlineStr">
        <is>
          <t>東京都目黒区上目黒３－４３－２０　NAKAME GALLERY STREET</t>
        </is>
      </c>
      <c r="E231" s="49" t="inlineStr">
        <is>
          <t>土・月・木・水・火・金</t>
        </is>
      </c>
      <c r="F231" s="48" t="inlineStr">
        <is>
          <t>千葉・長谷川</t>
        </is>
      </c>
      <c r="G231" s="48" t="inlineStr">
        <is>
          <t>一般廃・産廃</t>
        </is>
      </c>
      <c r="H231" s="50" t="n">
        <v>0</v>
      </c>
    </row>
    <row r="232" ht="18" customHeight="1">
      <c r="A232" s="45" t="inlineStr">
        <is>
          <t>GN-026</t>
        </is>
      </c>
      <c r="B232" s="46" t="inlineStr">
        <is>
          <t>FRORIST KADAN</t>
        </is>
      </c>
      <c r="C232" s="47" t="inlineStr">
        <is>
          <t>一般事業者</t>
        </is>
      </c>
      <c r="D232" s="48" t="inlineStr">
        <is>
          <t>東京都世田谷区奥沢３－４７－８</t>
        </is>
      </c>
      <c r="E232" s="49" t="inlineStr">
        <is>
          <t>・木・火</t>
        </is>
      </c>
      <c r="F232" s="48" t="inlineStr">
        <is>
          <t>千葉</t>
        </is>
      </c>
      <c r="G232" s="48" t="inlineStr">
        <is>
          <t>産廃</t>
        </is>
      </c>
      <c r="H232" s="50" t="n">
        <v>0</v>
      </c>
    </row>
    <row r="233" ht="18" customHeight="1">
      <c r="A233" s="45" t="inlineStr">
        <is>
          <t>GN-027</t>
        </is>
      </c>
      <c r="B233" s="46" t="inlineStr">
        <is>
          <t>Far Yeast Brewing</t>
        </is>
      </c>
      <c r="C233" s="47" t="inlineStr">
        <is>
          <t>一般事業者</t>
        </is>
      </c>
      <c r="D233" s="48" t="inlineStr">
        <is>
          <t>東京都品川区西五反田１－２２－４　C区画</t>
        </is>
      </c>
      <c r="E233" s="49" t="inlineStr">
        <is>
          <t>日・月・水・火・金</t>
        </is>
      </c>
      <c r="F233" s="48" t="inlineStr">
        <is>
          <t>中條・千葉</t>
        </is>
      </c>
      <c r="G233" s="48" t="inlineStr">
        <is>
          <t>一般廃・瓶缶・産廃</t>
        </is>
      </c>
      <c r="H233" s="50" t="n">
        <v>101</v>
      </c>
    </row>
    <row r="234" ht="18" customHeight="1">
      <c r="A234" s="45" t="inlineStr">
        <is>
          <t>GN-028</t>
        </is>
      </c>
      <c r="B234" s="46" t="inlineStr">
        <is>
          <t>GONZO　酒場シナトラ</t>
        </is>
      </c>
      <c r="C234" s="47" t="inlineStr">
        <is>
          <t>一般事業者</t>
        </is>
      </c>
      <c r="D234" s="48" t="inlineStr">
        <is>
          <t>東京都世田谷区奥沢５－４２－３　トレインチ自由が丘A-101 A-102</t>
        </is>
      </c>
      <c r="E234" s="49" t="inlineStr">
        <is>
          <t>・日・木・火</t>
        </is>
      </c>
      <c r="F234" s="48" t="inlineStr">
        <is>
          <t>中條・千葉</t>
        </is>
      </c>
      <c r="G234" s="48" t="inlineStr">
        <is>
          <t>一般廃・産廃</t>
        </is>
      </c>
      <c r="H234" s="50" t="n">
        <v>191</v>
      </c>
    </row>
    <row r="235" ht="18" customHeight="1">
      <c r="A235" s="45" t="inlineStr">
        <is>
          <t>GN-029</t>
        </is>
      </c>
      <c r="B235" s="46" t="inlineStr">
        <is>
          <t>GOOD LUCK 中目黒店</t>
        </is>
      </c>
      <c r="C235" s="47" t="inlineStr">
        <is>
          <t>一般事業者</t>
        </is>
      </c>
      <c r="D235" s="48" t="inlineStr">
        <is>
          <t>東京都目黒区上目黒１－２２－１２B-7</t>
        </is>
      </c>
      <c r="E235" s="49" t="inlineStr">
        <is>
          <t>土・日・月・木・水・火・金</t>
        </is>
      </c>
      <c r="F235" s="48" t="inlineStr">
        <is>
          <t>中條・千葉・長谷川・長野</t>
        </is>
      </c>
      <c r="G235" s="48" t="inlineStr">
        <is>
          <t>一般廃・産廃</t>
        </is>
      </c>
      <c r="H235" s="50" t="n">
        <v>74</v>
      </c>
    </row>
    <row r="236" ht="18" customHeight="1">
      <c r="A236" s="45" t="inlineStr">
        <is>
          <t>GN-030</t>
        </is>
      </c>
      <c r="B236" s="46" t="inlineStr">
        <is>
          <t>GOOD SOUND COFFEE 中目黒店</t>
        </is>
      </c>
      <c r="C236" s="47" t="inlineStr">
        <is>
          <t>一般事業者</t>
        </is>
      </c>
      <c r="D236" s="48" t="inlineStr">
        <is>
          <t>東京都目黒区上目黒１－６－５</t>
        </is>
      </c>
      <c r="E236" s="49" t="inlineStr">
        <is>
          <t>土・月・木・水・火・金</t>
        </is>
      </c>
      <c r="F236" s="48" t="inlineStr">
        <is>
          <t>藤内・長谷川・長野</t>
        </is>
      </c>
      <c r="G236" s="48" t="inlineStr">
        <is>
          <t>一般廃・段ボール・産廃</t>
        </is>
      </c>
      <c r="H236" s="50" t="n">
        <v>195</v>
      </c>
    </row>
    <row r="237" ht="18" customHeight="1">
      <c r="A237" s="45" t="inlineStr">
        <is>
          <t>GN-031</t>
        </is>
      </c>
      <c r="B237" s="46" t="inlineStr">
        <is>
          <t>GYM by LAVISUS</t>
        </is>
      </c>
      <c r="C237" s="47" t="inlineStr">
        <is>
          <t>一般事業者</t>
        </is>
      </c>
      <c r="D237" s="48" t="inlineStr">
        <is>
          <t>東京都目黒区上目黒３－４３－１６　L1</t>
        </is>
      </c>
      <c r="E237" s="49" t="inlineStr">
        <is>
          <t>土・月・木・水・火・金</t>
        </is>
      </c>
      <c r="F237" s="48" t="inlineStr">
        <is>
          <t>千葉・長谷川</t>
        </is>
      </c>
      <c r="G237" s="48" t="inlineStr">
        <is>
          <t>一般廃・産廃</t>
        </is>
      </c>
      <c r="H237" s="50" t="n">
        <v>0</v>
      </c>
    </row>
    <row r="238" ht="18" customHeight="1">
      <c r="A238" s="45" t="inlineStr">
        <is>
          <t>GN-032</t>
        </is>
      </c>
      <c r="B238" s="46" t="inlineStr">
        <is>
          <t>HATSUMIMI</t>
        </is>
      </c>
      <c r="C238" s="47" t="inlineStr">
        <is>
          <t>一般事業者</t>
        </is>
      </c>
      <c r="D238" s="48" t="inlineStr">
        <is>
          <t>東京都目黒区鷹番２－２１－１７　１０BLD3</t>
        </is>
      </c>
      <c r="E238" s="49" t="inlineStr">
        <is>
          <t>土・月・木・水・火・金</t>
        </is>
      </c>
      <c r="F238" s="48" t="inlineStr">
        <is>
          <t>中條・千葉・長谷川</t>
        </is>
      </c>
      <c r="G238" s="48" t="inlineStr">
        <is>
          <t>一般廃・瓶缶・産廃</t>
        </is>
      </c>
      <c r="H238" s="50" t="n">
        <v>14</v>
      </c>
    </row>
    <row r="239" ht="18" customHeight="1">
      <c r="A239" s="45" t="inlineStr">
        <is>
          <t>GN-033</t>
        </is>
      </c>
      <c r="B239" s="46" t="inlineStr">
        <is>
          <t>HVEN</t>
        </is>
      </c>
      <c r="C239" s="47" t="inlineStr">
        <is>
          <t>一般事業者</t>
        </is>
      </c>
      <c r="D239" s="48" t="inlineStr">
        <is>
          <t>東京都目黒区上目黒１－６－１　０A－１</t>
        </is>
      </c>
      <c r="E239" s="49" t="inlineStr">
        <is>
          <t>土・月・木・水・火・金</t>
        </is>
      </c>
      <c r="F239" s="48" t="inlineStr">
        <is>
          <t>長谷川・長野</t>
        </is>
      </c>
      <c r="G239" s="48" t="inlineStr">
        <is>
          <t>一般廃・産廃</t>
        </is>
      </c>
      <c r="H239" s="50" t="n">
        <v>177</v>
      </c>
    </row>
    <row r="240" ht="18" customHeight="1">
      <c r="A240" s="45" t="inlineStr">
        <is>
          <t>GN-034</t>
        </is>
      </c>
      <c r="B240" s="46" t="inlineStr">
        <is>
          <t>I'm donut?中目黒店</t>
        </is>
      </c>
      <c r="C240" s="47" t="inlineStr">
        <is>
          <t>一般事業者</t>
        </is>
      </c>
      <c r="D240" s="48" t="inlineStr">
        <is>
          <t>東京都目黒区上目黒１－２２－１０</t>
        </is>
      </c>
      <c r="E240" s="49" t="inlineStr">
        <is>
          <t>土・日・月・木・水・火・金</t>
        </is>
      </c>
      <c r="F240" s="48" t="inlineStr">
        <is>
          <t>中條・千葉・長谷川・長野</t>
        </is>
      </c>
      <c r="G240" s="48" t="inlineStr">
        <is>
          <t>一般廃・産廃</t>
        </is>
      </c>
      <c r="H240" s="50" t="n">
        <v>340</v>
      </c>
    </row>
    <row r="241" ht="18" customHeight="1">
      <c r="A241" s="45" t="inlineStr">
        <is>
          <t>GN-035</t>
        </is>
      </c>
      <c r="B241" s="46" t="inlineStr">
        <is>
          <t>KBCほいくえん　大井町</t>
        </is>
      </c>
      <c r="C241" s="47" t="inlineStr">
        <is>
          <t>一般事業者</t>
        </is>
      </c>
      <c r="D241" s="48" t="inlineStr">
        <is>
          <t>東京都品川区二葉１－８－２０　高架下</t>
        </is>
      </c>
      <c r="E241" s="49" t="inlineStr">
        <is>
          <t>木・水・金</t>
        </is>
      </c>
      <c r="F241" s="48" t="inlineStr">
        <is>
          <t>中條・千葉</t>
        </is>
      </c>
      <c r="G241" s="48" t="inlineStr">
        <is>
          <t>産廃・資源</t>
        </is>
      </c>
      <c r="H241" s="50" t="n">
        <v>55</v>
      </c>
    </row>
    <row r="242" ht="18" customHeight="1">
      <c r="A242" s="45" t="inlineStr">
        <is>
          <t>GN-036</t>
        </is>
      </c>
      <c r="B242" s="46" t="inlineStr">
        <is>
          <t>KUROSHIRO</t>
        </is>
      </c>
      <c r="C242" s="47" t="inlineStr">
        <is>
          <t>一般事業者</t>
        </is>
      </c>
      <c r="D242" s="48" t="inlineStr">
        <is>
          <t>東京都目黒区上目黒３－４３－１８　K３</t>
        </is>
      </c>
      <c r="E242" s="49" t="inlineStr">
        <is>
          <t>土・月・木・水・火・金</t>
        </is>
      </c>
      <c r="F242" s="48" t="inlineStr">
        <is>
          <t>千葉・長谷川</t>
        </is>
      </c>
      <c r="G242" s="48" t="inlineStr">
        <is>
          <t>一般廃・産廃</t>
        </is>
      </c>
      <c r="H242" s="50" t="n">
        <v>1</v>
      </c>
    </row>
    <row r="243" ht="18" customHeight="1">
      <c r="A243" s="45" t="inlineStr">
        <is>
          <t>GN-037</t>
        </is>
      </c>
      <c r="B243" s="46" t="inlineStr">
        <is>
          <t>M&amp;Trees</t>
        </is>
      </c>
      <c r="C243" s="47" t="inlineStr">
        <is>
          <t>一般事業者</t>
        </is>
      </c>
      <c r="D243" s="48" t="inlineStr">
        <is>
          <t>東京都目黒区鷹番３－４－２５　学大小路</t>
        </is>
      </c>
      <c r="E243" s="49" t="inlineStr">
        <is>
          <t>・土・日・月・木・水・火・金</t>
        </is>
      </c>
      <c r="F243" s="48" t="inlineStr">
        <is>
          <t>中條・千葉・長谷川</t>
        </is>
      </c>
      <c r="G243" s="48" t="inlineStr">
        <is>
          <t>一般廃・産廃</t>
        </is>
      </c>
      <c r="H243" s="50" t="n">
        <v>21</v>
      </c>
    </row>
    <row r="244" ht="18" customHeight="1">
      <c r="A244" s="45" t="inlineStr">
        <is>
          <t>GN-038</t>
        </is>
      </c>
      <c r="B244" s="46" t="inlineStr">
        <is>
          <t>MAISON KUROSU</t>
        </is>
      </c>
      <c r="C244" s="47" t="inlineStr">
        <is>
          <t>一般事業者</t>
        </is>
      </c>
      <c r="D244" s="48" t="inlineStr">
        <is>
          <t>東京都目黒区碑文谷６－７－２２</t>
        </is>
      </c>
      <c r="E244" s="49" t="inlineStr">
        <is>
          <t>水</t>
        </is>
      </c>
      <c r="F244" s="48" t="inlineStr">
        <is>
          <t>千葉</t>
        </is>
      </c>
      <c r="G244" s="48" t="inlineStr">
        <is>
          <t>産廃</t>
        </is>
      </c>
      <c r="H244" s="50" t="n">
        <v>0</v>
      </c>
    </row>
    <row r="245" ht="18" customHeight="1">
      <c r="A245" s="45" t="inlineStr">
        <is>
          <t>GN-039</t>
        </is>
      </c>
      <c r="B245" s="46" t="inlineStr">
        <is>
          <t>MAISON KUROSU　学芸大学</t>
        </is>
      </c>
      <c r="C245" s="47" t="inlineStr">
        <is>
          <t>一般事業者</t>
        </is>
      </c>
      <c r="D245" s="48" t="inlineStr">
        <is>
          <t>東京都目黒区碑文谷６－７－２２　１４BL</t>
        </is>
      </c>
      <c r="E245" s="49" t="inlineStr">
        <is>
          <t>日</t>
        </is>
      </c>
      <c r="F245" s="48" t="inlineStr">
        <is>
          <t>中條</t>
        </is>
      </c>
      <c r="G245" s="48" t="inlineStr">
        <is>
          <t>一般廃</t>
        </is>
      </c>
      <c r="H245" s="50" t="n">
        <v>0</v>
      </c>
    </row>
    <row r="246" ht="18" customHeight="1">
      <c r="A246" s="45" t="inlineStr">
        <is>
          <t>GN-040</t>
        </is>
      </c>
      <c r="B246" s="46" t="inlineStr">
        <is>
          <t>MAISON KUROSU学芸</t>
        </is>
      </c>
      <c r="C246" s="47" t="inlineStr">
        <is>
          <t>一般事業者</t>
        </is>
      </c>
      <c r="D246" s="48" t="inlineStr">
        <is>
          <t>東京都目黒区碑文谷６－７－２２</t>
        </is>
      </c>
      <c r="E246" s="49" t="inlineStr">
        <is>
          <t>土・月・木・水・火・金</t>
        </is>
      </c>
      <c r="F246" s="48" t="inlineStr">
        <is>
          <t>長谷川</t>
        </is>
      </c>
      <c r="G246" s="48" t="inlineStr">
        <is>
          <t>一般廃</t>
        </is>
      </c>
      <c r="H246" s="50" t="n">
        <v>56.5</v>
      </c>
    </row>
    <row r="247" ht="18" customHeight="1">
      <c r="A247" s="45" t="inlineStr">
        <is>
          <t>GN-041</t>
        </is>
      </c>
      <c r="B247" s="46" t="inlineStr">
        <is>
          <t>MY SWEETS　二子玉川店</t>
        </is>
      </c>
      <c r="C247" s="47" t="inlineStr">
        <is>
          <t>一般事業者</t>
        </is>
      </c>
      <c r="D247" s="48" t="inlineStr">
        <is>
          <t>東京都世田谷区玉川２－２２－１３</t>
        </is>
      </c>
      <c r="E247" s="49" t="inlineStr">
        <is>
          <t>・日・木・火</t>
        </is>
      </c>
      <c r="F247" s="48" t="inlineStr">
        <is>
          <t>中條・千葉・長野</t>
        </is>
      </c>
      <c r="G247" s="48" t="inlineStr">
        <is>
          <t>一般廃・産廃</t>
        </is>
      </c>
      <c r="H247" s="50" t="n">
        <v>110</v>
      </c>
    </row>
    <row r="248" ht="18" customHeight="1">
      <c r="A248" s="45" t="inlineStr">
        <is>
          <t>GN-042</t>
        </is>
      </c>
      <c r="B248" s="46" t="inlineStr">
        <is>
          <t>MY SWEETS　大井町店</t>
        </is>
      </c>
      <c r="C248" s="47" t="inlineStr">
        <is>
          <t>一般事業者</t>
        </is>
      </c>
      <c r="D248" s="48" t="inlineStr">
        <is>
          <t>東京都品川区大井１－１－１</t>
        </is>
      </c>
      <c r="E248" s="49" t="inlineStr">
        <is>
          <t>月・木・水・金</t>
        </is>
      </c>
      <c r="F248" s="48" t="inlineStr">
        <is>
          <t>中條・千葉</t>
        </is>
      </c>
      <c r="G248" s="48" t="inlineStr">
        <is>
          <t>段ボール・産廃</t>
        </is>
      </c>
      <c r="H248" s="50" t="n">
        <v>44</v>
      </c>
    </row>
    <row r="249" ht="18" customHeight="1">
      <c r="A249" s="45" t="inlineStr">
        <is>
          <t>GN-043</t>
        </is>
      </c>
      <c r="B249" s="46" t="inlineStr">
        <is>
          <t>MY SWEETS　渋谷店</t>
        </is>
      </c>
      <c r="C249" s="47" t="inlineStr">
        <is>
          <t>一般事業者</t>
        </is>
      </c>
      <c r="D249" s="48" t="inlineStr">
        <is>
          <t>東京都渋谷区道玄坂２－１－１</t>
        </is>
      </c>
      <c r="E249" s="49" t="inlineStr">
        <is>
          <t>土・月・木・水・金</t>
        </is>
      </c>
      <c r="F249" s="48" t="inlineStr">
        <is>
          <t>中條・和田・荻野・長野</t>
        </is>
      </c>
      <c r="G249" s="48" t="inlineStr">
        <is>
          <t>段ボール・産廃・資源</t>
        </is>
      </c>
      <c r="H249" s="50" t="n">
        <v>4</v>
      </c>
    </row>
    <row r="250" ht="18" customHeight="1">
      <c r="A250" s="45" t="inlineStr">
        <is>
          <t>GN-044</t>
        </is>
      </c>
      <c r="B250" s="46" t="inlineStr">
        <is>
          <t>Mix Bar Rose</t>
        </is>
      </c>
      <c r="C250" s="47" t="inlineStr">
        <is>
          <t>一般事業者</t>
        </is>
      </c>
      <c r="D250" s="48" t="inlineStr">
        <is>
          <t>東京都目黒区鷹番２－２１－１７　学大横丁</t>
        </is>
      </c>
      <c r="E250" s="49" t="inlineStr">
        <is>
          <t>土・月・木・水・火・金</t>
        </is>
      </c>
      <c r="F250" s="48" t="inlineStr">
        <is>
          <t>中條・千葉・長谷川</t>
        </is>
      </c>
      <c r="G250" s="48" t="inlineStr">
        <is>
          <t>一般廃・瓶缶・産廃</t>
        </is>
      </c>
      <c r="H250" s="50" t="n">
        <v>0</v>
      </c>
    </row>
    <row r="251" ht="18" customHeight="1">
      <c r="A251" s="45" t="inlineStr">
        <is>
          <t>GN-045</t>
        </is>
      </c>
      <c r="B251" s="46" t="inlineStr">
        <is>
          <t>NAKAMA-Lab</t>
        </is>
      </c>
      <c r="C251" s="47" t="inlineStr">
        <is>
          <t>一般事業者</t>
        </is>
      </c>
      <c r="D251" s="48" t="inlineStr">
        <is>
          <t>東京都目黒区上目黒３－４５－１２　J１</t>
        </is>
      </c>
      <c r="E251" s="49" t="inlineStr">
        <is>
          <t>土・月・木・水・火・金</t>
        </is>
      </c>
      <c r="F251" s="48" t="inlineStr">
        <is>
          <t>千葉・長谷川</t>
        </is>
      </c>
      <c r="G251" s="48" t="inlineStr">
        <is>
          <t>一般廃・産廃</t>
        </is>
      </c>
      <c r="H251" s="50" t="n">
        <v>0</v>
      </c>
    </row>
    <row r="252" ht="18" customHeight="1">
      <c r="A252" s="45" t="inlineStr">
        <is>
          <t>GN-046</t>
        </is>
      </c>
      <c r="B252" s="46" t="inlineStr">
        <is>
          <t>NATURAL KITCHEN　自由が丘</t>
        </is>
      </c>
      <c r="C252" s="47" t="inlineStr">
        <is>
          <t>一般事業者</t>
        </is>
      </c>
      <c r="D252" s="48" t="inlineStr">
        <is>
          <t>東京都世田谷区奥沢５－４２－３　トレインチ自由が丘B-201</t>
        </is>
      </c>
      <c r="E252" s="49" t="inlineStr">
        <is>
          <t>・日・木・火</t>
        </is>
      </c>
      <c r="F252" s="48" t="inlineStr">
        <is>
          <t>中條・千葉</t>
        </is>
      </c>
      <c r="G252" s="48" t="inlineStr">
        <is>
          <t>一般廃・産廃</t>
        </is>
      </c>
      <c r="H252" s="50" t="n">
        <v>32</v>
      </c>
    </row>
    <row r="253" ht="18" customHeight="1">
      <c r="A253" s="45" t="inlineStr">
        <is>
          <t>GN-047</t>
        </is>
      </c>
      <c r="B253" s="46" t="inlineStr">
        <is>
          <t>NTサービス</t>
        </is>
      </c>
      <c r="C253" s="47" t="inlineStr">
        <is>
          <t>一般事業者</t>
        </is>
      </c>
      <c r="D253" s="48" t="inlineStr">
        <is>
          <t>東京都大田区久が原３－４１－１２シンワビル</t>
        </is>
      </c>
      <c r="E253" s="49" t="inlineStr">
        <is>
          <t>火</t>
        </is>
      </c>
      <c r="F253" s="48" t="inlineStr">
        <is>
          <t>中條</t>
        </is>
      </c>
      <c r="G253" s="48" t="inlineStr">
        <is>
          <t>瓶缶</t>
        </is>
      </c>
      <c r="H253" s="50" t="n">
        <v>10</v>
      </c>
    </row>
    <row r="254" ht="18" customHeight="1">
      <c r="A254" s="45" t="inlineStr">
        <is>
          <t>GN-048</t>
        </is>
      </c>
      <c r="B254" s="46" t="inlineStr">
        <is>
          <t>NewWork　都立大</t>
        </is>
      </c>
      <c r="C254" s="47" t="inlineStr">
        <is>
          <t>一般事業者</t>
        </is>
      </c>
      <c r="D254" s="48" t="inlineStr">
        <is>
          <t>東京都目黒区中根１－５－２　都立大高架下</t>
        </is>
      </c>
      <c r="E254" s="49" t="inlineStr">
        <is>
          <t>土・日・月・木・水・火・金</t>
        </is>
      </c>
      <c r="F254" s="48" t="inlineStr">
        <is>
          <t>中條・千葉・長谷川</t>
        </is>
      </c>
      <c r="G254" s="48" t="inlineStr">
        <is>
          <t>一般廃・瓶缶・産廃</t>
        </is>
      </c>
      <c r="H254" s="50" t="n">
        <v>16</v>
      </c>
    </row>
    <row r="255" ht="18" customHeight="1">
      <c r="A255" s="45" t="inlineStr">
        <is>
          <t>GN-049</t>
        </is>
      </c>
      <c r="B255" s="46" t="inlineStr">
        <is>
          <t>QBハウス　エトモ鵜の木店</t>
        </is>
      </c>
      <c r="C255" s="47" t="inlineStr">
        <is>
          <t>一般事業者</t>
        </is>
      </c>
      <c r="D255" s="48" t="inlineStr">
        <is>
          <t>東京都大田区鵜の木２－４－１　エトモ鵜の木</t>
        </is>
      </c>
      <c r="E255" s="49" t="inlineStr">
        <is>
          <t>火</t>
        </is>
      </c>
      <c r="F255" s="48" t="inlineStr">
        <is>
          <t>千葉</t>
        </is>
      </c>
      <c r="G255" s="48" t="inlineStr">
        <is>
          <t>産廃</t>
        </is>
      </c>
      <c r="H255" s="50" t="n">
        <v>0</v>
      </c>
    </row>
    <row r="256" ht="18" customHeight="1">
      <c r="A256" s="45" t="inlineStr">
        <is>
          <t>GN-050</t>
        </is>
      </c>
      <c r="B256" s="46" t="inlineStr">
        <is>
          <t>QBハウス　下高井戸店</t>
        </is>
      </c>
      <c r="C256" s="47" t="inlineStr">
        <is>
          <t>一般事業者</t>
        </is>
      </c>
      <c r="D256" s="48" t="inlineStr">
        <is>
          <t>東京都世田谷区松原３－２９－１７</t>
        </is>
      </c>
      <c r="E256" s="49" t="inlineStr">
        <is>
          <t>土・木・火</t>
        </is>
      </c>
      <c r="F256" s="48" t="inlineStr">
        <is>
          <t>和田・荻野・長谷川・長野</t>
        </is>
      </c>
      <c r="G256" s="48" t="inlineStr">
        <is>
          <t>一般廃・段ボール・産廃</t>
        </is>
      </c>
      <c r="H256" s="50" t="n">
        <v>60</v>
      </c>
    </row>
    <row r="257" ht="18" customHeight="1">
      <c r="A257" s="45" t="inlineStr">
        <is>
          <t>GN-051</t>
        </is>
      </c>
      <c r="B257" s="46" t="inlineStr">
        <is>
          <t>SOIL</t>
        </is>
      </c>
      <c r="C257" s="47" t="inlineStr">
        <is>
          <t>一般事業者</t>
        </is>
      </c>
      <c r="D257" s="48" t="inlineStr">
        <is>
          <t>東京都渋谷区渋谷３－６－１４渋谷金王第二ビル</t>
        </is>
      </c>
      <c r="E257" s="49" t="inlineStr">
        <is>
          <t>土・月・木・水・火・金</t>
        </is>
      </c>
      <c r="F257" s="48" t="inlineStr">
        <is>
          <t>中條・長谷川・長野</t>
        </is>
      </c>
      <c r="G257" s="48" t="inlineStr">
        <is>
          <t>一般廃・段ボール・産廃</t>
        </is>
      </c>
      <c r="H257" s="50" t="n">
        <v>75</v>
      </c>
    </row>
    <row r="258" ht="18" customHeight="1">
      <c r="A258" s="45" t="inlineStr">
        <is>
          <t>GN-052</t>
        </is>
      </c>
      <c r="B258" s="46" t="inlineStr">
        <is>
          <t>SORENARI</t>
        </is>
      </c>
      <c r="C258" s="47" t="inlineStr">
        <is>
          <t>一般事業者</t>
        </is>
      </c>
      <c r="D258" s="48" t="inlineStr">
        <is>
          <t>東京都目黒区中根１－５－２　都立大高架下</t>
        </is>
      </c>
      <c r="E258" s="49" t="inlineStr">
        <is>
          <t>土・日・月・木・水・火・金</t>
        </is>
      </c>
      <c r="F258" s="48" t="inlineStr">
        <is>
          <t>中條・千葉・長谷川</t>
        </is>
      </c>
      <c r="G258" s="48" t="inlineStr">
        <is>
          <t>一般廃・瓶缶・産廃</t>
        </is>
      </c>
      <c r="H258" s="50" t="n">
        <v>10</v>
      </c>
    </row>
    <row r="259" ht="18" customHeight="1">
      <c r="A259" s="45" t="inlineStr">
        <is>
          <t>GN-053</t>
        </is>
      </c>
      <c r="B259" s="46" t="inlineStr">
        <is>
          <t>Soup Stock Tokyo 中目黒店</t>
        </is>
      </c>
      <c r="C259" s="47" t="inlineStr">
        <is>
          <t>一般事業者</t>
        </is>
      </c>
      <c r="D259" s="48" t="inlineStr">
        <is>
          <t>東京都目黒区上目黒１－２２－１２B-5ｂ</t>
        </is>
      </c>
      <c r="E259" s="49" t="inlineStr">
        <is>
          <t>土・日・月・木・水・火・金</t>
        </is>
      </c>
      <c r="F259" s="48" t="inlineStr">
        <is>
          <t>中條・千葉・長谷川・長野</t>
        </is>
      </c>
      <c r="G259" s="48" t="inlineStr">
        <is>
          <t>一般廃・産廃</t>
        </is>
      </c>
      <c r="H259" s="50" t="n">
        <v>362</v>
      </c>
    </row>
    <row r="260" ht="18" customHeight="1">
      <c r="A260" s="45" t="inlineStr">
        <is>
          <t>GN-054</t>
        </is>
      </c>
      <c r="B260" s="46" t="inlineStr">
        <is>
          <t>TOSCANA</t>
        </is>
      </c>
      <c r="C260" s="47" t="inlineStr">
        <is>
          <t>一般事業者</t>
        </is>
      </c>
      <c r="D260" s="48" t="inlineStr">
        <is>
          <t>東京都目黒区鷹番３－３－２学大市場　１３BL</t>
        </is>
      </c>
      <c r="E260" s="49" t="inlineStr">
        <is>
          <t>・土・日・月・木・水・火・金</t>
        </is>
      </c>
      <c r="F260" s="48" t="inlineStr">
        <is>
          <t>中條・千葉・長谷川</t>
        </is>
      </c>
      <c r="G260" s="48" t="inlineStr">
        <is>
          <t>一般廃・産廃</t>
        </is>
      </c>
      <c r="H260" s="50" t="n">
        <v>119</v>
      </c>
    </row>
    <row r="261" ht="18" customHeight="1">
      <c r="A261" s="45" t="inlineStr">
        <is>
          <t>GN-055</t>
        </is>
      </c>
      <c r="B261" s="46" t="inlineStr">
        <is>
          <t>TUTU</t>
        </is>
      </c>
      <c r="C261" s="47" t="inlineStr">
        <is>
          <t>一般事業者</t>
        </is>
      </c>
      <c r="D261" s="48" t="inlineStr">
        <is>
          <t>東京都目黒区鷹番３－４－２５　学大小路１４－１３</t>
        </is>
      </c>
      <c r="E261" s="49" t="inlineStr">
        <is>
          <t>・土・日・月・木・水・火・金</t>
        </is>
      </c>
      <c r="F261" s="48" t="inlineStr">
        <is>
          <t>中條・千葉・長谷川</t>
        </is>
      </c>
      <c r="G261" s="48" t="inlineStr">
        <is>
          <t>一般廃・産廃</t>
        </is>
      </c>
      <c r="H261" s="50" t="n">
        <v>130</v>
      </c>
    </row>
    <row r="262" ht="18" customHeight="1">
      <c r="A262" s="45" t="inlineStr">
        <is>
          <t>GN-056</t>
        </is>
      </c>
      <c r="B262" s="46" t="inlineStr">
        <is>
          <t>TWG　Tea　自由が丘</t>
        </is>
      </c>
      <c r="C262" s="47" t="inlineStr">
        <is>
          <t>一般事業者</t>
        </is>
      </c>
      <c r="D262" s="48" t="inlineStr">
        <is>
          <t>東京都目黒区自由が丘１－３０－１</t>
        </is>
      </c>
      <c r="E262" s="49" t="inlineStr">
        <is>
          <t>・木・火</t>
        </is>
      </c>
      <c r="F262" s="48" t="inlineStr">
        <is>
          <t>千葉</t>
        </is>
      </c>
      <c r="G262" s="48" t="inlineStr">
        <is>
          <t>産廃</t>
        </is>
      </c>
      <c r="H262" s="50" t="n">
        <v>60</v>
      </c>
    </row>
    <row r="263" ht="18" customHeight="1">
      <c r="A263" s="45" t="inlineStr">
        <is>
          <t>GN-057</t>
        </is>
      </c>
      <c r="B263" s="46" t="inlineStr">
        <is>
          <t>TW　ヨルの部</t>
        </is>
      </c>
      <c r="C263" s="47" t="inlineStr">
        <is>
          <t>一般事業者</t>
        </is>
      </c>
      <c r="D263" s="48" t="inlineStr">
        <is>
          <t>東京都目黒区鷹番２－２１－１９　１０BL-B5</t>
        </is>
      </c>
      <c r="E263" s="49" t="inlineStr">
        <is>
          <t>土・月・木・水・火・金</t>
        </is>
      </c>
      <c r="F263" s="48" t="inlineStr">
        <is>
          <t>中條・千葉・長谷川</t>
        </is>
      </c>
      <c r="G263" s="48" t="inlineStr">
        <is>
          <t>一般廃・瓶缶・産廃</t>
        </is>
      </c>
      <c r="H263" s="50" t="n">
        <v>11</v>
      </c>
    </row>
    <row r="264" ht="18" customHeight="1">
      <c r="A264" s="45" t="inlineStr">
        <is>
          <t>GN-058</t>
        </is>
      </c>
      <c r="B264" s="46" t="inlineStr">
        <is>
          <t>ToCo１０５</t>
        </is>
      </c>
      <c r="C264" s="47" t="inlineStr">
        <is>
          <t>一般事業者</t>
        </is>
      </c>
      <c r="D264" s="48" t="inlineStr">
        <is>
          <t>東京都目黒区鷹番２－２１－１５　２１０D4</t>
        </is>
      </c>
      <c r="E264" s="49" t="inlineStr">
        <is>
          <t>土・月・木・水・火・金</t>
        </is>
      </c>
      <c r="F264" s="48" t="inlineStr">
        <is>
          <t>中條・千葉・長谷川</t>
        </is>
      </c>
      <c r="G264" s="48" t="inlineStr">
        <is>
          <t>一般廃・瓶缶・産廃</t>
        </is>
      </c>
      <c r="H264" s="50" t="n">
        <v>12</v>
      </c>
    </row>
    <row r="265" ht="18" customHeight="1">
      <c r="A265" s="45" t="inlineStr">
        <is>
          <t>GN-059</t>
        </is>
      </c>
      <c r="B265" s="46" t="inlineStr">
        <is>
          <t>WACCAWACCA</t>
        </is>
      </c>
      <c r="C265" s="47" t="inlineStr">
        <is>
          <t>一般事業者</t>
        </is>
      </c>
      <c r="D265" s="48" t="inlineStr">
        <is>
          <t>東京都目黒区碑文谷６－６－７　GAKUDAI COLLECTIV E-1</t>
        </is>
      </c>
      <c r="E265" s="49" t="inlineStr">
        <is>
          <t>土・月・木・水・火・金</t>
        </is>
      </c>
      <c r="F265" s="48" t="inlineStr">
        <is>
          <t>千葉・長谷川</t>
        </is>
      </c>
      <c r="G265" s="48" t="inlineStr">
        <is>
          <t>一般廃・産廃</t>
        </is>
      </c>
      <c r="H265" s="50" t="n">
        <v>8</v>
      </c>
    </row>
    <row r="266" ht="18" customHeight="1">
      <c r="A266" s="45" t="inlineStr">
        <is>
          <t>GN-060</t>
        </is>
      </c>
      <c r="B266" s="46" t="inlineStr">
        <is>
          <t>WASH &amp; FOLD</t>
        </is>
      </c>
      <c r="C266" s="47" t="inlineStr">
        <is>
          <t>一般事業者</t>
        </is>
      </c>
      <c r="D266" s="48" t="inlineStr">
        <is>
          <t>東京都目黒区上目黒２－４５－１４　I敷地</t>
        </is>
      </c>
      <c r="E266" s="49" t="inlineStr">
        <is>
          <t>・土・月・木・水・火・金</t>
        </is>
      </c>
      <c r="F266" s="48" t="inlineStr">
        <is>
          <t>千葉・長谷川</t>
        </is>
      </c>
      <c r="G266" s="48" t="inlineStr">
        <is>
          <t>一般廃・産廃</t>
        </is>
      </c>
      <c r="H266" s="50" t="n">
        <v>14</v>
      </c>
    </row>
    <row r="267" ht="18" customHeight="1">
      <c r="A267" s="45" t="inlineStr">
        <is>
          <t>GN-061</t>
        </is>
      </c>
      <c r="B267" s="46" t="inlineStr">
        <is>
          <t>YES!! カツサンド</t>
        </is>
      </c>
      <c r="C267" s="47" t="inlineStr">
        <is>
          <t>一般事業者</t>
        </is>
      </c>
      <c r="D267" s="48" t="inlineStr">
        <is>
          <t>東京都目黒区鷹番２－２１－１５　１０BL D3</t>
        </is>
      </c>
      <c r="E267" s="49" t="inlineStr">
        <is>
          <t>土・月・木・水・火・金</t>
        </is>
      </c>
      <c r="F267" s="48" t="inlineStr">
        <is>
          <t>中條・千葉・長谷川</t>
        </is>
      </c>
      <c r="G267" s="48" t="inlineStr">
        <is>
          <t>一般廃・不燃物・産廃</t>
        </is>
      </c>
      <c r="H267" s="50" t="n">
        <v>21</v>
      </c>
    </row>
    <row r="268" ht="18" customHeight="1">
      <c r="A268" s="45" t="inlineStr">
        <is>
          <t>GN-062</t>
        </is>
      </c>
      <c r="B268" s="46" t="inlineStr">
        <is>
          <t>amber</t>
        </is>
      </c>
      <c r="C268" s="47" t="inlineStr">
        <is>
          <t>一般事業者</t>
        </is>
      </c>
      <c r="D268" s="48" t="inlineStr">
        <is>
          <t>東京都世田谷区奥沢５－４２－３　トレインチ自由が丘２F</t>
        </is>
      </c>
      <c r="E268" s="49" t="inlineStr">
        <is>
          <t>・日・木・火</t>
        </is>
      </c>
      <c r="F268" s="48" t="inlineStr">
        <is>
          <t>中條・千葉</t>
        </is>
      </c>
      <c r="G268" s="48" t="inlineStr">
        <is>
          <t>一般廃・産廃</t>
        </is>
      </c>
      <c r="H268" s="50" t="n">
        <v>52</v>
      </c>
    </row>
    <row r="269" ht="18" customHeight="1">
      <c r="A269" s="45" t="inlineStr">
        <is>
          <t>GN-063</t>
        </is>
      </c>
      <c r="B269" s="46" t="inlineStr">
        <is>
          <t>counter books</t>
        </is>
      </c>
      <c r="C269" s="47" t="inlineStr">
        <is>
          <t>一般事業者</t>
        </is>
      </c>
      <c r="D269" s="48" t="inlineStr">
        <is>
          <t>東京都目黒区鷹番３－４－２５　学大小路１４－１２</t>
        </is>
      </c>
      <c r="E269" s="49" t="inlineStr">
        <is>
          <t>・土・日・月・木・水・火・金</t>
        </is>
      </c>
      <c r="F269" s="48" t="inlineStr">
        <is>
          <t>中條・千葉・長谷川</t>
        </is>
      </c>
      <c r="G269" s="48" t="inlineStr">
        <is>
          <t>一般廃・産廃</t>
        </is>
      </c>
      <c r="H269" s="50" t="n">
        <v>60</v>
      </c>
    </row>
    <row r="270" ht="18" customHeight="1">
      <c r="A270" s="45" t="inlineStr">
        <is>
          <t>GN-064</t>
        </is>
      </c>
      <c r="B270" s="46" t="inlineStr">
        <is>
          <t>hammam</t>
        </is>
      </c>
      <c r="C270" s="47" t="inlineStr">
        <is>
          <t>一般事業者</t>
        </is>
      </c>
      <c r="D270" s="48" t="inlineStr">
        <is>
          <t>東京都目黒区鷹番２－２１－１４　学大横丁２１３</t>
        </is>
      </c>
      <c r="E270" s="49" t="inlineStr">
        <is>
          <t>土・月・木・水・火・金</t>
        </is>
      </c>
      <c r="F270" s="48" t="inlineStr">
        <is>
          <t>中條・千葉・長谷川</t>
        </is>
      </c>
      <c r="G270" s="48" t="inlineStr">
        <is>
          <t>一般廃・瓶缶・産廃</t>
        </is>
      </c>
      <c r="H270" s="50" t="n">
        <v>2</v>
      </c>
    </row>
    <row r="271" ht="18" customHeight="1">
      <c r="A271" s="45" t="inlineStr">
        <is>
          <t>GN-065</t>
        </is>
      </c>
      <c r="B271" s="46" t="inlineStr">
        <is>
          <t>inioi Lab.</t>
        </is>
      </c>
      <c r="C271" s="47" t="inlineStr">
        <is>
          <t>一般事業者</t>
        </is>
      </c>
      <c r="D271" s="48" t="inlineStr">
        <is>
          <t>東京都目黒区上目黒１－２２－１２B-６</t>
        </is>
      </c>
      <c r="E271" s="49" t="inlineStr">
        <is>
          <t>・土・日・月・木・水・火・金</t>
        </is>
      </c>
      <c r="F271" s="48" t="inlineStr">
        <is>
          <t>中條・千葉・長谷川・長野</t>
        </is>
      </c>
      <c r="G271" s="48" t="inlineStr">
        <is>
          <t>一般廃・産廃</t>
        </is>
      </c>
      <c r="H271" s="50" t="n">
        <v>6</v>
      </c>
    </row>
    <row r="272" ht="18" customHeight="1">
      <c r="A272" s="45" t="inlineStr">
        <is>
          <t>GN-066</t>
        </is>
      </c>
      <c r="B272" s="46" t="inlineStr">
        <is>
          <t>roobby-fit 下高井戸店</t>
        </is>
      </c>
      <c r="C272" s="47" t="inlineStr">
        <is>
          <t>一般事業者</t>
        </is>
      </c>
      <c r="D272" s="48" t="inlineStr">
        <is>
          <t>東京都世田谷区松原３－２９－１７</t>
        </is>
      </c>
      <c r="E272" s="49" t="inlineStr">
        <is>
          <t>土・木・火</t>
        </is>
      </c>
      <c r="F272" s="48" t="inlineStr">
        <is>
          <t>和田・荻野・長谷川・長野</t>
        </is>
      </c>
      <c r="G272" s="48" t="inlineStr">
        <is>
          <t>一般廃・段ボール・産廃</t>
        </is>
      </c>
      <c r="H272" s="50" t="n">
        <v>35</v>
      </c>
    </row>
    <row r="273" ht="18" customHeight="1">
      <c r="A273" s="45" t="inlineStr">
        <is>
          <t>GN-067</t>
        </is>
      </c>
      <c r="B273" s="46" t="inlineStr">
        <is>
          <t>roobby　雪が谷大塚駅</t>
        </is>
      </c>
      <c r="C273" s="47" t="inlineStr">
        <is>
          <t>一般事業者</t>
        </is>
      </c>
      <c r="D273" s="48" t="inlineStr">
        <is>
          <t>東京都大田区南雪谷２－２－１６</t>
        </is>
      </c>
      <c r="E273" s="49" t="inlineStr">
        <is>
          <t>・火</t>
        </is>
      </c>
      <c r="F273" s="48" t="inlineStr">
        <is>
          <t>千葉</t>
        </is>
      </c>
      <c r="G273" s="48" t="inlineStr">
        <is>
          <t>産廃</t>
        </is>
      </c>
      <c r="H273" s="50" t="n">
        <v>16</v>
      </c>
    </row>
    <row r="274" ht="18" customHeight="1">
      <c r="A274" s="45" t="inlineStr">
        <is>
          <t>GN-068</t>
        </is>
      </c>
      <c r="B274" s="46" t="inlineStr">
        <is>
          <t>sazan reef</t>
        </is>
      </c>
      <c r="C274" s="47" t="inlineStr">
        <is>
          <t>一般事業者</t>
        </is>
      </c>
      <c r="D274" s="48" t="inlineStr">
        <is>
          <t>東京都目黒区鷹番２－２１－１５　２１２１０BL</t>
        </is>
      </c>
      <c r="E274" s="49" t="inlineStr">
        <is>
          <t>土・月・木・水・火・金</t>
        </is>
      </c>
      <c r="F274" s="48" t="inlineStr">
        <is>
          <t>中條・千葉・長谷川</t>
        </is>
      </c>
      <c r="G274" s="48" t="inlineStr">
        <is>
          <t>一般廃・瓶缶・産廃</t>
        </is>
      </c>
      <c r="H274" s="50" t="n">
        <v>7</v>
      </c>
    </row>
    <row r="275" ht="18" customHeight="1">
      <c r="A275" s="45" t="inlineStr">
        <is>
          <t>GN-069</t>
        </is>
      </c>
      <c r="B275" s="46" t="inlineStr">
        <is>
          <t>simplace Gakugei-daigaku by New</t>
        </is>
      </c>
      <c r="C275" s="47" t="inlineStr">
        <is>
          <t>一般事業者</t>
        </is>
      </c>
      <c r="D275" s="48" t="inlineStr">
        <is>
          <t>東京都目黒区中央町２－３４－１８　９BL</t>
        </is>
      </c>
      <c r="E275" s="49" t="inlineStr">
        <is>
          <t>土・月・木・水・火・金</t>
        </is>
      </c>
      <c r="F275" s="48" t="inlineStr">
        <is>
          <t>長谷川</t>
        </is>
      </c>
      <c r="G275" s="48" t="inlineStr">
        <is>
          <t>一般廃</t>
        </is>
      </c>
      <c r="H275" s="50" t="n">
        <v>6</v>
      </c>
    </row>
    <row r="276" ht="18" customHeight="1">
      <c r="A276" s="45" t="inlineStr">
        <is>
          <t>GN-070</t>
        </is>
      </c>
      <c r="B276" s="46" t="inlineStr">
        <is>
          <t>simplace Gakugei-daigaku byNew</t>
        </is>
      </c>
      <c r="C276" s="47" t="inlineStr">
        <is>
          <t>一般事業者</t>
        </is>
      </c>
      <c r="D276" s="48" t="inlineStr">
        <is>
          <t>東京都目黒区中央町２－３４－１８</t>
        </is>
      </c>
      <c r="E276" s="49" t="inlineStr">
        <is>
          <t>月・水・火・金</t>
        </is>
      </c>
      <c r="F276" s="48" t="inlineStr">
        <is>
          <t>中條・千葉</t>
        </is>
      </c>
      <c r="G276" s="48" t="inlineStr">
        <is>
          <t>瓶缶・産廃</t>
        </is>
      </c>
      <c r="H276" s="50" t="n">
        <v>20</v>
      </c>
    </row>
    <row r="277" ht="18" customHeight="1">
      <c r="A277" s="45" t="inlineStr">
        <is>
          <t>GN-071</t>
        </is>
      </c>
      <c r="B277" s="46" t="inlineStr">
        <is>
          <t>tucan</t>
        </is>
      </c>
      <c r="C277" s="47" t="inlineStr">
        <is>
          <t>一般事業者</t>
        </is>
      </c>
      <c r="D277" s="48" t="inlineStr">
        <is>
          <t>東京都目黒区中根１－５－２　都立大高架下B７区画</t>
        </is>
      </c>
      <c r="E277" s="49" t="inlineStr">
        <is>
          <t>土・日・月・木・水・火・金</t>
        </is>
      </c>
      <c r="F277" s="48" t="inlineStr">
        <is>
          <t>中條・千葉・長谷川</t>
        </is>
      </c>
      <c r="G277" s="48" t="inlineStr">
        <is>
          <t>一般廃・瓶缶・産廃</t>
        </is>
      </c>
      <c r="H277" s="50" t="n">
        <v>19</v>
      </c>
    </row>
    <row r="278" ht="18" customHeight="1">
      <c r="A278" s="45" t="inlineStr">
        <is>
          <t>GN-072</t>
        </is>
      </c>
      <c r="B278" s="46" t="inlineStr">
        <is>
          <t>あおい皮膚科　駅ナカ上野毛</t>
        </is>
      </c>
      <c r="C278" s="47" t="inlineStr">
        <is>
          <t>一般事業者</t>
        </is>
      </c>
      <c r="D278" s="48" t="inlineStr">
        <is>
          <t>東京都世田谷区上野毛１－２６－６</t>
        </is>
      </c>
      <c r="E278" s="49" t="inlineStr">
        <is>
          <t>木</t>
        </is>
      </c>
      <c r="F278" s="48" t="inlineStr">
        <is>
          <t>中條・長野</t>
        </is>
      </c>
      <c r="G278" s="48" t="inlineStr">
        <is>
          <t>産廃・資源</t>
        </is>
      </c>
      <c r="H278" s="50" t="n">
        <v>3</v>
      </c>
    </row>
    <row r="279" ht="18" customHeight="1">
      <c r="A279" s="45" t="inlineStr">
        <is>
          <t>GN-073</t>
        </is>
      </c>
      <c r="B279" s="46" t="inlineStr">
        <is>
          <t>あそなる</t>
        </is>
      </c>
      <c r="C279" s="47" t="inlineStr">
        <is>
          <t>一般事業者</t>
        </is>
      </c>
      <c r="D279" s="48" t="inlineStr">
        <is>
          <t>東京都目黒区鷹番２－２１－１５　１１０D1</t>
        </is>
      </c>
      <c r="E279" s="49" t="inlineStr">
        <is>
          <t>土・月・木・水・火・金</t>
        </is>
      </c>
      <c r="F279" s="48" t="inlineStr">
        <is>
          <t>中條・千葉・長谷川</t>
        </is>
      </c>
      <c r="G279" s="48" t="inlineStr">
        <is>
          <t>一般廃・瓶缶・産廃</t>
        </is>
      </c>
      <c r="H279" s="50" t="n">
        <v>66</v>
      </c>
    </row>
    <row r="280" ht="18" customHeight="1">
      <c r="A280" s="45" t="inlineStr">
        <is>
          <t>GN-074</t>
        </is>
      </c>
      <c r="B280" s="46" t="inlineStr">
        <is>
          <t>あつあつ　リ・カーリカ</t>
        </is>
      </c>
      <c r="C280" s="47" t="inlineStr">
        <is>
          <t>一般事業者</t>
        </is>
      </c>
      <c r="D280" s="48" t="inlineStr">
        <is>
          <t>東京都目黒区鷹番２－２０－４</t>
        </is>
      </c>
      <c r="E280" s="49" t="inlineStr">
        <is>
          <t>土・日・月・木・水・火・金</t>
        </is>
      </c>
      <c r="F280" s="48" t="inlineStr">
        <is>
          <t>中條・千葉・長谷川</t>
        </is>
      </c>
      <c r="G280" s="48" t="inlineStr">
        <is>
          <t>一般廃・産廃</t>
        </is>
      </c>
      <c r="H280" s="50" t="n">
        <v>63</v>
      </c>
    </row>
    <row r="281" ht="18" customHeight="1">
      <c r="A281" s="45" t="inlineStr">
        <is>
          <t>GN-075</t>
        </is>
      </c>
      <c r="B281" s="46" t="inlineStr">
        <is>
          <t>あの小宮</t>
        </is>
      </c>
      <c r="C281" s="47" t="inlineStr">
        <is>
          <t>一般事業者</t>
        </is>
      </c>
      <c r="D281" s="48" t="inlineStr">
        <is>
          <t>東京都目黒区中根１－５－２　都立大高架下B館</t>
        </is>
      </c>
      <c r="E281" s="49" t="inlineStr">
        <is>
          <t>土・日・月・木・水・火・金</t>
        </is>
      </c>
      <c r="F281" s="48" t="inlineStr">
        <is>
          <t>中條・千葉・長谷川</t>
        </is>
      </c>
      <c r="G281" s="48" t="inlineStr">
        <is>
          <t>一般廃・瓶缶・産廃</t>
        </is>
      </c>
      <c r="H281" s="50" t="n">
        <v>519</v>
      </c>
    </row>
    <row r="282" ht="18" customHeight="1">
      <c r="A282" s="45" t="inlineStr">
        <is>
          <t>GN-076</t>
        </is>
      </c>
      <c r="B282" s="46" t="inlineStr">
        <is>
          <t>あぶり清水</t>
        </is>
      </c>
      <c r="C282" s="47" t="inlineStr">
        <is>
          <t>一般事業者</t>
        </is>
      </c>
      <c r="D282" s="48" t="inlineStr">
        <is>
          <t>東京都目黒区上目黒３－５－２　０H－４</t>
        </is>
      </c>
      <c r="E282" s="49" t="inlineStr">
        <is>
          <t>・土・月・木・水・火・金</t>
        </is>
      </c>
      <c r="F282" s="48" t="inlineStr">
        <is>
          <t>千葉・長谷川</t>
        </is>
      </c>
      <c r="G282" s="48" t="inlineStr">
        <is>
          <t>一般廃・産廃</t>
        </is>
      </c>
      <c r="H282" s="50" t="n">
        <v>36</v>
      </c>
    </row>
    <row r="283" ht="18" customHeight="1">
      <c r="A283" s="45" t="inlineStr">
        <is>
          <t>GN-077</t>
        </is>
      </c>
      <c r="B283" s="46" t="inlineStr">
        <is>
          <t>あらちゃん</t>
        </is>
      </c>
      <c r="C283" s="47" t="inlineStr">
        <is>
          <t>一般事業者</t>
        </is>
      </c>
      <c r="D283" s="48" t="inlineStr">
        <is>
          <t>東京都目黒区上目黒３－５－２　０H－３</t>
        </is>
      </c>
      <c r="E283" s="49" t="inlineStr">
        <is>
          <t>・土・月・木・水・火・金</t>
        </is>
      </c>
      <c r="F283" s="48" t="inlineStr">
        <is>
          <t>千葉・長谷川</t>
        </is>
      </c>
      <c r="G283" s="48" t="inlineStr">
        <is>
          <t>一般廃・産廃</t>
        </is>
      </c>
      <c r="H283" s="50" t="n">
        <v>50</v>
      </c>
    </row>
    <row r="284" ht="18" customHeight="1">
      <c r="A284" s="45" t="inlineStr">
        <is>
          <t>GN-078</t>
        </is>
      </c>
      <c r="B284" s="46" t="inlineStr">
        <is>
          <t>あーる工房</t>
        </is>
      </c>
      <c r="C284" s="47" t="inlineStr">
        <is>
          <t>一般事業者</t>
        </is>
      </c>
      <c r="D284" s="48" t="inlineStr">
        <is>
          <t>東京都目黒区中根１－５－２　都立大高架下A館</t>
        </is>
      </c>
      <c r="E284" s="49" t="inlineStr">
        <is>
          <t>土・日・月・木・水・火・金</t>
        </is>
      </c>
      <c r="F284" s="48" t="inlineStr">
        <is>
          <t>中條・千葉・長谷川</t>
        </is>
      </c>
      <c r="G284" s="48" t="inlineStr">
        <is>
          <t>一般廃・瓶缶・産廃</t>
        </is>
      </c>
      <c r="H284" s="50" t="n">
        <v>31</v>
      </c>
    </row>
    <row r="285" ht="18" customHeight="1">
      <c r="A285" s="45" t="inlineStr">
        <is>
          <t>GN-079</t>
        </is>
      </c>
      <c r="B285" s="46" t="inlineStr">
        <is>
          <t>いろは寿司　中目黒支店</t>
        </is>
      </c>
      <c r="C285" s="47" t="inlineStr">
        <is>
          <t>一般事業者</t>
        </is>
      </c>
      <c r="D285" s="48" t="inlineStr">
        <is>
          <t>東京都目黒区上目黒１－５－１３</t>
        </is>
      </c>
      <c r="E285" s="49" t="inlineStr">
        <is>
          <t>土・日・月・木・水・火・金</t>
        </is>
      </c>
      <c r="F285" s="48" t="inlineStr">
        <is>
          <t>中條・長谷川・長野</t>
        </is>
      </c>
      <c r="G285" s="48" t="inlineStr">
        <is>
          <t>一般廃・産廃</t>
        </is>
      </c>
      <c r="H285" s="50" t="n">
        <v>435</v>
      </c>
    </row>
    <row r="286" ht="18" customHeight="1">
      <c r="A286" s="45" t="inlineStr">
        <is>
          <t>GN-080</t>
        </is>
      </c>
      <c r="B286" s="46" t="inlineStr">
        <is>
          <t>いろは寿司　中目黒本店</t>
        </is>
      </c>
      <c r="C286" s="47" t="inlineStr">
        <is>
          <t>一般事業者</t>
        </is>
      </c>
      <c r="D286" s="48" t="inlineStr">
        <is>
          <t>東京都目黒区青葉台１－３０－１０韓国会館２F</t>
        </is>
      </c>
      <c r="E286" s="49" t="inlineStr">
        <is>
          <t>土・月・木・水・火・金</t>
        </is>
      </c>
      <c r="F286" s="48" t="inlineStr">
        <is>
          <t>長谷川</t>
        </is>
      </c>
      <c r="G286" s="48" t="inlineStr">
        <is>
          <t>一般廃</t>
        </is>
      </c>
      <c r="H286" s="50" t="n">
        <v>520</v>
      </c>
    </row>
    <row r="287" ht="18" customHeight="1">
      <c r="A287" s="45" t="inlineStr">
        <is>
          <t>GN-081</t>
        </is>
      </c>
      <c r="B287" s="46" t="inlineStr">
        <is>
          <t>いろは寿司中目黒本店</t>
        </is>
      </c>
      <c r="C287" s="47" t="inlineStr">
        <is>
          <t>一般事業者</t>
        </is>
      </c>
      <c r="D287" s="48" t="inlineStr">
        <is>
          <t>東京都目黒区青葉台１－３０－１０韓国会館２F</t>
        </is>
      </c>
      <c r="E287" s="49" t="inlineStr">
        <is>
          <t>日・月・水・金</t>
        </is>
      </c>
      <c r="F287" s="48" t="inlineStr">
        <is>
          <t>中條・長野</t>
        </is>
      </c>
      <c r="G287" s="48" t="inlineStr">
        <is>
          <t>一般廃・産廃</t>
        </is>
      </c>
      <c r="H287" s="50" t="n">
        <v>320</v>
      </c>
    </row>
    <row r="288" ht="18" customHeight="1">
      <c r="A288" s="45" t="inlineStr">
        <is>
          <t>GN-082</t>
        </is>
      </c>
      <c r="B288" s="46" t="inlineStr">
        <is>
          <t>えん　大井町店</t>
        </is>
      </c>
      <c r="C288" s="47" t="inlineStr">
        <is>
          <t>一般事業者</t>
        </is>
      </c>
      <c r="D288" s="48" t="inlineStr">
        <is>
          <t>東京都品川区大井１－１－１</t>
        </is>
      </c>
      <c r="E288" s="49" t="inlineStr">
        <is>
          <t>月・木・水・金</t>
        </is>
      </c>
      <c r="F288" s="48" t="inlineStr">
        <is>
          <t>中條・千葉</t>
        </is>
      </c>
      <c r="G288" s="48" t="inlineStr">
        <is>
          <t>段ボール・産廃</t>
        </is>
      </c>
      <c r="H288" s="50" t="n">
        <v>165</v>
      </c>
    </row>
    <row r="289" ht="18" customHeight="1">
      <c r="A289" s="45" t="inlineStr">
        <is>
          <t>GN-083</t>
        </is>
      </c>
      <c r="B289" s="46" t="inlineStr">
        <is>
          <t>おばんざい　てんよう</t>
        </is>
      </c>
      <c r="C289" s="47" t="inlineStr">
        <is>
          <t>一般事業者</t>
        </is>
      </c>
      <c r="D289" s="48" t="inlineStr">
        <is>
          <t>東京都目黒区上目黒３－５－２　３</t>
        </is>
      </c>
      <c r="E289" s="49" t="inlineStr">
        <is>
          <t>・土・日・月・木・水・火・金</t>
        </is>
      </c>
      <c r="F289" s="48" t="inlineStr">
        <is>
          <t>中條・千葉・長谷川</t>
        </is>
      </c>
      <c r="G289" s="48" t="inlineStr">
        <is>
          <t>一般廃・瓶缶・産廃</t>
        </is>
      </c>
      <c r="H289" s="50" t="n">
        <v>12</v>
      </c>
    </row>
    <row r="290" ht="18" customHeight="1">
      <c r="A290" s="45" t="inlineStr">
        <is>
          <t>GN-084</t>
        </is>
      </c>
      <c r="B290" s="46" t="inlineStr">
        <is>
          <t>お酒の美術館</t>
        </is>
      </c>
      <c r="C290" s="47" t="inlineStr">
        <is>
          <t>一般事業者</t>
        </is>
      </c>
      <c r="D290" s="48" t="inlineStr">
        <is>
          <t>東京都目黒区鷹番３－４－２５　GAKUDAI PARK STREET 14-１１</t>
        </is>
      </c>
      <c r="E290" s="49" t="inlineStr">
        <is>
          <t>・土・月・木・水・火・金</t>
        </is>
      </c>
      <c r="F290" s="48" t="inlineStr">
        <is>
          <t>千葉・長谷川</t>
        </is>
      </c>
      <c r="G290" s="48" t="inlineStr">
        <is>
          <t>一般廃・産廃</t>
        </is>
      </c>
      <c r="H290" s="50" t="n">
        <v>5</v>
      </c>
    </row>
    <row r="291" ht="18" customHeight="1">
      <c r="A291" s="45" t="inlineStr">
        <is>
          <t>GN-085</t>
        </is>
      </c>
      <c r="B291" s="46" t="inlineStr">
        <is>
          <t>こもれび保育園　上野毛園</t>
        </is>
      </c>
      <c r="C291" s="47" t="inlineStr">
        <is>
          <t>一般事業者</t>
        </is>
      </c>
      <c r="D291" s="48" t="inlineStr">
        <is>
          <t>東京都世田谷区上野毛１－２６－６</t>
        </is>
      </c>
      <c r="E291" s="49" t="inlineStr">
        <is>
          <t>木</t>
        </is>
      </c>
      <c r="F291" s="48" t="inlineStr">
        <is>
          <t>中條・長野</t>
        </is>
      </c>
      <c r="G291" s="48" t="inlineStr">
        <is>
          <t>産廃・資源</t>
        </is>
      </c>
      <c r="H291" s="50" t="n">
        <v>70</v>
      </c>
    </row>
    <row r="292" ht="18" customHeight="1">
      <c r="A292" s="45" t="inlineStr">
        <is>
          <t>GN-086</t>
        </is>
      </c>
      <c r="B292" s="46" t="inlineStr">
        <is>
          <t>さくらい</t>
        </is>
      </c>
      <c r="C292" s="47" t="inlineStr">
        <is>
          <t>一般事業者</t>
        </is>
      </c>
      <c r="D292" s="48" t="inlineStr">
        <is>
          <t>東京都目黒区鷹番２－２１－１７－２０５</t>
        </is>
      </c>
      <c r="E292" s="49" t="inlineStr">
        <is>
          <t>土・月・木・水・火・金</t>
        </is>
      </c>
      <c r="F292" s="48" t="inlineStr">
        <is>
          <t>中條・千葉・長谷川</t>
        </is>
      </c>
      <c r="G292" s="48" t="inlineStr">
        <is>
          <t>一般廃・瓶缶・産廃</t>
        </is>
      </c>
      <c r="H292" s="50" t="n">
        <v>84</v>
      </c>
    </row>
    <row r="293" ht="18" customHeight="1">
      <c r="A293" s="45" t="inlineStr">
        <is>
          <t>GN-087</t>
        </is>
      </c>
      <c r="B293" s="46" t="inlineStr">
        <is>
          <t>さみしがりや酒房　ささ</t>
        </is>
      </c>
      <c r="C293" s="47" t="inlineStr">
        <is>
          <t>一般事業者</t>
        </is>
      </c>
      <c r="D293" s="48" t="inlineStr">
        <is>
          <t>東京都品川区西五反田１－１２－１</t>
        </is>
      </c>
      <c r="E293" s="49" t="inlineStr">
        <is>
          <t>月・水・火・金</t>
        </is>
      </c>
      <c r="F293" s="48" t="inlineStr">
        <is>
          <t>中條・千葉</t>
        </is>
      </c>
      <c r="G293" s="48" t="inlineStr">
        <is>
          <t>瓶缶・産廃</t>
        </is>
      </c>
      <c r="H293" s="50" t="n">
        <v>24</v>
      </c>
    </row>
    <row r="294" ht="18" customHeight="1">
      <c r="A294" s="45" t="inlineStr">
        <is>
          <t>GN-088</t>
        </is>
      </c>
      <c r="B294" s="46" t="inlineStr">
        <is>
          <t>しぶそば　二子玉川駅店</t>
        </is>
      </c>
      <c r="C294" s="47" t="inlineStr">
        <is>
          <t>一般事業者</t>
        </is>
      </c>
      <c r="D294" s="48" t="inlineStr">
        <is>
          <t>東京都世田谷区玉川２－２２－１３</t>
        </is>
      </c>
      <c r="E294" s="49" t="inlineStr">
        <is>
          <t>・日・木・火</t>
        </is>
      </c>
      <c r="F294" s="48" t="inlineStr">
        <is>
          <t>中條・千葉・長野</t>
        </is>
      </c>
      <c r="G294" s="48" t="inlineStr">
        <is>
          <t>一般廃・産廃</t>
        </is>
      </c>
      <c r="H294" s="50" t="n">
        <v>134</v>
      </c>
    </row>
    <row r="295" ht="18" customHeight="1">
      <c r="A295" s="45" t="inlineStr">
        <is>
          <t>GN-089</t>
        </is>
      </c>
      <c r="B295" s="46" t="inlineStr">
        <is>
          <t>しぶそば　多摩川店</t>
        </is>
      </c>
      <c r="C295" s="47" t="inlineStr">
        <is>
          <t>一般事業者</t>
        </is>
      </c>
      <c r="D295" s="48" t="inlineStr">
        <is>
          <t>東京都大田区田園調布１－５３－８</t>
        </is>
      </c>
      <c r="E295" s="49" t="inlineStr">
        <is>
          <t>・土・月・木・火</t>
        </is>
      </c>
      <c r="F295" s="48" t="inlineStr">
        <is>
          <t>中條・千葉・和田・荻野・長野</t>
        </is>
      </c>
      <c r="G295" s="48" t="inlineStr">
        <is>
          <t>段ボール・産廃</t>
        </is>
      </c>
      <c r="H295" s="50" t="n">
        <v>215</v>
      </c>
    </row>
    <row r="296" ht="18" customHeight="1">
      <c r="A296" s="45" t="inlineStr">
        <is>
          <t>GN-090</t>
        </is>
      </c>
      <c r="B296" s="46" t="inlineStr">
        <is>
          <t>しぶそば　大井町店</t>
        </is>
      </c>
      <c r="C296" s="47" t="inlineStr">
        <is>
          <t>一般事業者</t>
        </is>
      </c>
      <c r="D296" s="48" t="inlineStr">
        <is>
          <t>東京都品川区大井１－１－７</t>
        </is>
      </c>
      <c r="E296" s="49" t="inlineStr">
        <is>
          <t>日・月・水・金</t>
        </is>
      </c>
      <c r="F296" s="48" t="inlineStr">
        <is>
          <t>中條・千葉</t>
        </is>
      </c>
      <c r="G296" s="48" t="inlineStr">
        <is>
          <t>一般廃・産廃</t>
        </is>
      </c>
      <c r="H296" s="50" t="n">
        <v>30</v>
      </c>
    </row>
    <row r="297" ht="18" customHeight="1">
      <c r="A297" s="45" t="inlineStr">
        <is>
          <t>GN-091</t>
        </is>
      </c>
      <c r="B297" s="46" t="inlineStr">
        <is>
          <t>しぶそば大井町店</t>
        </is>
      </c>
      <c r="C297" s="47" t="inlineStr">
        <is>
          <t>一般事業者</t>
        </is>
      </c>
      <c r="D297" s="48" t="inlineStr">
        <is>
          <t>東京品川区大井１－１－７</t>
        </is>
      </c>
      <c r="E297" s="49" t="inlineStr">
        <is>
          <t>金</t>
        </is>
      </c>
      <c r="F297" s="48" t="inlineStr">
        <is>
          <t>中條</t>
        </is>
      </c>
      <c r="G297" s="48" t="inlineStr">
        <is>
          <t>瓶缶</t>
        </is>
      </c>
      <c r="H297" s="50" t="n">
        <v>10</v>
      </c>
    </row>
    <row r="298" ht="18" customHeight="1">
      <c r="A298" s="45" t="inlineStr">
        <is>
          <t>GN-092</t>
        </is>
      </c>
      <c r="B298" s="46" t="inlineStr">
        <is>
          <t>そばもん　学大店</t>
        </is>
      </c>
      <c r="C298" s="47" t="inlineStr">
        <is>
          <t>一般事業者</t>
        </is>
      </c>
      <c r="D298" s="48" t="inlineStr">
        <is>
          <t>東京都目黒区鷹番３－３－１学大市場　A1</t>
        </is>
      </c>
      <c r="E298" s="49" t="inlineStr">
        <is>
          <t>・土・日・月・木・水・火・金</t>
        </is>
      </c>
      <c r="F298" s="48" t="inlineStr">
        <is>
          <t>中條・千葉・長谷川</t>
        </is>
      </c>
      <c r="G298" s="48" t="inlineStr">
        <is>
          <t>一般廃・産廃</t>
        </is>
      </c>
      <c r="H298" s="50" t="n">
        <v>60</v>
      </c>
    </row>
    <row r="299" ht="18" customHeight="1">
      <c r="A299" s="45" t="inlineStr">
        <is>
          <t>GN-093</t>
        </is>
      </c>
      <c r="B299" s="46" t="inlineStr">
        <is>
          <t>はせ川</t>
        </is>
      </c>
      <c r="C299" s="47" t="inlineStr">
        <is>
          <t>一般事業者</t>
        </is>
      </c>
      <c r="D299" s="48" t="inlineStr">
        <is>
          <t>東京都目黒区鷹番２－２１－１６</t>
        </is>
      </c>
      <c r="E299" s="49" t="inlineStr">
        <is>
          <t>土・月・木・水・火・金</t>
        </is>
      </c>
      <c r="F299" s="48" t="inlineStr">
        <is>
          <t>中條・千葉・長谷川</t>
        </is>
      </c>
      <c r="G299" s="48" t="inlineStr">
        <is>
          <t>一般廃・瓶缶・産廃</t>
        </is>
      </c>
      <c r="H299" s="50" t="n">
        <v>60</v>
      </c>
    </row>
    <row r="300" ht="18" customHeight="1">
      <c r="A300" s="45" t="inlineStr">
        <is>
          <t>GN-094</t>
        </is>
      </c>
      <c r="B300" s="46" t="inlineStr">
        <is>
          <t>まきた</t>
        </is>
      </c>
      <c r="C300" s="47" t="inlineStr">
        <is>
          <t>一般事業者</t>
        </is>
      </c>
      <c r="D300" s="48" t="inlineStr">
        <is>
          <t>東京都目黒区鷹番２－２１－１６　１０８C1</t>
        </is>
      </c>
      <c r="E300" s="49" t="inlineStr">
        <is>
          <t>土・月・木・水・火・金</t>
        </is>
      </c>
      <c r="F300" s="48" t="inlineStr">
        <is>
          <t>中條・千葉・長谷川</t>
        </is>
      </c>
      <c r="G300" s="48" t="inlineStr">
        <is>
          <t>一般廃・瓶缶・産廃</t>
        </is>
      </c>
      <c r="H300" s="50" t="n">
        <v>7</v>
      </c>
    </row>
    <row r="301" ht="18" customHeight="1">
      <c r="A301" s="45" t="inlineStr">
        <is>
          <t>GN-095</t>
        </is>
      </c>
      <c r="B301" s="46" t="inlineStr">
        <is>
          <t>まんてん</t>
        </is>
      </c>
      <c r="C301" s="47" t="inlineStr">
        <is>
          <t>一般事業者</t>
        </is>
      </c>
      <c r="D301" s="48" t="inlineStr">
        <is>
          <t>東京都目黒区上目黒３－５－２　９F-４</t>
        </is>
      </c>
      <c r="E301" s="49" t="inlineStr">
        <is>
          <t>・土・日・月・木・水・火・金</t>
        </is>
      </c>
      <c r="F301" s="48" t="inlineStr">
        <is>
          <t>中條・千葉・長谷川</t>
        </is>
      </c>
      <c r="G301" s="48" t="inlineStr">
        <is>
          <t>一般廃・瓶缶・産廃</t>
        </is>
      </c>
      <c r="H301" s="50" t="n">
        <v>37</v>
      </c>
    </row>
    <row r="302" ht="18" customHeight="1">
      <c r="A302" s="45" t="inlineStr">
        <is>
          <t>GN-096</t>
        </is>
      </c>
      <c r="B302" s="46" t="inlineStr">
        <is>
          <t>やきとり武甲</t>
        </is>
      </c>
      <c r="C302" s="47" t="inlineStr">
        <is>
          <t>一般事業者</t>
        </is>
      </c>
      <c r="D302" s="48" t="inlineStr">
        <is>
          <t>東京都目黒区鷹番２－２１－１７－１０７B3</t>
        </is>
      </c>
      <c r="E302" s="49" t="inlineStr">
        <is>
          <t>土・月・木・水・火・金</t>
        </is>
      </c>
      <c r="F302" s="48" t="inlineStr">
        <is>
          <t>中條・千葉・長谷川</t>
        </is>
      </c>
      <c r="G302" s="48" t="inlineStr">
        <is>
          <t>一般廃・瓶缶・産廃</t>
        </is>
      </c>
      <c r="H302" s="50" t="n">
        <v>5</v>
      </c>
    </row>
    <row r="303" ht="18" customHeight="1">
      <c r="A303" s="45" t="inlineStr">
        <is>
          <t>GN-097</t>
        </is>
      </c>
      <c r="B303" s="46" t="inlineStr">
        <is>
          <t>らあ面　はやし田　中目黒店</t>
        </is>
      </c>
      <c r="C303" s="47" t="inlineStr">
        <is>
          <t>一般事業者</t>
        </is>
      </c>
      <c r="D303" s="48" t="inlineStr">
        <is>
          <t>東京都目黒区上目黒３－４－１　５D－６</t>
        </is>
      </c>
      <c r="E303" s="49" t="inlineStr">
        <is>
          <t>土・日・月・木・水・火・金</t>
        </is>
      </c>
      <c r="F303" s="48" t="inlineStr">
        <is>
          <t>中條・千葉・長谷川</t>
        </is>
      </c>
      <c r="G303" s="48" t="inlineStr">
        <is>
          <t>一般廃・瓶缶・産廃</t>
        </is>
      </c>
      <c r="H303" s="50" t="n">
        <v>347</v>
      </c>
    </row>
    <row r="304" ht="18" customHeight="1">
      <c r="A304" s="45" t="inlineStr">
        <is>
          <t>GN-098</t>
        </is>
      </c>
      <c r="B304" s="46" t="inlineStr">
        <is>
          <t>アールキューブ</t>
        </is>
      </c>
      <c r="C304" s="47" t="inlineStr">
        <is>
          <t>一般事業者</t>
        </is>
      </c>
      <c r="D304" s="48" t="inlineStr">
        <is>
          <t>東京都大田区大森東４－２－８</t>
        </is>
      </c>
      <c r="E304" s="49" t="inlineStr">
        <is>
          <t>月・水・金</t>
        </is>
      </c>
      <c r="F304" s="48" t="inlineStr">
        <is>
          <t>白</t>
        </is>
      </c>
      <c r="G304" s="48" t="inlineStr">
        <is>
          <t>一般廃</t>
        </is>
      </c>
      <c r="H304" s="50" t="n">
        <v>80</v>
      </c>
    </row>
    <row r="305" ht="18" customHeight="1">
      <c r="A305" s="45" t="inlineStr">
        <is>
          <t>GN-099</t>
        </is>
      </c>
      <c r="B305" s="46" t="inlineStr">
        <is>
          <t>イケマル酒場</t>
        </is>
      </c>
      <c r="C305" s="47" t="inlineStr">
        <is>
          <t>一般事業者</t>
        </is>
      </c>
      <c r="D305" s="48" t="inlineStr">
        <is>
          <t>東京都品川区西五反田１－１２－１</t>
        </is>
      </c>
      <c r="E305" s="49" t="inlineStr">
        <is>
          <t>月・水・火・金</t>
        </is>
      </c>
      <c r="F305" s="48" t="inlineStr">
        <is>
          <t>中條・千葉</t>
        </is>
      </c>
      <c r="G305" s="48" t="inlineStr">
        <is>
          <t>瓶缶・産廃</t>
        </is>
      </c>
      <c r="H305" s="50" t="n">
        <v>5</v>
      </c>
    </row>
    <row r="306" ht="18" customHeight="1">
      <c r="A306" s="45" t="inlineStr">
        <is>
          <t>GN-100</t>
        </is>
      </c>
      <c r="B306" s="46" t="inlineStr">
        <is>
          <t>エトモ　荏原町店</t>
        </is>
      </c>
      <c r="C306" s="47" t="inlineStr">
        <is>
          <t>一般事業者</t>
        </is>
      </c>
      <c r="D306" s="48" t="inlineStr">
        <is>
          <t>東京都品川区中延５－２－１</t>
        </is>
      </c>
      <c r="E306" s="49" t="inlineStr">
        <is>
          <t>土・水・火・金</t>
        </is>
      </c>
      <c r="F306" s="48" t="inlineStr">
        <is>
          <t>藤内</t>
        </is>
      </c>
      <c r="G306" s="48" t="inlineStr">
        <is>
          <t>段ボール</t>
        </is>
      </c>
      <c r="H306" s="50" t="n">
        <v>170</v>
      </c>
    </row>
    <row r="307" ht="18" customHeight="1">
      <c r="A307" s="45" t="inlineStr">
        <is>
          <t>GN-101</t>
        </is>
      </c>
      <c r="B307" s="46" t="inlineStr">
        <is>
          <t>オステリアバル　リ・カーリカ</t>
        </is>
      </c>
      <c r="C307" s="47" t="inlineStr">
        <is>
          <t>一般事業者</t>
        </is>
      </c>
      <c r="D307" s="48" t="inlineStr">
        <is>
          <t>東京都目黒区鷹番２－１６－１４　B1F</t>
        </is>
      </c>
      <c r="E307" s="49" t="inlineStr">
        <is>
          <t>土・日・月・木・水・火・金</t>
        </is>
      </c>
      <c r="F307" s="48" t="inlineStr">
        <is>
          <t>中條・千葉・長谷川</t>
        </is>
      </c>
      <c r="G307" s="48" t="inlineStr">
        <is>
          <t>一般廃・産廃</t>
        </is>
      </c>
      <c r="H307" s="50" t="n">
        <v>166.5</v>
      </c>
    </row>
    <row r="308" ht="18" customHeight="1">
      <c r="A308" s="45" t="inlineStr">
        <is>
          <t>GN-102</t>
        </is>
      </c>
      <c r="B308" s="46" t="inlineStr">
        <is>
          <t>オハナ　明大前</t>
        </is>
      </c>
      <c r="C308" s="47" t="inlineStr">
        <is>
          <t>一般事業者</t>
        </is>
      </c>
      <c r="D308" s="48" t="inlineStr">
        <is>
          <t>東京都世田谷区松原１－５２－２フォレスト杉山１F</t>
        </is>
      </c>
      <c r="E308" s="49" t="inlineStr">
        <is>
          <t>土・木・火</t>
        </is>
      </c>
      <c r="F308" s="48" t="inlineStr">
        <is>
          <t>長谷川・長野</t>
        </is>
      </c>
      <c r="G308" s="48" t="inlineStr">
        <is>
          <t>一般廃・産廃</t>
        </is>
      </c>
      <c r="H308" s="50" t="n">
        <v>130</v>
      </c>
    </row>
    <row r="309" ht="18" customHeight="1">
      <c r="A309" s="45" t="inlineStr">
        <is>
          <t>GN-103</t>
        </is>
      </c>
      <c r="B309" s="46" t="inlineStr">
        <is>
          <t>オープンマート駒澤大学駅中店</t>
        </is>
      </c>
      <c r="C309" s="47" t="inlineStr">
        <is>
          <t>一般事業者</t>
        </is>
      </c>
      <c r="D309" s="48" t="inlineStr">
        <is>
          <t>東京都世田谷区上馬４－３　地下C区画</t>
        </is>
      </c>
      <c r="E309" s="49" t="inlineStr">
        <is>
          <t>土・月・木・水・火・金</t>
        </is>
      </c>
      <c r="F309" s="48" t="inlineStr">
        <is>
          <t>和田・荻野・長谷川・長野</t>
        </is>
      </c>
      <c r="G309" s="48" t="inlineStr">
        <is>
          <t>一般廃・段ボール・産廃</t>
        </is>
      </c>
      <c r="H309" s="50" t="n">
        <v>30</v>
      </c>
    </row>
    <row r="310" ht="18" customHeight="1">
      <c r="A310" s="45" t="inlineStr">
        <is>
          <t>GN-104</t>
        </is>
      </c>
      <c r="B310" s="46" t="inlineStr">
        <is>
          <t>カラダファクトリー　雪谷大塚店</t>
        </is>
      </c>
      <c r="C310" s="47" t="inlineStr">
        <is>
          <t>一般事業者</t>
        </is>
      </c>
      <c r="D310" s="48" t="inlineStr">
        <is>
          <t>東京都大田区南雪谷２－２－１６</t>
        </is>
      </c>
      <c r="E310" s="49" t="inlineStr">
        <is>
          <t>木</t>
        </is>
      </c>
      <c r="F310" s="48" t="inlineStr">
        <is>
          <t>中條</t>
        </is>
      </c>
      <c r="G310" s="48" t="inlineStr">
        <is>
          <t>段ボール</t>
        </is>
      </c>
      <c r="H310" s="50" t="n">
        <v>10</v>
      </c>
    </row>
    <row r="311" ht="18" customHeight="1">
      <c r="A311" s="45" t="inlineStr">
        <is>
          <t>GN-105</t>
        </is>
      </c>
      <c r="B311" s="46" t="inlineStr">
        <is>
          <t>カラダファクトリー雪谷大塚店</t>
        </is>
      </c>
      <c r="C311" s="47" t="inlineStr">
        <is>
          <t>一般事業者</t>
        </is>
      </c>
      <c r="D311" s="48" t="inlineStr">
        <is>
          <t>東京都大田区南雪谷２－２－１６</t>
        </is>
      </c>
      <c r="E311" s="49" t="inlineStr">
        <is>
          <t>火</t>
        </is>
      </c>
      <c r="F311" s="48" t="inlineStr">
        <is>
          <t>千葉</t>
        </is>
      </c>
      <c r="G311" s="48" t="inlineStr">
        <is>
          <t>産廃</t>
        </is>
      </c>
      <c r="H311" s="50" t="n">
        <v>2</v>
      </c>
    </row>
    <row r="312" ht="18" customHeight="1">
      <c r="A312" s="45" t="inlineStr">
        <is>
          <t>GN-106</t>
        </is>
      </c>
      <c r="B312" s="46" t="inlineStr">
        <is>
          <t>カーニバル　学芸大学店</t>
        </is>
      </c>
      <c r="C312" s="47" t="inlineStr">
        <is>
          <t>一般事業者</t>
        </is>
      </c>
      <c r="D312" s="48" t="inlineStr">
        <is>
          <t>東京都目黒区鷹番３－４－２５　学大小路１４－０１</t>
        </is>
      </c>
      <c r="E312" s="49" t="inlineStr">
        <is>
          <t>・土・日・月・木・水・火・金</t>
        </is>
      </c>
      <c r="F312" s="48" t="inlineStr">
        <is>
          <t>中條・千葉・長谷川</t>
        </is>
      </c>
      <c r="G312" s="48" t="inlineStr">
        <is>
          <t>一般廃・産廃</t>
        </is>
      </c>
      <c r="H312" s="50" t="n">
        <v>241</v>
      </c>
    </row>
    <row r="313" ht="18" customHeight="1">
      <c r="A313" s="45" t="inlineStr">
        <is>
          <t>GN-107</t>
        </is>
      </c>
      <c r="B313" s="46" t="inlineStr">
        <is>
          <t>カーフ</t>
        </is>
      </c>
      <c r="C313" s="47" t="inlineStr">
        <is>
          <t>一般事業者</t>
        </is>
      </c>
      <c r="D313" s="48" t="inlineStr">
        <is>
          <t>東京都渋谷区代官山町１３－１代官山ログロードL２</t>
        </is>
      </c>
      <c r="E313" s="49" t="inlineStr">
        <is>
          <t>土・日・月・木・水・火・金</t>
        </is>
      </c>
      <c r="F313" s="48" t="inlineStr">
        <is>
          <t>中條・和田・荻野・長谷川・長野</t>
        </is>
      </c>
      <c r="G313" s="48" t="inlineStr">
        <is>
          <t>一般廃・段ボール・産廃</t>
        </is>
      </c>
      <c r="H313" s="50" t="n">
        <v>41</v>
      </c>
    </row>
    <row r="314" ht="18" customHeight="1">
      <c r="A314" s="45" t="inlineStr">
        <is>
          <t>GN-108</t>
        </is>
      </c>
      <c r="B314" s="46" t="inlineStr">
        <is>
          <t>カーリカ・リ</t>
        </is>
      </c>
      <c r="C314" s="47" t="inlineStr">
        <is>
          <t>一般事業者</t>
        </is>
      </c>
      <c r="D314" s="48" t="inlineStr">
        <is>
          <t>東京都目黒区中根１－５－２　都立大高架下A館</t>
        </is>
      </c>
      <c r="E314" s="49" t="inlineStr">
        <is>
          <t>土・日・月・木・水・火・金</t>
        </is>
      </c>
      <c r="F314" s="48" t="inlineStr">
        <is>
          <t>中條・千葉・長谷川</t>
        </is>
      </c>
      <c r="G314" s="48" t="inlineStr">
        <is>
          <t>一般廃・瓶缶・産廃</t>
        </is>
      </c>
      <c r="H314" s="50" t="n">
        <v>98</v>
      </c>
    </row>
    <row r="315" ht="18" customHeight="1">
      <c r="A315" s="45" t="inlineStr">
        <is>
          <t>GN-109</t>
        </is>
      </c>
      <c r="B315" s="46" t="inlineStr">
        <is>
          <t>カーリーノブ</t>
        </is>
      </c>
      <c r="C315" s="47" t="inlineStr">
        <is>
          <t>一般事業者</t>
        </is>
      </c>
      <c r="D315" s="48" t="inlineStr">
        <is>
          <t>東京都目黒区中根１－５－２　都立大高架下（商業施設）</t>
        </is>
      </c>
      <c r="E315" s="49" t="inlineStr">
        <is>
          <t>土・日・月・木・水・火・金</t>
        </is>
      </c>
      <c r="F315" s="48" t="inlineStr">
        <is>
          <t>中條・千葉・長谷川</t>
        </is>
      </c>
      <c r="G315" s="48" t="inlineStr">
        <is>
          <t>一般廃・瓶缶・産廃</t>
        </is>
      </c>
      <c r="H315" s="50" t="n">
        <v>13</v>
      </c>
    </row>
    <row r="316" ht="18" customHeight="1">
      <c r="A316" s="45" t="inlineStr">
        <is>
          <t>GN-110</t>
        </is>
      </c>
      <c r="B316" s="46" t="inlineStr">
        <is>
          <t>ガーデンハウスクラフト</t>
        </is>
      </c>
      <c r="C316" s="47" t="inlineStr">
        <is>
          <t>一般事業者</t>
        </is>
      </c>
      <c r="D316" s="48" t="inlineStr">
        <is>
          <t>東京都渋谷区代官山町１３－１代官山ログロードL５棟</t>
        </is>
      </c>
      <c r="E316" s="49" t="inlineStr">
        <is>
          <t>土・日・月・木・水・火・金</t>
        </is>
      </c>
      <c r="F316" s="48" t="inlineStr">
        <is>
          <t>中條・和田・荻野・長谷川・長野</t>
        </is>
      </c>
      <c r="G316" s="48" t="inlineStr">
        <is>
          <t>一般廃・段ボール・産廃</t>
        </is>
      </c>
      <c r="H316" s="50" t="n">
        <v>281</v>
      </c>
    </row>
    <row r="317" ht="18" customHeight="1">
      <c r="A317" s="45" t="inlineStr">
        <is>
          <t>GN-111</t>
        </is>
      </c>
      <c r="B317" s="46" t="inlineStr">
        <is>
          <t>キッズスペースキャンプ　大井町</t>
        </is>
      </c>
      <c r="C317" s="47" t="inlineStr">
        <is>
          <t>一般事業者</t>
        </is>
      </c>
      <c r="D317" s="48" t="inlineStr">
        <is>
          <t>東京都品川区二葉１－８－２３</t>
        </is>
      </c>
      <c r="E317" s="49" t="inlineStr">
        <is>
          <t>水・金</t>
        </is>
      </c>
      <c r="F317" s="48" t="inlineStr">
        <is>
          <t>千葉</t>
        </is>
      </c>
      <c r="G317" s="48" t="inlineStr">
        <is>
          <t>産廃</t>
        </is>
      </c>
      <c r="H317" s="50" t="n">
        <v>10</v>
      </c>
    </row>
    <row r="318" ht="18" customHeight="1">
      <c r="A318" s="45" t="inlineStr">
        <is>
          <t>GN-112</t>
        </is>
      </c>
      <c r="B318" s="46" t="inlineStr">
        <is>
          <t>キッチン　クレセント</t>
        </is>
      </c>
      <c r="C318" s="47" t="inlineStr">
        <is>
          <t>一般事業者</t>
        </is>
      </c>
      <c r="D318" s="48" t="inlineStr">
        <is>
          <t>東京都品川区西五反田１－１２－１</t>
        </is>
      </c>
      <c r="E318" s="49" t="inlineStr">
        <is>
          <t>月・水・火・金</t>
        </is>
      </c>
      <c r="F318" s="48" t="inlineStr">
        <is>
          <t>中條・千葉</t>
        </is>
      </c>
      <c r="G318" s="48" t="inlineStr">
        <is>
          <t>瓶缶・産廃</t>
        </is>
      </c>
      <c r="H318" s="50" t="n">
        <v>0</v>
      </c>
    </row>
    <row r="319" ht="18" customHeight="1">
      <c r="A319" s="45" t="inlineStr">
        <is>
          <t>GN-113</t>
        </is>
      </c>
      <c r="B319" s="46" t="inlineStr">
        <is>
          <t>キャンバン</t>
        </is>
      </c>
      <c r="C319" s="47" t="inlineStr">
        <is>
          <t>一般事業者</t>
        </is>
      </c>
      <c r="D319" s="48" t="inlineStr">
        <is>
          <t>東京都大田区仲池上１－２３－５</t>
        </is>
      </c>
      <c r="E319" s="49" t="inlineStr">
        <is>
          <t>金</t>
        </is>
      </c>
      <c r="F319" s="48" t="inlineStr">
        <is>
          <t>千葉</t>
        </is>
      </c>
      <c r="G319" s="48" t="inlineStr">
        <is>
          <t>産廃</t>
        </is>
      </c>
      <c r="H319" s="50" t="n">
        <v>6</v>
      </c>
    </row>
    <row r="320" ht="18" customHeight="1">
      <c r="A320" s="45" t="inlineStr">
        <is>
          <t>GN-114</t>
        </is>
      </c>
      <c r="B320" s="46" t="inlineStr">
        <is>
          <t>クリスピークリームドーナツ自由が丘駅店</t>
        </is>
      </c>
      <c r="C320" s="47" t="inlineStr">
        <is>
          <t>一般事業者</t>
        </is>
      </c>
      <c r="D320" s="48" t="inlineStr">
        <is>
          <t>東京都目黒区自由が丘１－３０－１</t>
        </is>
      </c>
      <c r="E320" s="49" t="inlineStr">
        <is>
          <t>・日・木・火</t>
        </is>
      </c>
      <c r="F320" s="48" t="inlineStr">
        <is>
          <t>中條・千葉</t>
        </is>
      </c>
      <c r="G320" s="48" t="inlineStr">
        <is>
          <t>一般廃・産廃</t>
        </is>
      </c>
      <c r="H320" s="50" t="n">
        <v>31</v>
      </c>
    </row>
    <row r="321" ht="18" customHeight="1">
      <c r="A321" s="45" t="inlineStr">
        <is>
          <t>GN-115</t>
        </is>
      </c>
      <c r="B321" s="46" t="inlineStr">
        <is>
          <t>グルメフロント（１５BL）</t>
        </is>
      </c>
      <c r="C321" s="47" t="inlineStr">
        <is>
          <t>一般事業者</t>
        </is>
      </c>
      <c r="D321" s="48" t="inlineStr">
        <is>
          <t>東京都目黒区碑文谷６－６－８　GAKUDAI COLLECTIV A-0</t>
        </is>
      </c>
      <c r="E321" s="49" t="inlineStr">
        <is>
          <t>土・月・木・水・火・金</t>
        </is>
      </c>
      <c r="F321" s="48" t="inlineStr">
        <is>
          <t>藤内</t>
        </is>
      </c>
      <c r="G321" s="48" t="inlineStr">
        <is>
          <t>段ボール</t>
        </is>
      </c>
      <c r="H321" s="50" t="n">
        <v>85</v>
      </c>
    </row>
    <row r="322" ht="18" customHeight="1">
      <c r="A322" s="45" t="inlineStr">
        <is>
          <t>GN-116</t>
        </is>
      </c>
      <c r="B322" s="46" t="inlineStr">
        <is>
          <t>グローバルキッズ　荏原町保育園</t>
        </is>
      </c>
      <c r="C322" s="47" t="inlineStr">
        <is>
          <t>一般事業者</t>
        </is>
      </c>
      <c r="D322" s="48" t="inlineStr">
        <is>
          <t>東京都品川区旗の台２－１３－１</t>
        </is>
      </c>
      <c r="E322" s="49" t="inlineStr">
        <is>
          <t>金</t>
        </is>
      </c>
      <c r="F322" s="48" t="inlineStr">
        <is>
          <t>中條</t>
        </is>
      </c>
      <c r="G322" s="48" t="inlineStr">
        <is>
          <t>瓶缶</t>
        </is>
      </c>
      <c r="H322" s="50" t="n">
        <v>20</v>
      </c>
    </row>
    <row r="323" ht="18" customHeight="1">
      <c r="A323" s="45" t="inlineStr">
        <is>
          <t>GN-117</t>
        </is>
      </c>
      <c r="B323" s="46" t="inlineStr">
        <is>
          <t>ケンタッキーフライドチキン　二子玉川店</t>
        </is>
      </c>
      <c r="C323" s="47" t="inlineStr">
        <is>
          <t>一般事業者</t>
        </is>
      </c>
      <c r="D323" s="48" t="inlineStr">
        <is>
          <t>東京都世田谷区玉川２－２２－１３</t>
        </is>
      </c>
      <c r="E323" s="49" t="inlineStr">
        <is>
          <t>日</t>
        </is>
      </c>
      <c r="F323" s="48" t="inlineStr">
        <is>
          <t>中條</t>
        </is>
      </c>
      <c r="G323" s="48" t="inlineStr">
        <is>
          <t>一般廃</t>
        </is>
      </c>
      <c r="H323" s="50" t="n">
        <v>90</v>
      </c>
    </row>
    <row r="324" ht="18" customHeight="1">
      <c r="A324" s="45" t="inlineStr">
        <is>
          <t>GN-118</t>
        </is>
      </c>
      <c r="B324" s="46" t="inlineStr">
        <is>
          <t>コーモドドゥーエ</t>
        </is>
      </c>
      <c r="C324" s="47" t="inlineStr">
        <is>
          <t>一般事業者</t>
        </is>
      </c>
      <c r="D324" s="48" t="inlineStr">
        <is>
          <t>東京都目黒区上目黒３－４５－１２　J１</t>
        </is>
      </c>
      <c r="E324" s="49" t="inlineStr">
        <is>
          <t>火</t>
        </is>
      </c>
      <c r="F324" s="48" t="inlineStr">
        <is>
          <t>千葉</t>
        </is>
      </c>
      <c r="G324" s="48" t="inlineStr">
        <is>
          <t>産廃</t>
        </is>
      </c>
      <c r="H324" s="50" t="n">
        <v>0</v>
      </c>
    </row>
    <row r="325" ht="18" customHeight="1">
      <c r="A325" s="45" t="inlineStr">
        <is>
          <t>GN-119</t>
        </is>
      </c>
      <c r="B325" s="46" t="inlineStr">
        <is>
          <t>ゴントラン　シェリエmini自由が丘</t>
        </is>
      </c>
      <c r="C325" s="47" t="inlineStr">
        <is>
          <t>一般事業者</t>
        </is>
      </c>
      <c r="D325" s="48" t="inlineStr">
        <is>
          <t>東京都目黒区自由が丘１－３０－１</t>
        </is>
      </c>
      <c r="E325" s="49" t="inlineStr">
        <is>
          <t>・木・火</t>
        </is>
      </c>
      <c r="F325" s="48" t="inlineStr">
        <is>
          <t>千葉</t>
        </is>
      </c>
      <c r="G325" s="48" t="inlineStr">
        <is>
          <t>産廃</t>
        </is>
      </c>
      <c r="H325" s="50" t="n">
        <v>2</v>
      </c>
    </row>
    <row r="326" ht="18" customHeight="1">
      <c r="A326" s="45" t="inlineStr">
        <is>
          <t>GN-120</t>
        </is>
      </c>
      <c r="B326" s="46" t="inlineStr">
        <is>
          <t>サキュレ　本社営業所</t>
        </is>
      </c>
      <c r="C326" s="47" t="inlineStr">
        <is>
          <t>一般事業者</t>
        </is>
      </c>
      <c r="D326" s="48" t="inlineStr">
        <is>
          <t>東京都大田区西馬込１－２－１２</t>
        </is>
      </c>
      <c r="E326" s="49" t="inlineStr">
        <is>
          <t>水・火</t>
        </is>
      </c>
      <c r="F326" s="48" t="inlineStr">
        <is>
          <t>千葉</t>
        </is>
      </c>
      <c r="G326" s="48" t="inlineStr">
        <is>
          <t>産廃</t>
        </is>
      </c>
      <c r="H326" s="50" t="n">
        <v>30</v>
      </c>
    </row>
    <row r="327" ht="18" customHeight="1">
      <c r="A327" s="45" t="inlineStr">
        <is>
          <t>GN-121</t>
        </is>
      </c>
      <c r="B327" s="46" t="inlineStr">
        <is>
          <t>サキュレ本社営業所</t>
        </is>
      </c>
      <c r="C327" s="47" t="inlineStr">
        <is>
          <t>一般事業者</t>
        </is>
      </c>
      <c r="D327" s="48" t="inlineStr">
        <is>
          <t>東京都大田区西馬込１－２－１２</t>
        </is>
      </c>
      <c r="E327" s="49" t="inlineStr">
        <is>
          <t>火・金</t>
        </is>
      </c>
      <c r="F327" s="48" t="inlineStr">
        <is>
          <t>中條</t>
        </is>
      </c>
      <c r="G327" s="48" t="inlineStr">
        <is>
          <t>瓶缶</t>
        </is>
      </c>
      <c r="H327" s="50" t="n">
        <v>10</v>
      </c>
    </row>
    <row r="328" ht="18" customHeight="1">
      <c r="A328" s="45" t="inlineStr">
        <is>
          <t>GN-122</t>
        </is>
      </c>
      <c r="B328" s="46" t="inlineStr">
        <is>
          <t>サピックス　自由が丘校</t>
        </is>
      </c>
      <c r="C328" s="47" t="inlineStr">
        <is>
          <t>一般事業者</t>
        </is>
      </c>
      <c r="D328" s="48" t="inlineStr">
        <is>
          <t>東京都目黒区自由が丘２－１６－２</t>
        </is>
      </c>
      <c r="E328" s="49" t="inlineStr">
        <is>
          <t>土・月・木・水・火・金</t>
        </is>
      </c>
      <c r="F328" s="48" t="inlineStr">
        <is>
          <t>千葉・藤内</t>
        </is>
      </c>
      <c r="G328" s="48" t="inlineStr">
        <is>
          <t>段ボール・産廃</t>
        </is>
      </c>
      <c r="H328" s="50" t="n">
        <v>160</v>
      </c>
    </row>
    <row r="329" ht="18" customHeight="1">
      <c r="A329" s="45" t="inlineStr">
        <is>
          <t>GN-123</t>
        </is>
      </c>
      <c r="B329" s="46" t="inlineStr">
        <is>
          <t>サーティーワンアイスクリーム</t>
        </is>
      </c>
      <c r="C329" s="47" t="inlineStr">
        <is>
          <t>一般事業者</t>
        </is>
      </c>
      <c r="D329" s="48" t="inlineStr">
        <is>
          <t>東京都世田谷区上馬４－３　D区画</t>
        </is>
      </c>
      <c r="E329" s="49" t="inlineStr">
        <is>
          <t>土・月・木・水・火・金</t>
        </is>
      </c>
      <c r="F329" s="48" t="inlineStr">
        <is>
          <t>和田・荻野・長谷川・長野</t>
        </is>
      </c>
      <c r="G329" s="48" t="inlineStr">
        <is>
          <t>一般廃・段ボール・産廃</t>
        </is>
      </c>
      <c r="H329" s="50" t="n">
        <v>46</v>
      </c>
    </row>
    <row r="330" ht="18" customHeight="1">
      <c r="A330" s="45" t="inlineStr">
        <is>
          <t>GN-124</t>
        </is>
      </c>
      <c r="B330" s="46" t="inlineStr">
        <is>
          <t>ザ・シティベーカリー</t>
        </is>
      </c>
      <c r="C330" s="47" t="inlineStr">
        <is>
          <t>一般事業者</t>
        </is>
      </c>
      <c r="D330" s="48" t="inlineStr">
        <is>
          <t>東京都目黒区上目黒３－４－１　５D－２，３</t>
        </is>
      </c>
      <c r="E330" s="49" t="inlineStr">
        <is>
          <t>土・日・月・木・水・火・金</t>
        </is>
      </c>
      <c r="F330" s="48" t="inlineStr">
        <is>
          <t>中條・千葉・長谷川</t>
        </is>
      </c>
      <c r="G330" s="48" t="inlineStr">
        <is>
          <t>一般廃・瓶缶・産廃</t>
        </is>
      </c>
      <c r="H330" s="50" t="n">
        <v>368</v>
      </c>
    </row>
    <row r="331" ht="18" customHeight="1">
      <c r="A331" s="45" t="inlineStr">
        <is>
          <t>GN-125</t>
        </is>
      </c>
      <c r="B331" s="46" t="inlineStr">
        <is>
          <t>シュッティヤナセ</t>
        </is>
      </c>
      <c r="C331" s="47" t="inlineStr">
        <is>
          <t>一般事業者</t>
        </is>
      </c>
      <c r="D331" s="48" t="inlineStr">
        <is>
          <t>東京都渋谷区東３－２４－７　４F</t>
        </is>
      </c>
      <c r="E331" s="49" t="inlineStr">
        <is>
          <t>土・日・月・木・水・火・金</t>
        </is>
      </c>
      <c r="F331" s="48" t="inlineStr">
        <is>
          <t>中條・長谷川・長野</t>
        </is>
      </c>
      <c r="G331" s="48" t="inlineStr">
        <is>
          <t>一般廃・産廃</t>
        </is>
      </c>
      <c r="H331" s="50" t="n">
        <v>590</v>
      </c>
    </row>
    <row r="332" ht="18" customHeight="1">
      <c r="A332" s="45" t="inlineStr">
        <is>
          <t>GN-126</t>
        </is>
      </c>
      <c r="B332" s="46" t="inlineStr">
        <is>
          <t>スタジオマリオグラン　二子玉川店</t>
        </is>
      </c>
      <c r="C332" s="47" t="inlineStr">
        <is>
          <t>一般事業者</t>
        </is>
      </c>
      <c r="D332" s="48" t="inlineStr">
        <is>
          <t>東京都世田谷区玉川２－２２－１３　２F</t>
        </is>
      </c>
      <c r="E332" s="49" t="inlineStr">
        <is>
          <t>・日・木・火</t>
        </is>
      </c>
      <c r="F332" s="48" t="inlineStr">
        <is>
          <t>中條・千葉・長野</t>
        </is>
      </c>
      <c r="G332" s="48" t="inlineStr">
        <is>
          <t>一般廃・産廃</t>
        </is>
      </c>
      <c r="H332" s="50" t="n">
        <v>70</v>
      </c>
    </row>
    <row r="333" ht="18" customHeight="1">
      <c r="A333" s="45" t="inlineStr">
        <is>
          <t>GN-127</t>
        </is>
      </c>
      <c r="B333" s="46" t="inlineStr">
        <is>
          <t>スターバックスコーヒー大井町駅</t>
        </is>
      </c>
      <c r="C333" s="47" t="inlineStr">
        <is>
          <t>一般事業者</t>
        </is>
      </c>
      <c r="D333" s="48" t="inlineStr">
        <is>
          <t>東京都品川区大井１－１－１</t>
        </is>
      </c>
      <c r="E333" s="49" t="inlineStr">
        <is>
          <t>月・木・水・金</t>
        </is>
      </c>
      <c r="F333" s="48" t="inlineStr">
        <is>
          <t>中條・千葉</t>
        </is>
      </c>
      <c r="G333" s="48" t="inlineStr">
        <is>
          <t>段ボール・産廃</t>
        </is>
      </c>
      <c r="H333" s="50" t="n">
        <v>164</v>
      </c>
    </row>
    <row r="334" ht="18" customHeight="1">
      <c r="A334" s="45" t="inlineStr">
        <is>
          <t>GN-128</t>
        </is>
      </c>
      <c r="B334" s="46" t="inlineStr">
        <is>
          <t>スパイシーフライヤーズ</t>
        </is>
      </c>
      <c r="C334" s="47" t="inlineStr">
        <is>
          <t>一般事業者</t>
        </is>
      </c>
      <c r="D334" s="48" t="inlineStr">
        <is>
          <t>東京都目黒区上目黒３－５－２　０H－５</t>
        </is>
      </c>
      <c r="E334" s="49" t="inlineStr">
        <is>
          <t>・土・月・木・水・火・金</t>
        </is>
      </c>
      <c r="F334" s="48" t="inlineStr">
        <is>
          <t>千葉・長谷川</t>
        </is>
      </c>
      <c r="G334" s="48" t="inlineStr">
        <is>
          <t>一般廃・産廃</t>
        </is>
      </c>
      <c r="H334" s="50" t="n">
        <v>9</v>
      </c>
    </row>
    <row r="335" ht="18" customHeight="1">
      <c r="A335" s="45" t="inlineStr">
        <is>
          <t>GN-129</t>
        </is>
      </c>
      <c r="B335" s="46" t="inlineStr">
        <is>
          <t>スープストック　自由が丘店</t>
        </is>
      </c>
      <c r="C335" s="47" t="inlineStr">
        <is>
          <t>一般事業者</t>
        </is>
      </c>
      <c r="D335" s="48" t="inlineStr">
        <is>
          <t>東京都目黒区自由が丘１－３０－１</t>
        </is>
      </c>
      <c r="E335" s="49" t="inlineStr">
        <is>
          <t>・日・木・火</t>
        </is>
      </c>
      <c r="F335" s="48" t="inlineStr">
        <is>
          <t>中條・千葉</t>
        </is>
      </c>
      <c r="G335" s="48" t="inlineStr">
        <is>
          <t>一般廃・産廃</t>
        </is>
      </c>
      <c r="H335" s="50" t="n">
        <v>160</v>
      </c>
    </row>
    <row r="336" ht="18" customHeight="1">
      <c r="A336" s="45" t="inlineStr">
        <is>
          <t>GN-130</t>
        </is>
      </c>
      <c r="B336" s="46" t="inlineStr">
        <is>
          <t>ダイソー　ガクダイコウカシタ店</t>
        </is>
      </c>
      <c r="C336" s="47" t="inlineStr">
        <is>
          <t>一般事業者</t>
        </is>
      </c>
      <c r="D336" s="48" t="inlineStr">
        <is>
          <t>東京都目黒区碑文谷６－７－２２　１４BL</t>
        </is>
      </c>
      <c r="E336" s="49" t="inlineStr">
        <is>
          <t>・土・日・月・木・水・火・金</t>
        </is>
      </c>
      <c r="F336" s="48" t="inlineStr">
        <is>
          <t>中條・千葉・長谷川</t>
        </is>
      </c>
      <c r="G336" s="48" t="inlineStr">
        <is>
          <t>一般廃・段ボール・産廃</t>
        </is>
      </c>
      <c r="H336" s="50" t="n">
        <v>81</v>
      </c>
    </row>
    <row r="337" ht="18" customHeight="1">
      <c r="A337" s="45" t="inlineStr">
        <is>
          <t>GN-131</t>
        </is>
      </c>
      <c r="B337" s="46" t="inlineStr">
        <is>
          <t>チョキペタ　エトモ鵜の木店</t>
        </is>
      </c>
      <c r="C337" s="47" t="inlineStr">
        <is>
          <t>一般事業者</t>
        </is>
      </c>
      <c r="D337" s="48" t="inlineStr">
        <is>
          <t>東京都大田区鵜の木２－４－１　エトモ鵜の木</t>
        </is>
      </c>
      <c r="E337" s="49" t="inlineStr">
        <is>
          <t>火</t>
        </is>
      </c>
      <c r="F337" s="48" t="inlineStr">
        <is>
          <t>千葉</t>
        </is>
      </c>
      <c r="G337" s="48" t="inlineStr">
        <is>
          <t>産廃</t>
        </is>
      </c>
      <c r="H337" s="50" t="n">
        <v>0</v>
      </c>
    </row>
    <row r="338" ht="18" customHeight="1">
      <c r="A338" s="45" t="inlineStr">
        <is>
          <t>GN-132</t>
        </is>
      </c>
      <c r="B338" s="46" t="inlineStr">
        <is>
          <t>デルフォニックス</t>
        </is>
      </c>
      <c r="C338" s="47" t="inlineStr">
        <is>
          <t>一般事業者</t>
        </is>
      </c>
      <c r="D338" s="48" t="inlineStr">
        <is>
          <t>東京都目黒区八雲３－２３－２０</t>
        </is>
      </c>
      <c r="E338" s="49" t="inlineStr">
        <is>
          <t>月・金</t>
        </is>
      </c>
      <c r="F338" s="48" t="inlineStr">
        <is>
          <t>中條・千葉</t>
        </is>
      </c>
      <c r="G338" s="48" t="inlineStr">
        <is>
          <t>段ボール・産廃</t>
        </is>
      </c>
      <c r="H338" s="50" t="n">
        <v>15</v>
      </c>
    </row>
    <row r="339" ht="18" customHeight="1">
      <c r="A339" s="45" t="inlineStr">
        <is>
          <t>GN-133</t>
        </is>
      </c>
      <c r="B339" s="46" t="inlineStr">
        <is>
          <t>トレインチ自由が丘　共有部</t>
        </is>
      </c>
      <c r="C339" s="47" t="inlineStr">
        <is>
          <t>一般事業者</t>
        </is>
      </c>
      <c r="D339" s="48" t="inlineStr">
        <is>
          <t>東京都世田谷区奥沢５－４２－３　トレインチ自由が丘</t>
        </is>
      </c>
      <c r="E339" s="49" t="inlineStr">
        <is>
          <t>・土・日・月・木・水・火・金</t>
        </is>
      </c>
      <c r="F339" s="48" t="inlineStr">
        <is>
          <t>中條・千葉・藤内</t>
        </is>
      </c>
      <c r="G339" s="48" t="inlineStr">
        <is>
          <t>一般廃・段ボール・産廃</t>
        </is>
      </c>
      <c r="H339" s="50" t="n">
        <v>206</v>
      </c>
    </row>
    <row r="340" ht="18" customHeight="1">
      <c r="A340" s="45" t="inlineStr">
        <is>
          <t>GN-134</t>
        </is>
      </c>
      <c r="B340" s="46" t="inlineStr">
        <is>
          <t>トレビ</t>
        </is>
      </c>
      <c r="C340" s="47" t="inlineStr">
        <is>
          <t>一般事業者</t>
        </is>
      </c>
      <c r="D340" s="48" t="inlineStr">
        <is>
          <t>東京都大田区石川町１－１６－１</t>
        </is>
      </c>
      <c r="E340" s="49" t="inlineStr">
        <is>
          <t>土・木・火・金</t>
        </is>
      </c>
      <c r="F340" s="48" t="inlineStr">
        <is>
          <t>白・鈴木</t>
        </is>
      </c>
      <c r="G340" s="48" t="inlineStr">
        <is>
          <t>一般廃・不燃物</t>
        </is>
      </c>
      <c r="H340" s="50" t="n">
        <v>1438</v>
      </c>
    </row>
    <row r="341" ht="18" customHeight="1">
      <c r="A341" s="45" t="inlineStr">
        <is>
          <t>GN-135</t>
        </is>
      </c>
      <c r="B341" s="46" t="inlineStr">
        <is>
          <t>ドコモショップサテライト　エトモ鵜の木</t>
        </is>
      </c>
      <c r="C341" s="47" t="inlineStr">
        <is>
          <t>一般事業者</t>
        </is>
      </c>
      <c r="D341" s="48" t="inlineStr">
        <is>
          <t>東京都大田区鵜の木２－４－１　エトモ鵜の木</t>
        </is>
      </c>
      <c r="E341" s="49" t="inlineStr">
        <is>
          <t>火</t>
        </is>
      </c>
      <c r="F341" s="48" t="inlineStr">
        <is>
          <t>千葉</t>
        </is>
      </c>
      <c r="G341" s="48" t="inlineStr">
        <is>
          <t>産廃</t>
        </is>
      </c>
      <c r="H341" s="50" t="n">
        <v>0</v>
      </c>
    </row>
    <row r="342" ht="18" customHeight="1">
      <c r="A342" s="45" t="inlineStr">
        <is>
          <t>GN-136</t>
        </is>
      </c>
      <c r="B342" s="46" t="inlineStr">
        <is>
          <t>ドトールコーヒー雪谷大塚店</t>
        </is>
      </c>
      <c r="C342" s="47" t="inlineStr">
        <is>
          <t>一般事業者</t>
        </is>
      </c>
      <c r="D342" s="48" t="inlineStr">
        <is>
          <t>東京都大田区南雪谷２－２－１６</t>
        </is>
      </c>
      <c r="E342" s="49" t="inlineStr">
        <is>
          <t>・月・木・火</t>
        </is>
      </c>
      <c r="F342" s="48" t="inlineStr">
        <is>
          <t>中條・千葉</t>
        </is>
      </c>
      <c r="G342" s="48" t="inlineStr">
        <is>
          <t>段ボール・産廃</t>
        </is>
      </c>
      <c r="H342" s="50" t="n">
        <v>45</v>
      </c>
    </row>
    <row r="343" ht="18" customHeight="1">
      <c r="A343" s="45" t="inlineStr">
        <is>
          <t>GN-137</t>
        </is>
      </c>
      <c r="B343" s="46" t="inlineStr">
        <is>
          <t>ドトール珈琲農園</t>
        </is>
      </c>
      <c r="C343" s="47" t="inlineStr">
        <is>
          <t>一般事業者</t>
        </is>
      </c>
      <c r="D343" s="48" t="inlineStr">
        <is>
          <t>東京都目黒区鷹番３－６－１第一ストアビル２F</t>
        </is>
      </c>
      <c r="E343" s="49" t="inlineStr">
        <is>
          <t>土・月・木・水・火・金</t>
        </is>
      </c>
      <c r="F343" s="48" t="inlineStr">
        <is>
          <t>千葉・長谷川</t>
        </is>
      </c>
      <c r="G343" s="48" t="inlineStr">
        <is>
          <t>一般廃・産廃</t>
        </is>
      </c>
      <c r="H343" s="50" t="n">
        <v>360</v>
      </c>
    </row>
    <row r="344" ht="18" customHeight="1">
      <c r="A344" s="45" t="inlineStr">
        <is>
          <t>GN-138</t>
        </is>
      </c>
      <c r="B344" s="46" t="inlineStr">
        <is>
          <t>ドリッピン　チュロス</t>
        </is>
      </c>
      <c r="C344" s="47" t="inlineStr">
        <is>
          <t>一般事業者</t>
        </is>
      </c>
      <c r="D344" s="48" t="inlineStr">
        <is>
          <t>東京都世田谷区奥沢５－４２－３　トレインチ自由が丘１F</t>
        </is>
      </c>
      <c r="E344" s="49" t="inlineStr">
        <is>
          <t>・日・木・火</t>
        </is>
      </c>
      <c r="F344" s="48" t="inlineStr">
        <is>
          <t>中條・千葉</t>
        </is>
      </c>
      <c r="G344" s="48" t="inlineStr">
        <is>
          <t>一般廃・産廃</t>
        </is>
      </c>
      <c r="H344" s="50" t="n">
        <v>14</v>
      </c>
    </row>
    <row r="345" ht="18" customHeight="1">
      <c r="A345" s="45" t="inlineStr">
        <is>
          <t>GN-139</t>
        </is>
      </c>
      <c r="B345" s="46" t="inlineStr">
        <is>
          <t>ハッピーワールド本社</t>
        </is>
      </c>
      <c r="C345" s="47" t="inlineStr">
        <is>
          <t>一般事業者</t>
        </is>
      </c>
      <c r="D345" s="48" t="inlineStr">
        <is>
          <t>東京都渋谷区神宮前６－１９－１４ハッピービル</t>
        </is>
      </c>
      <c r="E345" s="49" t="inlineStr">
        <is>
          <t>土・月・木・水・火・金</t>
        </is>
      </c>
      <c r="F345" s="48" t="inlineStr">
        <is>
          <t>和田・荻野・長谷川・長野</t>
        </is>
      </c>
      <c r="G345" s="48" t="inlineStr">
        <is>
          <t>一般廃・段ボール・産廃</t>
        </is>
      </c>
      <c r="H345" s="50" t="n">
        <v>105</v>
      </c>
    </row>
    <row r="346" ht="18" customHeight="1">
      <c r="A346" s="45" t="inlineStr">
        <is>
          <t>GN-140</t>
        </is>
      </c>
      <c r="B346" s="46" t="inlineStr">
        <is>
          <t>バガブー</t>
        </is>
      </c>
      <c r="C346" s="47" t="inlineStr">
        <is>
          <t>一般事業者</t>
        </is>
      </c>
      <c r="D346" s="48" t="inlineStr">
        <is>
          <t>東京都世田谷区奥沢５－４２－３　トレインチ自由が丘２F</t>
        </is>
      </c>
      <c r="E346" s="49" t="inlineStr">
        <is>
          <t>・木・火</t>
        </is>
      </c>
      <c r="F346" s="48" t="inlineStr">
        <is>
          <t>千葉</t>
        </is>
      </c>
      <c r="G346" s="48" t="inlineStr">
        <is>
          <t>産廃</t>
        </is>
      </c>
      <c r="H346" s="50" t="n">
        <v>0</v>
      </c>
    </row>
    <row r="347" ht="18" customHeight="1">
      <c r="A347" s="45" t="inlineStr">
        <is>
          <t>GN-141</t>
        </is>
      </c>
      <c r="B347" s="46" t="inlineStr">
        <is>
          <t>パシオス　西小山店</t>
        </is>
      </c>
      <c r="C347" s="47" t="inlineStr">
        <is>
          <t>一般事業者</t>
        </is>
      </c>
      <c r="D347" s="48" t="inlineStr">
        <is>
          <t>東京都品川区小山５－２１－７西小山第二駅ビル</t>
        </is>
      </c>
      <c r="E347" s="49" t="inlineStr">
        <is>
          <t>土・木・火</t>
        </is>
      </c>
      <c r="F347" s="48" t="inlineStr">
        <is>
          <t>千葉・白</t>
        </is>
      </c>
      <c r="G347" s="48" t="inlineStr">
        <is>
          <t>一般廃・産廃</t>
        </is>
      </c>
      <c r="H347" s="50" t="n">
        <v>50</v>
      </c>
    </row>
    <row r="348" ht="18" customHeight="1">
      <c r="A348" s="45" t="inlineStr">
        <is>
          <t>GN-142</t>
        </is>
      </c>
      <c r="B348" s="46" t="inlineStr">
        <is>
          <t>パンの田島</t>
        </is>
      </c>
      <c r="C348" s="47" t="inlineStr">
        <is>
          <t>一般事業者</t>
        </is>
      </c>
      <c r="D348" s="48" t="inlineStr">
        <is>
          <t>東京都目黒区鷹番３－６－１第一ストアビル１F</t>
        </is>
      </c>
      <c r="E348" s="49" t="inlineStr">
        <is>
          <t>土・月・木・水・火・金</t>
        </is>
      </c>
      <c r="F348" s="48" t="inlineStr">
        <is>
          <t>千葉・長谷川</t>
        </is>
      </c>
      <c r="G348" s="48" t="inlineStr">
        <is>
          <t>一般廃・産廃</t>
        </is>
      </c>
      <c r="H348" s="50" t="n">
        <v>184</v>
      </c>
    </row>
    <row r="349" ht="18" customHeight="1">
      <c r="A349" s="45" t="inlineStr">
        <is>
          <t>GN-143</t>
        </is>
      </c>
      <c r="B349" s="46" t="inlineStr">
        <is>
          <t>パーラー奥村</t>
        </is>
      </c>
      <c r="C349" s="47" t="inlineStr">
        <is>
          <t>一般事業者</t>
        </is>
      </c>
      <c r="D349" s="48" t="inlineStr">
        <is>
          <t>東京都目黒区鷹番３－４－２５　学大小路１４－１２</t>
        </is>
      </c>
      <c r="E349" s="49" t="inlineStr">
        <is>
          <t>・土・日・月・木・水・火・金</t>
        </is>
      </c>
      <c r="F349" s="48" t="inlineStr">
        <is>
          <t>中條・千葉・長谷川</t>
        </is>
      </c>
      <c r="G349" s="48" t="inlineStr">
        <is>
          <t>一般廃・産廃</t>
        </is>
      </c>
      <c r="H349" s="50" t="n">
        <v>48</v>
      </c>
    </row>
    <row r="350" ht="18" customHeight="1">
      <c r="A350" s="45" t="inlineStr">
        <is>
          <t>GN-144</t>
        </is>
      </c>
      <c r="B350" s="46" t="inlineStr">
        <is>
          <t>ピッツェリアエイト　中目黒店</t>
        </is>
      </c>
      <c r="C350" s="47" t="inlineStr">
        <is>
          <t>一般事業者</t>
        </is>
      </c>
      <c r="D350" s="48" t="inlineStr">
        <is>
          <t>東京都目黒区上目黒１－２２－１２B-5a</t>
        </is>
      </c>
      <c r="E350" s="49" t="inlineStr">
        <is>
          <t>土・日・月・木・水・火・金</t>
        </is>
      </c>
      <c r="F350" s="48" t="inlineStr">
        <is>
          <t>中條・千葉・長谷川・長野</t>
        </is>
      </c>
      <c r="G350" s="48" t="inlineStr">
        <is>
          <t>一般廃・産廃</t>
        </is>
      </c>
      <c r="H350" s="50" t="n">
        <v>388</v>
      </c>
    </row>
    <row r="351" ht="18" customHeight="1">
      <c r="A351" s="45" t="inlineStr">
        <is>
          <t>GN-145</t>
        </is>
      </c>
      <c r="B351" s="46" t="inlineStr">
        <is>
          <t>ファットバー</t>
        </is>
      </c>
      <c r="C351" s="47" t="inlineStr">
        <is>
          <t>一般事業者</t>
        </is>
      </c>
      <c r="D351" s="48" t="inlineStr">
        <is>
          <t>東京都品川区西五反田１－１２－１</t>
        </is>
      </c>
      <c r="E351" s="49" t="inlineStr">
        <is>
          <t>月・水・火・金</t>
        </is>
      </c>
      <c r="F351" s="48" t="inlineStr">
        <is>
          <t>中條・千葉</t>
        </is>
      </c>
      <c r="G351" s="48" t="inlineStr">
        <is>
          <t>瓶缶・産廃</t>
        </is>
      </c>
      <c r="H351" s="50" t="n">
        <v>0</v>
      </c>
    </row>
    <row r="352" ht="18" customHeight="1">
      <c r="A352" s="45" t="inlineStr">
        <is>
          <t>GN-146</t>
        </is>
      </c>
      <c r="B352" s="46" t="inlineStr">
        <is>
          <t>ファブリック</t>
        </is>
      </c>
      <c r="C352" s="47" t="inlineStr">
        <is>
          <t>一般事業者</t>
        </is>
      </c>
      <c r="D352" s="48" t="inlineStr">
        <is>
          <t>東京都目黒区上目黒３－４３－１２　J4</t>
        </is>
      </c>
      <c r="E352" s="49" t="inlineStr">
        <is>
          <t>土・月・木・水・火・金</t>
        </is>
      </c>
      <c r="F352" s="48" t="inlineStr">
        <is>
          <t>千葉・長谷川</t>
        </is>
      </c>
      <c r="G352" s="48" t="inlineStr">
        <is>
          <t>一般廃・産廃</t>
        </is>
      </c>
      <c r="H352" s="50" t="n">
        <v>11</v>
      </c>
    </row>
    <row r="353" ht="18" customHeight="1">
      <c r="A353" s="45" t="inlineStr">
        <is>
          <t>GN-147</t>
        </is>
      </c>
      <c r="B353" s="46" t="inlineStr">
        <is>
          <t>ファミリーマート西新宿5丁目</t>
        </is>
      </c>
      <c r="C353" s="47" t="inlineStr">
        <is>
          <t>一般事業者</t>
        </is>
      </c>
      <c r="D353" s="48" t="inlineStr">
        <is>
          <t>東京都新宿区西新宿５－１０－１４　小野木ビル１F</t>
        </is>
      </c>
      <c r="E353" s="49" t="inlineStr">
        <is>
          <t>土・木・火</t>
        </is>
      </c>
      <c r="F353" s="48" t="inlineStr">
        <is>
          <t>大迫</t>
        </is>
      </c>
      <c r="G353" s="48" t="inlineStr">
        <is>
          <t>一般廃</t>
        </is>
      </c>
      <c r="H353" s="50" t="n">
        <v>70</v>
      </c>
    </row>
    <row r="354" ht="18" customHeight="1">
      <c r="A354" s="45" t="inlineStr">
        <is>
          <t>GN-148</t>
        </is>
      </c>
      <c r="B354" s="46" t="inlineStr">
        <is>
          <t>ファミリーマート西新宿５丁目店</t>
        </is>
      </c>
      <c r="C354" s="47" t="inlineStr">
        <is>
          <t>一般事業者</t>
        </is>
      </c>
      <c r="D354" s="48" t="inlineStr">
        <is>
          <t>東京都新宿区西新宿５－１０－１４小野木ビル１F</t>
        </is>
      </c>
      <c r="E354" s="49" t="inlineStr">
        <is>
          <t>月・水・金</t>
        </is>
      </c>
      <c r="F354" s="48" t="inlineStr">
        <is>
          <t>長谷川・長野</t>
        </is>
      </c>
      <c r="G354" s="48" t="inlineStr">
        <is>
          <t>一般廃・産廃</t>
        </is>
      </c>
      <c r="H354" s="50" t="n">
        <v>70</v>
      </c>
    </row>
    <row r="355" ht="18" customHeight="1">
      <c r="A355" s="45" t="inlineStr">
        <is>
          <t>GN-149</t>
        </is>
      </c>
      <c r="B355" s="46" t="inlineStr">
        <is>
          <t>フラマンドール　田園調布店</t>
        </is>
      </c>
      <c r="C355" s="47" t="inlineStr">
        <is>
          <t>一般事業者</t>
        </is>
      </c>
      <c r="D355" s="48" t="inlineStr">
        <is>
          <t>東京都大田区田園調布３－２５－１８</t>
        </is>
      </c>
      <c r="E355" s="49" t="inlineStr">
        <is>
          <t>・木・火</t>
        </is>
      </c>
      <c r="F355" s="48" t="inlineStr">
        <is>
          <t>千葉・長野</t>
        </is>
      </c>
      <c r="G355" s="48" t="inlineStr">
        <is>
          <t>産廃</t>
        </is>
      </c>
      <c r="H355" s="50" t="n">
        <v>240</v>
      </c>
    </row>
    <row r="356" ht="18" customHeight="1">
      <c r="A356" s="45" t="inlineStr">
        <is>
          <t>GN-150</t>
        </is>
      </c>
      <c r="B356" s="46" t="inlineStr">
        <is>
          <t>フランマンドール下高井戸店</t>
        </is>
      </c>
      <c r="C356" s="47" t="inlineStr">
        <is>
          <t>一般事業者</t>
        </is>
      </c>
      <c r="D356" s="48" t="inlineStr">
        <is>
          <t>東京都世田谷区松原３－２９－１７</t>
        </is>
      </c>
      <c r="E356" s="49" t="inlineStr">
        <is>
          <t>土・木・火</t>
        </is>
      </c>
      <c r="F356" s="48" t="inlineStr">
        <is>
          <t>和田・荻野・長谷川・長野</t>
        </is>
      </c>
      <c r="G356" s="48" t="inlineStr">
        <is>
          <t>一般廃・段ボール・産廃</t>
        </is>
      </c>
      <c r="H356" s="50" t="n">
        <v>330</v>
      </c>
    </row>
    <row r="357" ht="18" customHeight="1">
      <c r="A357" s="45" t="inlineStr">
        <is>
          <t>GN-151</t>
        </is>
      </c>
      <c r="B357" s="46" t="inlineStr">
        <is>
          <t>フードトラックカンパニー</t>
        </is>
      </c>
      <c r="C357" s="47" t="inlineStr">
        <is>
          <t>一般事業者</t>
        </is>
      </c>
      <c r="D357" s="48" t="inlineStr">
        <is>
          <t>東京都目黒区上目黒３－４３－１６　L敷地</t>
        </is>
      </c>
      <c r="E357" s="49" t="inlineStr">
        <is>
          <t>土・月・木・水・火・金</t>
        </is>
      </c>
      <c r="F357" s="48" t="inlineStr">
        <is>
          <t>千葉・長谷川</t>
        </is>
      </c>
      <c r="G357" s="48" t="inlineStr">
        <is>
          <t>一般廃・産廃</t>
        </is>
      </c>
      <c r="H357" s="50" t="n">
        <v>1</v>
      </c>
    </row>
    <row r="358" ht="18" customHeight="1">
      <c r="A358" s="45" t="inlineStr">
        <is>
          <t>GN-152</t>
        </is>
      </c>
      <c r="B358" s="46" t="inlineStr">
        <is>
          <t>ブランジェ浅野屋　自由が丘店</t>
        </is>
      </c>
      <c r="C358" s="47" t="inlineStr">
        <is>
          <t>一般事業者</t>
        </is>
      </c>
      <c r="D358" s="48" t="inlineStr">
        <is>
          <t>東京都目黒区自由が丘２－１３－１　トレインチ自由が丘　D101 201</t>
        </is>
      </c>
      <c r="E358" s="49" t="inlineStr">
        <is>
          <t>・日・木・火</t>
        </is>
      </c>
      <c r="F358" s="48" t="inlineStr">
        <is>
          <t>中條・千葉</t>
        </is>
      </c>
      <c r="G358" s="48" t="inlineStr">
        <is>
          <t>一般廃・産廃</t>
        </is>
      </c>
      <c r="H358" s="50" t="n">
        <v>206</v>
      </c>
    </row>
    <row r="359" ht="18" customHeight="1">
      <c r="A359" s="45" t="inlineStr">
        <is>
          <t>GN-153</t>
        </is>
      </c>
      <c r="B359" s="46" t="inlineStr">
        <is>
          <t>ホルモサ</t>
        </is>
      </c>
      <c r="C359" s="47" t="inlineStr">
        <is>
          <t>一般事業者</t>
        </is>
      </c>
      <c r="D359" s="48" t="inlineStr">
        <is>
          <t>東京都目黒区鷹番２－２１－１９　１０１－A1</t>
        </is>
      </c>
      <c r="E359" s="49" t="inlineStr">
        <is>
          <t>土・月・木・水・火・金</t>
        </is>
      </c>
      <c r="F359" s="48" t="inlineStr">
        <is>
          <t>中條・千葉・長谷川</t>
        </is>
      </c>
      <c r="G359" s="48" t="inlineStr">
        <is>
          <t>一般廃・瓶缶・産廃</t>
        </is>
      </c>
      <c r="H359" s="50" t="n">
        <v>13</v>
      </c>
    </row>
    <row r="360" ht="18" customHeight="1">
      <c r="A360" s="45" t="inlineStr">
        <is>
          <t>GN-154</t>
        </is>
      </c>
      <c r="B360" s="46" t="inlineStr">
        <is>
          <t>マツモトキヨシ　目黒店</t>
        </is>
      </c>
      <c r="C360" s="47" t="inlineStr">
        <is>
          <t>一般事業者</t>
        </is>
      </c>
      <c r="D360" s="48" t="inlineStr">
        <is>
          <t>東京都品川区上大崎４－２－１</t>
        </is>
      </c>
      <c r="E360" s="49" t="inlineStr">
        <is>
          <t>水・金</t>
        </is>
      </c>
      <c r="F360" s="48" t="inlineStr">
        <is>
          <t>中條・千葉</t>
        </is>
      </c>
      <c r="G360" s="48" t="inlineStr">
        <is>
          <t>瓶缶・産廃</t>
        </is>
      </c>
      <c r="H360" s="50" t="n">
        <v>6</v>
      </c>
    </row>
    <row r="361" ht="18" customHeight="1">
      <c r="A361" s="45" t="inlineStr">
        <is>
          <t>GN-155</t>
        </is>
      </c>
      <c r="B361" s="46" t="inlineStr">
        <is>
          <t>マツモトキヨシ　荏原町駅前店</t>
        </is>
      </c>
      <c r="C361" s="47" t="inlineStr">
        <is>
          <t>一般事業者</t>
        </is>
      </c>
      <c r="D361" s="48" t="inlineStr">
        <is>
          <t>東京都品川区中延５－２－１</t>
        </is>
      </c>
      <c r="E361" s="49" t="inlineStr">
        <is>
          <t>月・木・金</t>
        </is>
      </c>
      <c r="F361" s="48" t="inlineStr">
        <is>
          <t>中條</t>
        </is>
      </c>
      <c r="G361" s="48" t="inlineStr">
        <is>
          <t>段ボール・瓶缶・資源</t>
        </is>
      </c>
      <c r="H361" s="50" t="n">
        <v>90</v>
      </c>
    </row>
    <row r="362" ht="18" customHeight="1">
      <c r="A362" s="45" t="inlineStr">
        <is>
          <t>GN-156</t>
        </is>
      </c>
      <c r="B362" s="46" t="inlineStr">
        <is>
          <t>マロリーポークステーキ中目黒店</t>
        </is>
      </c>
      <c r="C362" s="47" t="inlineStr">
        <is>
          <t>一般事業者</t>
        </is>
      </c>
      <c r="D362" s="48" t="inlineStr">
        <is>
          <t>東京都目黒区上目黒３－５－２　０H－１</t>
        </is>
      </c>
      <c r="E362" s="49" t="inlineStr">
        <is>
          <t>・土・月・木・水・火・金</t>
        </is>
      </c>
      <c r="F362" s="48" t="inlineStr">
        <is>
          <t>千葉・長谷川</t>
        </is>
      </c>
      <c r="G362" s="48" t="inlineStr">
        <is>
          <t>一般廃・産廃</t>
        </is>
      </c>
      <c r="H362" s="50" t="n">
        <v>274</v>
      </c>
    </row>
    <row r="363" ht="18" customHeight="1">
      <c r="A363" s="45" t="inlineStr">
        <is>
          <t>GN-157</t>
        </is>
      </c>
      <c r="B363" s="46" t="inlineStr">
        <is>
          <t>ミスターミニット　用賀店</t>
        </is>
      </c>
      <c r="C363" s="47" t="inlineStr">
        <is>
          <t>一般事業者</t>
        </is>
      </c>
      <c r="D363" s="48" t="inlineStr">
        <is>
          <t>東京都世田谷区用賀２－３９</t>
        </is>
      </c>
      <c r="E363" s="49" t="inlineStr">
        <is>
          <t>木</t>
        </is>
      </c>
      <c r="F363" s="48" t="inlineStr">
        <is>
          <t>長野</t>
        </is>
      </c>
      <c r="G363" s="48" t="inlineStr">
        <is>
          <t>産廃</t>
        </is>
      </c>
      <c r="H363" s="50" t="n">
        <v>10</v>
      </c>
    </row>
    <row r="364" ht="18" customHeight="1">
      <c r="A364" s="45" t="inlineStr">
        <is>
          <t>GN-158</t>
        </is>
      </c>
      <c r="B364" s="46" t="inlineStr">
        <is>
          <t>ミスターミニット　蒲田駅店</t>
        </is>
      </c>
      <c r="C364" s="47" t="inlineStr">
        <is>
          <t>一般事業者</t>
        </is>
      </c>
      <c r="D364" s="48" t="inlineStr">
        <is>
          <t>東京都大田区西蒲田７－６９－１</t>
        </is>
      </c>
      <c r="E364" s="49" t="inlineStr">
        <is>
          <t>水</t>
        </is>
      </c>
      <c r="F364" s="48" t="inlineStr">
        <is>
          <t>千葉</t>
        </is>
      </c>
      <c r="G364" s="48" t="inlineStr">
        <is>
          <t>産廃</t>
        </is>
      </c>
      <c r="H364" s="50" t="n">
        <v>40</v>
      </c>
    </row>
    <row r="365" ht="18" customHeight="1">
      <c r="A365" s="45" t="inlineStr">
        <is>
          <t>GN-159</t>
        </is>
      </c>
      <c r="B365" s="46" t="inlineStr">
        <is>
          <t>ミスターワッフル　旗の台エキナカ店</t>
        </is>
      </c>
      <c r="C365" s="47" t="inlineStr">
        <is>
          <t>一般事業者</t>
        </is>
      </c>
      <c r="D365" s="48" t="inlineStr">
        <is>
          <t>東京都品川区旗の台２－１３－１</t>
        </is>
      </c>
      <c r="E365" s="49" t="inlineStr">
        <is>
          <t>木・金</t>
        </is>
      </c>
      <c r="F365" s="48" t="inlineStr">
        <is>
          <t>中條</t>
        </is>
      </c>
      <c r="G365" s="48" t="inlineStr">
        <is>
          <t>段ボール・瓶缶</t>
        </is>
      </c>
      <c r="H365" s="50" t="n">
        <v>25</v>
      </c>
    </row>
    <row r="366" ht="18" customHeight="1">
      <c r="A366" s="45" t="inlineStr">
        <is>
          <t>GN-160</t>
        </is>
      </c>
      <c r="B366" s="46" t="inlineStr">
        <is>
          <t>メガネスーパーコンタクト五反田エキナカ店</t>
        </is>
      </c>
      <c r="C366" s="47" t="inlineStr">
        <is>
          <t>一般事業者</t>
        </is>
      </c>
      <c r="D366" s="48" t="inlineStr">
        <is>
          <t>東京都品川区東五反田２－１－１</t>
        </is>
      </c>
      <c r="E366" s="49" t="inlineStr">
        <is>
          <t>木・火</t>
        </is>
      </c>
      <c r="F366" s="48" t="inlineStr">
        <is>
          <t>中條</t>
        </is>
      </c>
      <c r="G366" s="48" t="inlineStr">
        <is>
          <t>瓶缶・資源</t>
        </is>
      </c>
      <c r="H366" s="50" t="n">
        <v>5</v>
      </c>
    </row>
    <row r="367" ht="18" customHeight="1">
      <c r="A367" s="45" t="inlineStr">
        <is>
          <t>GN-161</t>
        </is>
      </c>
      <c r="B367" s="46" t="inlineStr">
        <is>
          <t>モヒロヒーコーヒー</t>
        </is>
      </c>
      <c r="C367" s="47" t="inlineStr">
        <is>
          <t>一般事業者</t>
        </is>
      </c>
      <c r="D367" s="48" t="inlineStr">
        <is>
          <t>東京都目黒区碑文谷６－６－４　GAKUDAI COLLECTIV A-2</t>
        </is>
      </c>
      <c r="E367" s="49" t="inlineStr">
        <is>
          <t>土・月・木・水・火・金</t>
        </is>
      </c>
      <c r="F367" s="48" t="inlineStr">
        <is>
          <t>千葉・長谷川</t>
        </is>
      </c>
      <c r="G367" s="48" t="inlineStr">
        <is>
          <t>一般廃・産廃</t>
        </is>
      </c>
      <c r="H367" s="50" t="n">
        <v>41</v>
      </c>
    </row>
    <row r="368" ht="18" customHeight="1">
      <c r="A368" s="45" t="inlineStr">
        <is>
          <t>GN-162</t>
        </is>
      </c>
      <c r="B368" s="46" t="inlineStr">
        <is>
          <t>ユナイテッドアローズ原宿本店</t>
        </is>
      </c>
      <c r="C368" s="47" t="inlineStr">
        <is>
          <t>一般事業者</t>
        </is>
      </c>
      <c r="D368" s="48" t="inlineStr">
        <is>
          <t>東京都渋谷区神宮前２－３１－１２</t>
        </is>
      </c>
      <c r="E368" s="49" t="inlineStr">
        <is>
          <t>土・月・木・水・火・金</t>
        </is>
      </c>
      <c r="F368" s="48" t="inlineStr">
        <is>
          <t>長谷川・長野</t>
        </is>
      </c>
      <c r="G368" s="48" t="inlineStr">
        <is>
          <t>一般廃・産廃</t>
        </is>
      </c>
      <c r="H368" s="50" t="n">
        <v>380</v>
      </c>
    </row>
    <row r="369" ht="18" customHeight="1">
      <c r="A369" s="45" t="inlineStr">
        <is>
          <t>GN-163</t>
        </is>
      </c>
      <c r="B369" s="46" t="inlineStr">
        <is>
          <t>ランキンランキン渋谷店</t>
        </is>
      </c>
      <c r="C369" s="47" t="inlineStr">
        <is>
          <t>一般事業者</t>
        </is>
      </c>
      <c r="D369" s="48" t="inlineStr">
        <is>
          <t>東京都渋谷区道玄坂２－１－１</t>
        </is>
      </c>
      <c r="E369" s="49" t="inlineStr">
        <is>
          <t>土・月・木・水・金</t>
        </is>
      </c>
      <c r="F369" s="48" t="inlineStr">
        <is>
          <t>中條・和田・荻野・長野</t>
        </is>
      </c>
      <c r="G369" s="48" t="inlineStr">
        <is>
          <t>段ボール・産廃・資源</t>
        </is>
      </c>
      <c r="H369" s="50" t="n">
        <v>44</v>
      </c>
    </row>
    <row r="370" ht="18" customHeight="1">
      <c r="A370" s="45" t="inlineStr">
        <is>
          <t>GN-164</t>
        </is>
      </c>
      <c r="B370" s="46" t="inlineStr">
        <is>
          <t>ランディーズドーナツ</t>
        </is>
      </c>
      <c r="C370" s="47" t="inlineStr">
        <is>
          <t>一般事業者</t>
        </is>
      </c>
      <c r="D370" s="48" t="inlineStr">
        <is>
          <t>東京都渋谷区代官山町１３－１代官山ログロードL２</t>
        </is>
      </c>
      <c r="E370" s="49" t="inlineStr">
        <is>
          <t>土・日・月・木・水・火・金</t>
        </is>
      </c>
      <c r="F370" s="48" t="inlineStr">
        <is>
          <t>中條・和田・荻野・長谷川・長野</t>
        </is>
      </c>
      <c r="G370" s="48" t="inlineStr">
        <is>
          <t>一般廃・段ボール・産廃</t>
        </is>
      </c>
      <c r="H370" s="50" t="n">
        <v>1342</v>
      </c>
    </row>
    <row r="371" ht="18" customHeight="1">
      <c r="A371" s="45" t="inlineStr">
        <is>
          <t>GN-165</t>
        </is>
      </c>
      <c r="B371" s="46" t="inlineStr">
        <is>
          <t>リアルゲイト</t>
        </is>
      </c>
      <c r="C371" s="47" t="inlineStr">
        <is>
          <t>一般事業者</t>
        </is>
      </c>
      <c r="D371" s="48" t="inlineStr">
        <is>
          <t>東京都目黒区上目黒３－４３－１６　L敷地　NAKAME GALLERY STREET</t>
        </is>
      </c>
      <c r="E371" s="49" t="inlineStr">
        <is>
          <t>土・月・木・水・火・金</t>
        </is>
      </c>
      <c r="F371" s="48" t="inlineStr">
        <is>
          <t>千葉・長谷川</t>
        </is>
      </c>
      <c r="G371" s="48" t="inlineStr">
        <is>
          <t>一般廃・産廃</t>
        </is>
      </c>
      <c r="H371" s="50" t="n">
        <v>5</v>
      </c>
    </row>
    <row r="372" ht="18" customHeight="1">
      <c r="A372" s="45" t="inlineStr">
        <is>
          <t>GN-166</t>
        </is>
      </c>
      <c r="B372" s="46" t="inlineStr">
        <is>
          <t>リトルマーメイド　多摩川店</t>
        </is>
      </c>
      <c r="C372" s="47" t="inlineStr">
        <is>
          <t>一般事業者</t>
        </is>
      </c>
      <c r="D372" s="48" t="inlineStr">
        <is>
          <t>東京都大田区田園調布１－５３－８</t>
        </is>
      </c>
      <c r="E372" s="49" t="inlineStr">
        <is>
          <t>土・木</t>
        </is>
      </c>
      <c r="F372" s="48" t="inlineStr">
        <is>
          <t>和田・荻野・長野</t>
        </is>
      </c>
      <c r="G372" s="48" t="inlineStr">
        <is>
          <t>段ボール・産廃</t>
        </is>
      </c>
      <c r="H372" s="50" t="n">
        <v>45</v>
      </c>
    </row>
    <row r="373" ht="18" customHeight="1">
      <c r="A373" s="45" t="inlineStr">
        <is>
          <t>GN-167</t>
        </is>
      </c>
      <c r="B373" s="46" t="inlineStr">
        <is>
          <t>リトルマーメイド多摩川店</t>
        </is>
      </c>
      <c r="C373" s="47" t="inlineStr">
        <is>
          <t>一般事業者</t>
        </is>
      </c>
      <c r="D373" s="48" t="inlineStr">
        <is>
          <t>東京都大田区田園調布１－５３－８</t>
        </is>
      </c>
      <c r="E373" s="49" t="inlineStr">
        <is>
          <t>・月・木・火</t>
        </is>
      </c>
      <c r="F373" s="48" t="inlineStr">
        <is>
          <t>中條・千葉</t>
        </is>
      </c>
      <c r="G373" s="48" t="inlineStr">
        <is>
          <t>段ボール・産廃・資源</t>
        </is>
      </c>
      <c r="H373" s="50" t="n">
        <v>70</v>
      </c>
    </row>
    <row r="374" ht="18" customHeight="1">
      <c r="A374" s="45" t="inlineStr">
        <is>
          <t>GN-168</t>
        </is>
      </c>
      <c r="B374" s="46" t="inlineStr">
        <is>
          <t>リンツショコラ　ブティック</t>
        </is>
      </c>
      <c r="C374" s="47" t="inlineStr">
        <is>
          <t>一般事業者</t>
        </is>
      </c>
      <c r="D374" s="48" t="inlineStr">
        <is>
          <t>東京都目黒区自由が丘１－９－８　自由が丘高架下南口</t>
        </is>
      </c>
      <c r="E374" s="49" t="inlineStr">
        <is>
          <t>・木・火</t>
        </is>
      </c>
      <c r="F374" s="48" t="inlineStr">
        <is>
          <t>千葉</t>
        </is>
      </c>
      <c r="G374" s="48" t="inlineStr">
        <is>
          <t>産廃</t>
        </is>
      </c>
      <c r="H374" s="50" t="n">
        <v>68</v>
      </c>
    </row>
    <row r="375" ht="18" customHeight="1">
      <c r="A375" s="45" t="inlineStr">
        <is>
          <t>GN-169</t>
        </is>
      </c>
      <c r="B375" s="46" t="inlineStr">
        <is>
          <t>ルナアース</t>
        </is>
      </c>
      <c r="C375" s="47" t="inlineStr">
        <is>
          <t>一般事業者</t>
        </is>
      </c>
      <c r="D375" s="48" t="inlineStr">
        <is>
          <t>東京都世田谷区上馬４－３　B区画</t>
        </is>
      </c>
      <c r="E375" s="49" t="inlineStr">
        <is>
          <t>土・月・木・水・火・金</t>
        </is>
      </c>
      <c r="F375" s="48" t="inlineStr">
        <is>
          <t>和田・荻野・長谷川・長野</t>
        </is>
      </c>
      <c r="G375" s="48" t="inlineStr">
        <is>
          <t>一般廃・段ボール・産廃</t>
        </is>
      </c>
      <c r="H375" s="50" t="n">
        <v>31</v>
      </c>
    </row>
    <row r="376" ht="18" customHeight="1">
      <c r="A376" s="45" t="inlineStr">
        <is>
          <t>GN-170</t>
        </is>
      </c>
      <c r="B376" s="46" t="inlineStr">
        <is>
          <t>レバレジーズ株式会社</t>
        </is>
      </c>
      <c r="C376" s="47" t="inlineStr">
        <is>
          <t>一般事業者</t>
        </is>
      </c>
      <c r="D376" s="48" t="inlineStr">
        <is>
          <t>東京都渋谷区渋谷３－６－７</t>
        </is>
      </c>
      <c r="E376" s="49" t="inlineStr">
        <is>
          <t>土・月・木・水・火・金</t>
        </is>
      </c>
      <c r="F376" s="48" t="inlineStr">
        <is>
          <t>藤内・長谷川・長野</t>
        </is>
      </c>
      <c r="G376" s="48" t="inlineStr">
        <is>
          <t>一般廃・段ボール・産廃</t>
        </is>
      </c>
      <c r="H376" s="50" t="n">
        <v>435</v>
      </c>
    </row>
    <row r="377" ht="18" customHeight="1">
      <c r="A377" s="45" t="inlineStr">
        <is>
          <t>GN-171</t>
        </is>
      </c>
      <c r="B377" s="46" t="inlineStr">
        <is>
          <t>ロッジ</t>
        </is>
      </c>
      <c r="C377" s="47" t="inlineStr">
        <is>
          <t>一般事業者</t>
        </is>
      </c>
      <c r="D377" s="48" t="inlineStr">
        <is>
          <t>東京都目黒区鷹番２－２１－１９－１０２A2</t>
        </is>
      </c>
      <c r="E377" s="49" t="inlineStr">
        <is>
          <t>月・水・金</t>
        </is>
      </c>
      <c r="F377" s="48" t="inlineStr">
        <is>
          <t>千葉</t>
        </is>
      </c>
      <c r="G377" s="48" t="inlineStr">
        <is>
          <t>産廃</t>
        </is>
      </c>
      <c r="H377" s="50" t="n">
        <v>0</v>
      </c>
    </row>
    <row r="378" ht="18" customHeight="1">
      <c r="A378" s="45" t="inlineStr">
        <is>
          <t>GN-172</t>
        </is>
      </c>
      <c r="B378" s="46" t="inlineStr">
        <is>
          <t>ローソン　下高井戸駅前店</t>
        </is>
      </c>
      <c r="C378" s="47" t="inlineStr">
        <is>
          <t>一般事業者</t>
        </is>
      </c>
      <c r="D378" s="48" t="inlineStr">
        <is>
          <t>東京都世田谷区松原３－２９－１７</t>
        </is>
      </c>
      <c r="E378" s="49" t="inlineStr">
        <is>
          <t>土・木・火</t>
        </is>
      </c>
      <c r="F378" s="48" t="inlineStr">
        <is>
          <t>和田・荻野・長谷川・長野</t>
        </is>
      </c>
      <c r="G378" s="48" t="inlineStr">
        <is>
          <t>一般廃・段ボール・産廃</t>
        </is>
      </c>
      <c r="H378" s="50" t="n">
        <v>160</v>
      </c>
    </row>
    <row r="379" ht="18" customHeight="1">
      <c r="A379" s="45" t="inlineStr">
        <is>
          <t>GN-173</t>
        </is>
      </c>
      <c r="B379" s="46" t="inlineStr">
        <is>
          <t>ローソン＋多摩川駅店</t>
        </is>
      </c>
      <c r="C379" s="47" t="inlineStr">
        <is>
          <t>一般事業者</t>
        </is>
      </c>
      <c r="D379" s="48" t="inlineStr">
        <is>
          <t>東京都大田区田園調布１－５３－８</t>
        </is>
      </c>
      <c r="E379" s="49" t="inlineStr">
        <is>
          <t>・月・木・火</t>
        </is>
      </c>
      <c r="F379" s="48" t="inlineStr">
        <is>
          <t>中條・千葉</t>
        </is>
      </c>
      <c r="G379" s="48" t="inlineStr">
        <is>
          <t>段ボール・産廃・資源</t>
        </is>
      </c>
      <c r="H379" s="50" t="n">
        <v>134</v>
      </c>
    </row>
    <row r="380" ht="18" customHeight="1">
      <c r="A380" s="45" t="inlineStr">
        <is>
          <t>GN-174</t>
        </is>
      </c>
      <c r="B380" s="46" t="inlineStr">
        <is>
          <t>ヴィノスやまざき</t>
        </is>
      </c>
      <c r="C380" s="47" t="inlineStr">
        <is>
          <t>一般事業者</t>
        </is>
      </c>
      <c r="D380" s="48" t="inlineStr">
        <is>
          <t>東京都目黒区上目黒３－４－１　５D－４，５</t>
        </is>
      </c>
      <c r="E380" s="49" t="inlineStr">
        <is>
          <t>土・日・月・木・水・火・金</t>
        </is>
      </c>
      <c r="F380" s="48" t="inlineStr">
        <is>
          <t>中條・千葉・長谷川</t>
        </is>
      </c>
      <c r="G380" s="48" t="inlineStr">
        <is>
          <t>一般廃・瓶缶・産廃</t>
        </is>
      </c>
      <c r="H380" s="50" t="n">
        <v>26</v>
      </c>
    </row>
    <row r="381" ht="18" customHeight="1">
      <c r="A381" s="45" t="inlineStr">
        <is>
          <t>GN-175</t>
        </is>
      </c>
      <c r="B381" s="46" t="inlineStr">
        <is>
          <t>三ノ輪橋おもいで館</t>
        </is>
      </c>
      <c r="C381" s="47" t="inlineStr">
        <is>
          <t>一般事業者</t>
        </is>
      </c>
      <c r="D381" s="48" t="inlineStr">
        <is>
          <t>東京都荒川区南千住１－１２－６</t>
        </is>
      </c>
      <c r="E381" s="49" t="inlineStr">
        <is>
          <t>土・金</t>
        </is>
      </c>
      <c r="F381" s="48" t="inlineStr">
        <is>
          <t>宮原・岡田</t>
        </is>
      </c>
      <c r="G381" s="48" t="inlineStr">
        <is>
          <t>一般廃・産廃</t>
        </is>
      </c>
      <c r="H381" s="50" t="n">
        <v>14</v>
      </c>
    </row>
    <row r="382" ht="18" customHeight="1">
      <c r="A382" s="45" t="inlineStr">
        <is>
          <t>GN-176</t>
        </is>
      </c>
      <c r="B382" s="46" t="inlineStr">
        <is>
          <t>三上工業所</t>
        </is>
      </c>
      <c r="C382" s="47" t="inlineStr">
        <is>
          <t>一般事業者</t>
        </is>
      </c>
      <c r="D382" s="48" t="inlineStr">
        <is>
          <t>東京都目黒区大岡山１－３７－８</t>
        </is>
      </c>
      <c r="E382" s="49" t="inlineStr">
        <is>
          <t>土・月・木・水・火・金</t>
        </is>
      </c>
      <c r="F382" s="48" t="inlineStr">
        <is>
          <t>千葉・藤内</t>
        </is>
      </c>
      <c r="G382" s="48" t="inlineStr">
        <is>
          <t>段ボール・産廃</t>
        </is>
      </c>
      <c r="H382" s="50" t="n">
        <v>100</v>
      </c>
    </row>
    <row r="383" ht="18" customHeight="1">
      <c r="A383" s="45" t="inlineStr">
        <is>
          <t>GN-177</t>
        </is>
      </c>
      <c r="B383" s="46" t="inlineStr">
        <is>
          <t>世界平和統一家庭連合</t>
        </is>
      </c>
      <c r="C383" s="47" t="inlineStr">
        <is>
          <t>一般事業者</t>
        </is>
      </c>
      <c r="D383" s="48" t="inlineStr">
        <is>
          <t>東京都渋谷区松濤１－１－２</t>
        </is>
      </c>
      <c r="E383" s="49" t="inlineStr">
        <is>
          <t>土・月・木・水・火・金</t>
        </is>
      </c>
      <c r="F383" s="48" t="inlineStr">
        <is>
          <t>和田・荻野・岡田・長野</t>
        </is>
      </c>
      <c r="G383" s="48" t="inlineStr">
        <is>
          <t>一般廃・段ボール・産廃</t>
        </is>
      </c>
      <c r="H383" s="50" t="n">
        <v>322</v>
      </c>
    </row>
    <row r="384" ht="18" customHeight="1">
      <c r="A384" s="45" t="inlineStr">
        <is>
          <t>GN-178</t>
        </is>
      </c>
      <c r="B384" s="46" t="inlineStr">
        <is>
          <t>中延駐輪場</t>
        </is>
      </c>
      <c r="C384" s="47" t="inlineStr">
        <is>
          <t>一般事業者</t>
        </is>
      </c>
      <c r="D384" s="48" t="inlineStr">
        <is>
          <t>東京都品川区中延４－５－５</t>
        </is>
      </c>
      <c r="E384" s="49" t="inlineStr">
        <is>
          <t>金</t>
        </is>
      </c>
      <c r="F384" s="48" t="inlineStr">
        <is>
          <t>中條</t>
        </is>
      </c>
      <c r="G384" s="48" t="inlineStr">
        <is>
          <t>不燃物</t>
        </is>
      </c>
      <c r="H384" s="50" t="n">
        <v>0</v>
      </c>
    </row>
    <row r="385" ht="18" customHeight="1">
      <c r="A385" s="45" t="inlineStr">
        <is>
          <t>GN-179</t>
        </is>
      </c>
      <c r="B385" s="46" t="inlineStr">
        <is>
          <t>中目黒　蔦屋書店</t>
        </is>
      </c>
      <c r="C385" s="47" t="inlineStr">
        <is>
          <t>一般事業者</t>
        </is>
      </c>
      <c r="D385" s="48" t="inlineStr">
        <is>
          <t>東京都目黒区上目黒１－２２－６＆１０</t>
        </is>
      </c>
      <c r="E385" s="49" t="inlineStr">
        <is>
          <t>土・日・月・木・水・火・金</t>
        </is>
      </c>
      <c r="F385" s="48" t="inlineStr">
        <is>
          <t>中條・千葉・長谷川・長野</t>
        </is>
      </c>
      <c r="G385" s="48" t="inlineStr">
        <is>
          <t>一般廃・産廃</t>
        </is>
      </c>
      <c r="H385" s="50" t="n">
        <v>736</v>
      </c>
    </row>
    <row r="386" ht="18" customHeight="1">
      <c r="A386" s="45" t="inlineStr">
        <is>
          <t>GN-180</t>
        </is>
      </c>
      <c r="B386" s="46" t="inlineStr">
        <is>
          <t>中目黒ないとう</t>
        </is>
      </c>
      <c r="C386" s="47" t="inlineStr">
        <is>
          <t>一般事業者</t>
        </is>
      </c>
      <c r="D386" s="48" t="inlineStr">
        <is>
          <t>東京都目黒区上目黒３－５－２　０H－２</t>
        </is>
      </c>
      <c r="E386" s="49" t="inlineStr">
        <is>
          <t>・土・月・木・水・火・金</t>
        </is>
      </c>
      <c r="F386" s="48" t="inlineStr">
        <is>
          <t>千葉・長谷川</t>
        </is>
      </c>
      <c r="G386" s="48" t="inlineStr">
        <is>
          <t>一般廃・産廃</t>
        </is>
      </c>
      <c r="H386" s="50" t="n">
        <v>35</v>
      </c>
    </row>
    <row r="387" ht="18" customHeight="1">
      <c r="A387" s="45" t="inlineStr">
        <is>
          <t>GN-181</t>
        </is>
      </c>
      <c r="B387" s="46" t="inlineStr">
        <is>
          <t>中目黒高架下A</t>
        </is>
      </c>
      <c r="C387" s="47" t="inlineStr">
        <is>
          <t>一般事業者</t>
        </is>
      </c>
      <c r="D387" s="48" t="inlineStr">
        <is>
          <t>東京都目黒区上目黒１－６－１０</t>
        </is>
      </c>
      <c r="E387" s="49" t="inlineStr">
        <is>
          <t>土・月・木・水・火・金</t>
        </is>
      </c>
      <c r="F387" s="48" t="inlineStr">
        <is>
          <t>藤内</t>
        </is>
      </c>
      <c r="G387" s="48" t="inlineStr">
        <is>
          <t>段ボール</t>
        </is>
      </c>
      <c r="H387" s="50" t="n">
        <v>25</v>
      </c>
    </row>
    <row r="388" ht="18" customHeight="1">
      <c r="A388" s="45" t="inlineStr">
        <is>
          <t>GN-182</t>
        </is>
      </c>
      <c r="B388" s="46" t="inlineStr">
        <is>
          <t>中目黒高架下B</t>
        </is>
      </c>
      <c r="C388" s="47" t="inlineStr">
        <is>
          <t>一般事業者</t>
        </is>
      </c>
      <c r="D388" s="48" t="inlineStr">
        <is>
          <t>東京都目黒区上目黒１－２２－１２</t>
        </is>
      </c>
      <c r="E388" s="49" t="inlineStr">
        <is>
          <t>土・月・木・水・火・金</t>
        </is>
      </c>
      <c r="F388" s="48" t="inlineStr">
        <is>
          <t>藤内</t>
        </is>
      </c>
      <c r="G388" s="48" t="inlineStr">
        <is>
          <t>段ボール</t>
        </is>
      </c>
      <c r="H388" s="50" t="n">
        <v>230</v>
      </c>
    </row>
    <row r="389" ht="18" customHeight="1">
      <c r="A389" s="45" t="inlineStr">
        <is>
          <t>GN-183</t>
        </is>
      </c>
      <c r="B389" s="46" t="inlineStr">
        <is>
          <t>中目黒高架下D</t>
        </is>
      </c>
      <c r="C389" s="47" t="inlineStr">
        <is>
          <t>一般事業者</t>
        </is>
      </c>
      <c r="D389" s="48" t="inlineStr">
        <is>
          <t>東京都目黒区上目黒１－２２－１２</t>
        </is>
      </c>
      <c r="E389" s="49" t="inlineStr">
        <is>
          <t>土・月・木・水・火・金</t>
        </is>
      </c>
      <c r="F389" s="48" t="inlineStr">
        <is>
          <t>藤内</t>
        </is>
      </c>
      <c r="G389" s="48" t="inlineStr">
        <is>
          <t>段ボール</t>
        </is>
      </c>
      <c r="H389" s="50" t="n">
        <v>170</v>
      </c>
    </row>
    <row r="390" ht="18" customHeight="1">
      <c r="A390" s="45" t="inlineStr">
        <is>
          <t>GN-184</t>
        </is>
      </c>
      <c r="B390" s="46" t="inlineStr">
        <is>
          <t>中目黒高架下F</t>
        </is>
      </c>
      <c r="C390" s="47" t="inlineStr">
        <is>
          <t>一般事業者</t>
        </is>
      </c>
      <c r="D390" s="48" t="inlineStr">
        <is>
          <t>東京都目黒区上目黒３－５－２５</t>
        </is>
      </c>
      <c r="E390" s="49" t="inlineStr">
        <is>
          <t>土・月・木・水・火・金</t>
        </is>
      </c>
      <c r="F390" s="48" t="inlineStr">
        <is>
          <t>藤内</t>
        </is>
      </c>
      <c r="G390" s="48" t="inlineStr">
        <is>
          <t>段ボール</t>
        </is>
      </c>
      <c r="H390" s="50" t="n">
        <v>80</v>
      </c>
    </row>
    <row r="391" ht="18" customHeight="1">
      <c r="A391" s="45" t="inlineStr">
        <is>
          <t>GN-185</t>
        </is>
      </c>
      <c r="B391" s="46" t="inlineStr">
        <is>
          <t>中目黒高架下G</t>
        </is>
      </c>
      <c r="C391" s="47" t="inlineStr">
        <is>
          <t>一般事業者</t>
        </is>
      </c>
      <c r="D391" s="48" t="inlineStr">
        <is>
          <t>東京都目黒区上目黒３－５－２２</t>
        </is>
      </c>
      <c r="E391" s="49" t="inlineStr">
        <is>
          <t>土・月・木・水・火・金</t>
        </is>
      </c>
      <c r="F391" s="48" t="inlineStr">
        <is>
          <t>藤内</t>
        </is>
      </c>
      <c r="G391" s="48" t="inlineStr">
        <is>
          <t>段ボール</t>
        </is>
      </c>
      <c r="H391" s="50" t="n">
        <v>75</v>
      </c>
    </row>
    <row r="392" ht="18" customHeight="1">
      <c r="A392" s="45" t="inlineStr">
        <is>
          <t>GN-186</t>
        </is>
      </c>
      <c r="B392" s="46" t="inlineStr">
        <is>
          <t>中目黒高架下H</t>
        </is>
      </c>
      <c r="C392" s="47" t="inlineStr">
        <is>
          <t>一般事業者</t>
        </is>
      </c>
      <c r="D392" s="48" t="inlineStr">
        <is>
          <t>東京都目黒区上目黒３－５－２０</t>
        </is>
      </c>
      <c r="E392" s="49" t="inlineStr">
        <is>
          <t>土・月・木・水・火・金</t>
        </is>
      </c>
      <c r="F392" s="48" t="inlineStr">
        <is>
          <t>藤内</t>
        </is>
      </c>
      <c r="G392" s="48" t="inlineStr">
        <is>
          <t>段ボール</t>
        </is>
      </c>
      <c r="H392" s="50" t="n">
        <v>30</v>
      </c>
    </row>
    <row r="393" ht="18" customHeight="1">
      <c r="A393" s="45" t="inlineStr">
        <is>
          <t>GN-187</t>
        </is>
      </c>
      <c r="B393" s="46" t="inlineStr">
        <is>
          <t>中目黒高架下J</t>
        </is>
      </c>
      <c r="C393" s="47" t="inlineStr">
        <is>
          <t>一般事業者</t>
        </is>
      </c>
      <c r="D393" s="48" t="inlineStr">
        <is>
          <t>東京都目黒区上目黒２－４５－１２</t>
        </is>
      </c>
      <c r="E393" s="49" t="inlineStr">
        <is>
          <t>土・月・木・水・火・金</t>
        </is>
      </c>
      <c r="F393" s="48" t="inlineStr">
        <is>
          <t>藤内</t>
        </is>
      </c>
      <c r="G393" s="48" t="inlineStr">
        <is>
          <t>段ボール</t>
        </is>
      </c>
      <c r="H393" s="50" t="n">
        <v>15</v>
      </c>
    </row>
    <row r="394" ht="18" customHeight="1">
      <c r="A394" s="45" t="inlineStr">
        <is>
          <t>GN-188</t>
        </is>
      </c>
      <c r="B394" s="46" t="inlineStr">
        <is>
          <t>中目黒高架下　共有部ーD</t>
        </is>
      </c>
      <c r="C394" s="47" t="inlineStr">
        <is>
          <t>一般事業者</t>
        </is>
      </c>
      <c r="D394" s="48" t="inlineStr">
        <is>
          <t>東京都目黒区上目黒３－４－１　５D</t>
        </is>
      </c>
      <c r="E394" s="49" t="inlineStr">
        <is>
          <t>土・日・月・木・水・火・金</t>
        </is>
      </c>
      <c r="F394" s="48" t="inlineStr">
        <is>
          <t>中條・千葉・長谷川</t>
        </is>
      </c>
      <c r="G394" s="48" t="inlineStr">
        <is>
          <t>一般廃・瓶缶・産廃</t>
        </is>
      </c>
      <c r="H394" s="50" t="n">
        <v>0</v>
      </c>
    </row>
    <row r="395" ht="18" customHeight="1">
      <c r="A395" s="45" t="inlineStr">
        <is>
          <t>GN-189</t>
        </is>
      </c>
      <c r="B395" s="46" t="inlineStr">
        <is>
          <t>中目黒高架下　共用部ーA</t>
        </is>
      </c>
      <c r="C395" s="47" t="inlineStr">
        <is>
          <t>一般事業者</t>
        </is>
      </c>
      <c r="D395" s="48" t="inlineStr">
        <is>
          <t>東京都目黒区上目黒１－６－１　０A</t>
        </is>
      </c>
      <c r="E395" s="49" t="inlineStr">
        <is>
          <t>土・月・木・水・火・金</t>
        </is>
      </c>
      <c r="F395" s="48" t="inlineStr">
        <is>
          <t>長谷川・長野</t>
        </is>
      </c>
      <c r="G395" s="48" t="inlineStr">
        <is>
          <t>一般廃・産廃</t>
        </is>
      </c>
      <c r="H395" s="50" t="n">
        <v>0</v>
      </c>
    </row>
    <row r="396" ht="18" customHeight="1">
      <c r="A396" s="45" t="inlineStr">
        <is>
          <t>GN-190</t>
        </is>
      </c>
      <c r="B396" s="46" t="inlineStr">
        <is>
          <t>中目黒高架下　共用部ーB</t>
        </is>
      </c>
      <c r="C396" s="47" t="inlineStr">
        <is>
          <t>一般事業者</t>
        </is>
      </c>
      <c r="D396" s="48" t="inlineStr">
        <is>
          <t>東京都目黒区上目黒１－２２－１２　B</t>
        </is>
      </c>
      <c r="E396" s="49" t="inlineStr">
        <is>
          <t>土・日・月・木・水・火・金</t>
        </is>
      </c>
      <c r="F396" s="48" t="inlineStr">
        <is>
          <t>中條・千葉・長谷川・長野</t>
        </is>
      </c>
      <c r="G396" s="48" t="inlineStr">
        <is>
          <t>一般廃・産廃</t>
        </is>
      </c>
      <c r="H396" s="50" t="n">
        <v>20</v>
      </c>
    </row>
    <row r="397" ht="18" customHeight="1">
      <c r="A397" s="45" t="inlineStr">
        <is>
          <t>GN-191</t>
        </is>
      </c>
      <c r="B397" s="46" t="inlineStr">
        <is>
          <t>中目黒高架下　共用部ーF</t>
        </is>
      </c>
      <c r="C397" s="47" t="inlineStr">
        <is>
          <t>一般事業者</t>
        </is>
      </c>
      <c r="D397" s="48" t="inlineStr">
        <is>
          <t>東京都目黒区上目黒３－５－２　５F</t>
        </is>
      </c>
      <c r="E397" s="49" t="inlineStr">
        <is>
          <t>・土・日・月・木・水・火・金</t>
        </is>
      </c>
      <c r="F397" s="48" t="inlineStr">
        <is>
          <t>中條・千葉・長谷川</t>
        </is>
      </c>
      <c r="G397" s="48" t="inlineStr">
        <is>
          <t>一般廃・瓶缶・産廃</t>
        </is>
      </c>
      <c r="H397" s="50" t="n">
        <v>10</v>
      </c>
    </row>
    <row r="398" ht="18" customHeight="1">
      <c r="A398" s="45" t="inlineStr">
        <is>
          <t>GN-192</t>
        </is>
      </c>
      <c r="B398" s="46" t="inlineStr">
        <is>
          <t>中目黒高架下　共用部ーG</t>
        </is>
      </c>
      <c r="C398" s="47" t="inlineStr">
        <is>
          <t>一般事業者</t>
        </is>
      </c>
      <c r="D398" s="48" t="inlineStr">
        <is>
          <t>東京都目黒区上目黒３－５－２　２G</t>
        </is>
      </c>
      <c r="E398" s="49" t="inlineStr">
        <is>
          <t>・土・日・月・木・水・火・金</t>
        </is>
      </c>
      <c r="F398" s="48" t="inlineStr">
        <is>
          <t>中條・千葉・長谷川</t>
        </is>
      </c>
      <c r="G398" s="48" t="inlineStr">
        <is>
          <t>一般廃・瓶缶・産廃</t>
        </is>
      </c>
      <c r="H398" s="50" t="n">
        <v>20</v>
      </c>
    </row>
    <row r="399" ht="18" customHeight="1">
      <c r="A399" s="45" t="inlineStr">
        <is>
          <t>GN-193</t>
        </is>
      </c>
      <c r="B399" s="46" t="inlineStr">
        <is>
          <t>中目黒高架下　共用部ーH</t>
        </is>
      </c>
      <c r="C399" s="47" t="inlineStr">
        <is>
          <t>一般事業者</t>
        </is>
      </c>
      <c r="D399" s="48" t="inlineStr">
        <is>
          <t>東京都目黒区上目黒３－５－２　０H</t>
        </is>
      </c>
      <c r="E399" s="49" t="inlineStr">
        <is>
          <t>・土・月・木・水・火・金</t>
        </is>
      </c>
      <c r="F399" s="48" t="inlineStr">
        <is>
          <t>千葉・長谷川</t>
        </is>
      </c>
      <c r="G399" s="48" t="inlineStr">
        <is>
          <t>一般廃・産廃</t>
        </is>
      </c>
      <c r="H399" s="50" t="n">
        <v>0</v>
      </c>
    </row>
    <row r="400" ht="18" customHeight="1">
      <c r="A400" s="45" t="inlineStr">
        <is>
          <t>GN-194</t>
        </is>
      </c>
      <c r="B400" s="46" t="inlineStr">
        <is>
          <t>丸三ストアー</t>
        </is>
      </c>
      <c r="C400" s="47" t="inlineStr">
        <is>
          <t>一般事業者</t>
        </is>
      </c>
      <c r="D400" s="48" t="inlineStr">
        <is>
          <t>東京都大田区東雪谷３－３１－６</t>
        </is>
      </c>
      <c r="E400" s="49" t="inlineStr">
        <is>
          <t>月</t>
        </is>
      </c>
      <c r="F400" s="48" t="inlineStr">
        <is>
          <t>千葉</t>
        </is>
      </c>
      <c r="G400" s="48" t="inlineStr">
        <is>
          <t>産廃</t>
        </is>
      </c>
      <c r="H400" s="50" t="n">
        <v>60</v>
      </c>
    </row>
    <row r="401" ht="18" customHeight="1">
      <c r="A401" s="45" t="inlineStr">
        <is>
          <t>GN-195</t>
        </is>
      </c>
      <c r="B401" s="46" t="inlineStr">
        <is>
          <t>丸山珈琲</t>
        </is>
      </c>
      <c r="C401" s="47" t="inlineStr">
        <is>
          <t>一般事業者</t>
        </is>
      </c>
      <c r="D401" s="48" t="inlineStr">
        <is>
          <t>東京都目黒区自由が丘１－３０－１</t>
        </is>
      </c>
      <c r="E401" s="49" t="inlineStr">
        <is>
          <t>・日・木・火</t>
        </is>
      </c>
      <c r="F401" s="48" t="inlineStr">
        <is>
          <t>中條・千葉</t>
        </is>
      </c>
      <c r="G401" s="48" t="inlineStr">
        <is>
          <t>一般廃・産廃</t>
        </is>
      </c>
      <c r="H401" s="50" t="n">
        <v>11</v>
      </c>
    </row>
    <row r="402" ht="18" customHeight="1">
      <c r="A402" s="45" t="inlineStr">
        <is>
          <t>GN-196</t>
        </is>
      </c>
      <c r="B402" s="46" t="inlineStr">
        <is>
          <t>九州屋　学芸大学店</t>
        </is>
      </c>
      <c r="C402" s="47" t="inlineStr">
        <is>
          <t>一般事業者</t>
        </is>
      </c>
      <c r="D402" s="48" t="inlineStr">
        <is>
          <t>東京都目黒区鷹番３－２－１学大市場　１３－０９</t>
        </is>
      </c>
      <c r="E402" s="49" t="inlineStr">
        <is>
          <t>・土・日・月・木・水・火・金</t>
        </is>
      </c>
      <c r="F402" s="48" t="inlineStr">
        <is>
          <t>中條・千葉・長谷川</t>
        </is>
      </c>
      <c r="G402" s="48" t="inlineStr">
        <is>
          <t>一般廃・産廃</t>
        </is>
      </c>
      <c r="H402" s="50" t="n">
        <v>307</v>
      </c>
    </row>
    <row r="403" ht="18" customHeight="1">
      <c r="A403" s="45" t="inlineStr">
        <is>
          <t>GN-197</t>
        </is>
      </c>
      <c r="B403" s="46" t="inlineStr">
        <is>
          <t>二子玉川乗務区</t>
        </is>
      </c>
      <c r="C403" s="47" t="inlineStr">
        <is>
          <t>一般事業者</t>
        </is>
      </c>
      <c r="D403" s="48" t="inlineStr">
        <is>
          <t>東京都世田谷区玉川１－１１－５</t>
        </is>
      </c>
      <c r="E403" s="49" t="inlineStr">
        <is>
          <t>・火</t>
        </is>
      </c>
      <c r="F403" s="48" t="inlineStr">
        <is>
          <t>千葉</t>
        </is>
      </c>
      <c r="G403" s="48" t="inlineStr">
        <is>
          <t>産廃</t>
        </is>
      </c>
      <c r="H403" s="50" t="n">
        <v>6</v>
      </c>
    </row>
    <row r="404" ht="18" customHeight="1">
      <c r="A404" s="45" t="inlineStr">
        <is>
          <t>GN-198</t>
        </is>
      </c>
      <c r="B404" s="46" t="inlineStr">
        <is>
          <t>二子玉川駅駐輪場</t>
        </is>
      </c>
      <c r="C404" s="47" t="inlineStr">
        <is>
          <t>一般事業者</t>
        </is>
      </c>
      <c r="D404" s="48" t="inlineStr">
        <is>
          <t>東京都世田谷区玉川２－２４－１</t>
        </is>
      </c>
      <c r="E404" s="49" t="inlineStr">
        <is>
          <t>・火</t>
        </is>
      </c>
      <c r="F404" s="48" t="inlineStr">
        <is>
          <t>千葉</t>
        </is>
      </c>
      <c r="G404" s="48" t="inlineStr">
        <is>
          <t>産廃</t>
        </is>
      </c>
      <c r="H404" s="50" t="n">
        <v>12</v>
      </c>
    </row>
    <row r="405" ht="18" customHeight="1">
      <c r="A405" s="45" t="inlineStr">
        <is>
          <t>GN-199</t>
        </is>
      </c>
      <c r="B405" s="46" t="inlineStr">
        <is>
          <t>京み</t>
        </is>
      </c>
      <c r="C405" s="47" t="inlineStr">
        <is>
          <t>一般事業者</t>
        </is>
      </c>
      <c r="D405" s="48" t="inlineStr">
        <is>
          <t>東京都目黒区鷹番２－２１－１５　１１０D２</t>
        </is>
      </c>
      <c r="E405" s="49" t="inlineStr">
        <is>
          <t>土・月・木・水・火・金</t>
        </is>
      </c>
      <c r="F405" s="48" t="inlineStr">
        <is>
          <t>中條・千葉・長谷川</t>
        </is>
      </c>
      <c r="G405" s="48" t="inlineStr">
        <is>
          <t>一般廃・瓶缶・産廃</t>
        </is>
      </c>
      <c r="H405" s="50" t="n">
        <v>14</v>
      </c>
    </row>
    <row r="406" ht="18" customHeight="1">
      <c r="A406" s="45" t="inlineStr">
        <is>
          <t>GN-200</t>
        </is>
      </c>
      <c r="B406" s="46" t="inlineStr">
        <is>
          <t>代々幡斎場</t>
        </is>
      </c>
      <c r="C406" s="47" t="inlineStr">
        <is>
          <t>一般事業者</t>
        </is>
      </c>
      <c r="D406" s="48" t="inlineStr">
        <is>
          <t>東京都渋谷区西原２－４２－１</t>
        </is>
      </c>
      <c r="E406" s="49" t="inlineStr">
        <is>
          <t>土</t>
        </is>
      </c>
      <c r="F406" s="48" t="inlineStr">
        <is>
          <t>山口</t>
        </is>
      </c>
      <c r="G406" s="48" t="inlineStr">
        <is>
          <t>不燃物</t>
        </is>
      </c>
      <c r="H406" s="50" t="n">
        <v>120</v>
      </c>
    </row>
    <row r="407" ht="18" customHeight="1">
      <c r="A407" s="45" t="inlineStr">
        <is>
          <t>GN-201</t>
        </is>
      </c>
      <c r="B407" s="46" t="inlineStr">
        <is>
          <t>代々木斎場</t>
        </is>
      </c>
      <c r="C407" s="47" t="inlineStr">
        <is>
          <t>一般事業者</t>
        </is>
      </c>
      <c r="D407" s="48" t="inlineStr">
        <is>
          <t>東京都渋谷区西原２－４２－１</t>
        </is>
      </c>
      <c r="E407" s="49" t="inlineStr">
        <is>
          <t>土・木・火</t>
        </is>
      </c>
      <c r="F407" s="48" t="inlineStr">
        <is>
          <t>白</t>
        </is>
      </c>
      <c r="G407" s="48" t="inlineStr">
        <is>
          <t>一般廃</t>
        </is>
      </c>
      <c r="H407" s="50" t="n">
        <v>220</v>
      </c>
    </row>
    <row r="408" ht="18" customHeight="1">
      <c r="A408" s="45" t="inlineStr">
        <is>
          <t>GN-202</t>
        </is>
      </c>
      <c r="B408" s="46" t="inlineStr">
        <is>
          <t>代官山ログロード共用部</t>
        </is>
      </c>
      <c r="C408" s="47" t="inlineStr">
        <is>
          <t>一般事業者</t>
        </is>
      </c>
      <c r="D408" s="48" t="inlineStr">
        <is>
          <t>東京都渋谷区代官山町１３－１代官山ログロード</t>
        </is>
      </c>
      <c r="E408" s="49" t="inlineStr">
        <is>
          <t>土・日・月・木・水・火・金</t>
        </is>
      </c>
      <c r="F408" s="48" t="inlineStr">
        <is>
          <t>中條・和田・荻野・藤内・長谷川・長野</t>
        </is>
      </c>
      <c r="G408" s="48" t="inlineStr">
        <is>
          <t>一般廃・段ボール・産廃</t>
        </is>
      </c>
      <c r="H408" s="50" t="n">
        <v>46</v>
      </c>
    </row>
    <row r="409" ht="18" customHeight="1">
      <c r="A409" s="45" t="inlineStr">
        <is>
          <t>GN-203</t>
        </is>
      </c>
      <c r="B409" s="46" t="inlineStr">
        <is>
          <t>件（くだん）学芸大学店</t>
        </is>
      </c>
      <c r="C409" s="47" t="inlineStr">
        <is>
          <t>一般事業者</t>
        </is>
      </c>
      <c r="D409" s="48" t="inlineStr">
        <is>
          <t>東京都目黒区鷹番３－７－４関口ビル１F</t>
        </is>
      </c>
      <c r="E409" s="49" t="inlineStr">
        <is>
          <t>土・月・木・水・火・金</t>
        </is>
      </c>
      <c r="F409" s="48" t="inlineStr">
        <is>
          <t>千葉・長谷川</t>
        </is>
      </c>
      <c r="G409" s="48" t="inlineStr">
        <is>
          <t>一般廃・産廃</t>
        </is>
      </c>
      <c r="H409" s="50" t="n">
        <v>37</v>
      </c>
    </row>
    <row r="410" ht="18" customHeight="1">
      <c r="A410" s="45" t="inlineStr">
        <is>
          <t>GN-204</t>
        </is>
      </c>
      <c r="B410" s="46" t="inlineStr">
        <is>
          <t>住まいと暮らしのコンシェルジュ</t>
        </is>
      </c>
      <c r="C410" s="47" t="inlineStr">
        <is>
          <t>一般事業者</t>
        </is>
      </c>
      <c r="D410" s="48" t="inlineStr">
        <is>
          <t>東京都大田区西蒲田７－６９－１</t>
        </is>
      </c>
      <c r="E410" s="49" t="inlineStr">
        <is>
          <t>水</t>
        </is>
      </c>
      <c r="F410" s="48" t="inlineStr">
        <is>
          <t>千葉</t>
        </is>
      </c>
      <c r="G410" s="48" t="inlineStr">
        <is>
          <t>産廃</t>
        </is>
      </c>
      <c r="H410" s="50" t="n">
        <v>10</v>
      </c>
    </row>
    <row r="411" ht="18" customHeight="1">
      <c r="A411" s="45" t="inlineStr">
        <is>
          <t>GN-205</t>
        </is>
      </c>
      <c r="B411" s="46" t="inlineStr">
        <is>
          <t>倉敷珈琲店</t>
        </is>
      </c>
      <c r="C411" s="47" t="inlineStr">
        <is>
          <t>一般事業者</t>
        </is>
      </c>
      <c r="D411" s="48" t="inlineStr">
        <is>
          <t>東京都目黒区中根１－５－２　都立大高架下A館</t>
        </is>
      </c>
      <c r="E411" s="49" t="inlineStr">
        <is>
          <t>土・日・月・木・水・火・金</t>
        </is>
      </c>
      <c r="F411" s="48" t="inlineStr">
        <is>
          <t>中條・千葉・長谷川</t>
        </is>
      </c>
      <c r="G411" s="48" t="inlineStr">
        <is>
          <t>一般廃・瓶缶・産廃</t>
        </is>
      </c>
      <c r="H411" s="50" t="n">
        <v>272</v>
      </c>
    </row>
    <row r="412" ht="18" customHeight="1">
      <c r="A412" s="45" t="inlineStr">
        <is>
          <t>GN-206</t>
        </is>
      </c>
      <c r="B412" s="46" t="inlineStr">
        <is>
          <t>光言社</t>
        </is>
      </c>
      <c r="C412" s="47" t="inlineStr">
        <is>
          <t>一般事業者</t>
        </is>
      </c>
      <c r="D412" s="48" t="inlineStr">
        <is>
          <t>東京都渋谷区宇田川町３７－１８トツネビル３F</t>
        </is>
      </c>
      <c r="E412" s="49" t="inlineStr">
        <is>
          <t>土・木・水・金</t>
        </is>
      </c>
      <c r="F412" s="48" t="inlineStr">
        <is>
          <t>岡田・長野</t>
        </is>
      </c>
      <c r="G412" s="48" t="inlineStr">
        <is>
          <t>一般廃・産廃</t>
        </is>
      </c>
      <c r="H412" s="50" t="n">
        <v>51</v>
      </c>
    </row>
    <row r="413" ht="18" customHeight="1">
      <c r="A413" s="45" t="inlineStr">
        <is>
          <t>GN-207</t>
        </is>
      </c>
      <c r="B413" s="46" t="inlineStr">
        <is>
          <t>共立工芸</t>
        </is>
      </c>
      <c r="C413" s="47" t="inlineStr">
        <is>
          <t>一般事業者</t>
        </is>
      </c>
      <c r="D413" s="48" t="inlineStr">
        <is>
          <t>東京都品川区広町１－５－２８　102号室</t>
        </is>
      </c>
      <c r="E413" s="49" t="inlineStr">
        <is>
          <t>金</t>
        </is>
      </c>
      <c r="F413" s="48" t="inlineStr">
        <is>
          <t>鈴木</t>
        </is>
      </c>
      <c r="G413" s="48" t="inlineStr">
        <is>
          <t>不燃物</t>
        </is>
      </c>
      <c r="H413" s="50" t="n">
        <v>35</v>
      </c>
    </row>
    <row r="414" ht="18" customHeight="1">
      <c r="A414" s="45" t="inlineStr">
        <is>
          <t>GN-208</t>
        </is>
      </c>
      <c r="B414" s="46" t="inlineStr">
        <is>
          <t>南大塚エースビル</t>
        </is>
      </c>
      <c r="C414" s="47" t="inlineStr">
        <is>
          <t>一般事業者</t>
        </is>
      </c>
      <c r="D414" s="48" t="inlineStr">
        <is>
          <t>東京都豊島区南大塚３－３４－６</t>
        </is>
      </c>
      <c r="E414" s="49" t="inlineStr">
        <is>
          <t>水</t>
        </is>
      </c>
      <c r="F414" s="48" t="inlineStr">
        <is>
          <t>長野</t>
        </is>
      </c>
      <c r="G414" s="48" t="inlineStr">
        <is>
          <t>産廃</t>
        </is>
      </c>
      <c r="H414" s="50" t="n">
        <v>90</v>
      </c>
    </row>
    <row r="415" ht="18" customHeight="1">
      <c r="A415" s="45" t="inlineStr">
        <is>
          <t>GN-209</t>
        </is>
      </c>
      <c r="B415" s="46" t="inlineStr">
        <is>
          <t>博多ちょうすけ</t>
        </is>
      </c>
      <c r="C415" s="47" t="inlineStr">
        <is>
          <t>一般事業者</t>
        </is>
      </c>
      <c r="D415" s="48" t="inlineStr">
        <is>
          <t>東京都目黒区上目黒３－５－２　９F-２</t>
        </is>
      </c>
      <c r="E415" s="49" t="inlineStr">
        <is>
          <t>・土・日・月・木・水・火・金</t>
        </is>
      </c>
      <c r="F415" s="48" t="inlineStr">
        <is>
          <t>中條・千葉・長谷川</t>
        </is>
      </c>
      <c r="G415" s="48" t="inlineStr">
        <is>
          <t>一般廃・瓶缶・産廃</t>
        </is>
      </c>
      <c r="H415" s="50" t="n">
        <v>105</v>
      </c>
    </row>
    <row r="416" ht="18" customHeight="1">
      <c r="A416" s="45" t="inlineStr">
        <is>
          <t>GN-210</t>
        </is>
      </c>
      <c r="B416" s="46" t="inlineStr">
        <is>
          <t>古賀電機(株)新第二工場</t>
        </is>
      </c>
      <c r="C416" s="47" t="inlineStr">
        <is>
          <t>一般事業者</t>
        </is>
      </c>
      <c r="D416" s="48" t="inlineStr">
        <is>
          <t>東京都品川区東大井２－７－７</t>
        </is>
      </c>
      <c r="E416" s="49" t="inlineStr">
        <is>
          <t>火・金</t>
        </is>
      </c>
      <c r="F416" s="48" t="inlineStr">
        <is>
          <t>鈴木</t>
        </is>
      </c>
      <c r="G416" s="48" t="inlineStr">
        <is>
          <t>不燃物</t>
        </is>
      </c>
      <c r="H416" s="50" t="n">
        <v>235</v>
      </c>
    </row>
    <row r="417" ht="18" customHeight="1">
      <c r="A417" s="45" t="inlineStr">
        <is>
          <t>GN-211</t>
        </is>
      </c>
      <c r="B417" s="46" t="inlineStr">
        <is>
          <t>古賀電機株式会社</t>
        </is>
      </c>
      <c r="C417" s="47" t="inlineStr">
        <is>
          <t>一般事業者</t>
        </is>
      </c>
      <c r="D417" s="48" t="inlineStr">
        <is>
          <t>東京都品川区東大井１－５－３</t>
        </is>
      </c>
      <c r="E417" s="49" t="inlineStr">
        <is>
          <t>火・金</t>
        </is>
      </c>
      <c r="F417" s="48" t="inlineStr">
        <is>
          <t>鈴木</t>
        </is>
      </c>
      <c r="G417" s="48" t="inlineStr">
        <is>
          <t>不燃物</t>
        </is>
      </c>
      <c r="H417" s="50" t="n">
        <v>265</v>
      </c>
    </row>
    <row r="418" ht="18" customHeight="1">
      <c r="A418" s="45" t="inlineStr">
        <is>
          <t>GN-212</t>
        </is>
      </c>
      <c r="B418" s="46" t="inlineStr">
        <is>
          <t>古賀電機第三工場</t>
        </is>
      </c>
      <c r="C418" s="47" t="inlineStr">
        <is>
          <t>一般事業者</t>
        </is>
      </c>
      <c r="D418" s="48" t="inlineStr">
        <is>
          <t>東京都大田区中央８－１９－１６</t>
        </is>
      </c>
      <c r="E418" s="49" t="inlineStr">
        <is>
          <t>火・金</t>
        </is>
      </c>
      <c r="F418" s="48" t="inlineStr">
        <is>
          <t>鈴木</t>
        </is>
      </c>
      <c r="G418" s="48" t="inlineStr">
        <is>
          <t>不燃物</t>
        </is>
      </c>
      <c r="H418" s="50" t="n">
        <v>80</v>
      </c>
    </row>
    <row r="419" ht="18" customHeight="1">
      <c r="A419" s="45" t="inlineStr">
        <is>
          <t>GN-213</t>
        </is>
      </c>
      <c r="B419" s="46" t="inlineStr">
        <is>
          <t>吉野家　下高井戸店</t>
        </is>
      </c>
      <c r="C419" s="47" t="inlineStr">
        <is>
          <t>一般事業者</t>
        </is>
      </c>
      <c r="D419" s="48" t="inlineStr">
        <is>
          <t>東京都世田谷区松原３－２９－１７</t>
        </is>
      </c>
      <c r="E419" s="49" t="inlineStr">
        <is>
          <t>土・木・火</t>
        </is>
      </c>
      <c r="F419" s="48" t="inlineStr">
        <is>
          <t>和田・荻野・長谷川・長野</t>
        </is>
      </c>
      <c r="G419" s="48" t="inlineStr">
        <is>
          <t>一般廃・段ボール・産廃</t>
        </is>
      </c>
      <c r="H419" s="50" t="n">
        <v>315</v>
      </c>
    </row>
    <row r="420" ht="18" customHeight="1">
      <c r="A420" s="45" t="inlineStr">
        <is>
          <t>GN-214</t>
        </is>
      </c>
      <c r="B420" s="46" t="inlineStr">
        <is>
          <t>名称未設定(株)</t>
        </is>
      </c>
      <c r="C420" s="47" t="inlineStr">
        <is>
          <t>一般事業者</t>
        </is>
      </c>
      <c r="D420" s="48" t="inlineStr">
        <is>
          <t>東京都目黒区上目黒３－４３－１８　K８</t>
        </is>
      </c>
      <c r="E420" s="49" t="inlineStr">
        <is>
          <t>土・月・木・水・火・金</t>
        </is>
      </c>
      <c r="F420" s="48" t="inlineStr">
        <is>
          <t>千葉・長谷川</t>
        </is>
      </c>
      <c r="G420" s="48" t="inlineStr">
        <is>
          <t>一般廃・産廃</t>
        </is>
      </c>
      <c r="H420" s="50" t="n">
        <v>9</v>
      </c>
    </row>
    <row r="421" ht="18" customHeight="1">
      <c r="A421" s="45" t="inlineStr">
        <is>
          <t>GN-215</t>
        </is>
      </c>
      <c r="B421" s="46" t="inlineStr">
        <is>
          <t>品川エトワール女子高校</t>
        </is>
      </c>
      <c r="C421" s="47" t="inlineStr">
        <is>
          <t>一般事業者</t>
        </is>
      </c>
      <c r="D421" s="48" t="inlineStr">
        <is>
          <t>東京都品川区南品川５－１２－４</t>
        </is>
      </c>
      <c r="E421" s="49" t="inlineStr">
        <is>
          <t>月・木・水・金</t>
        </is>
      </c>
      <c r="F421" s="48" t="inlineStr">
        <is>
          <t>千葉・白</t>
        </is>
      </c>
      <c r="G421" s="48" t="inlineStr">
        <is>
          <t>一般廃・産廃</t>
        </is>
      </c>
      <c r="H421" s="50" t="n">
        <v>255</v>
      </c>
    </row>
    <row r="422" ht="18" customHeight="1">
      <c r="A422" s="45" t="inlineStr">
        <is>
          <t>GN-216</t>
        </is>
      </c>
      <c r="B422" s="46" t="inlineStr">
        <is>
          <t>国田屋</t>
        </is>
      </c>
      <c r="C422" s="47" t="inlineStr">
        <is>
          <t>一般事業者</t>
        </is>
      </c>
      <c r="D422" s="48" t="inlineStr">
        <is>
          <t>東京都目黒区鷹番２－２１－１９－１０３A3</t>
        </is>
      </c>
      <c r="E422" s="49" t="inlineStr">
        <is>
          <t>土・月・木・水・火・金</t>
        </is>
      </c>
      <c r="F422" s="48" t="inlineStr">
        <is>
          <t>中條・千葉・長谷川</t>
        </is>
      </c>
      <c r="G422" s="48" t="inlineStr">
        <is>
          <t>一般廃・瓶缶・産廃</t>
        </is>
      </c>
      <c r="H422" s="50" t="n">
        <v>93</v>
      </c>
    </row>
    <row r="423" ht="18" customHeight="1">
      <c r="A423" s="45" t="inlineStr">
        <is>
          <t>GN-217</t>
        </is>
      </c>
      <c r="B423" s="46" t="inlineStr">
        <is>
          <t>坂本青果店</t>
        </is>
      </c>
      <c r="C423" s="47" t="inlineStr">
        <is>
          <t>一般事業者</t>
        </is>
      </c>
      <c r="D423" s="48" t="inlineStr">
        <is>
          <t>東京都目黒区中根１－５－２　都立大高架下B館</t>
        </is>
      </c>
      <c r="E423" s="49" t="inlineStr">
        <is>
          <t>土・日・月・木・水・火・金</t>
        </is>
      </c>
      <c r="F423" s="48" t="inlineStr">
        <is>
          <t>中條・千葉・長谷川</t>
        </is>
      </c>
      <c r="G423" s="48" t="inlineStr">
        <is>
          <t>一般廃・瓶缶・産廃</t>
        </is>
      </c>
      <c r="H423" s="50" t="n">
        <v>48</v>
      </c>
    </row>
    <row r="424" ht="18" customHeight="1">
      <c r="A424" s="45" t="inlineStr">
        <is>
          <t>GN-218</t>
        </is>
      </c>
      <c r="B424" s="46" t="inlineStr">
        <is>
          <t>堀之内斎場</t>
        </is>
      </c>
      <c r="C424" s="47" t="inlineStr">
        <is>
          <t>一般事業者</t>
        </is>
      </c>
      <c r="D424" s="48" t="inlineStr">
        <is>
          <t>東京都杉並区梅里１－２－２７</t>
        </is>
      </c>
      <c r="E424" s="49" t="inlineStr">
        <is>
          <t>土・木・火</t>
        </is>
      </c>
      <c r="F424" s="48" t="inlineStr">
        <is>
          <t>大迫・山口</t>
        </is>
      </c>
      <c r="G424" s="48" t="inlineStr">
        <is>
          <t>一般廃・不燃物</t>
        </is>
      </c>
      <c r="H424" s="50" t="n">
        <v>210</v>
      </c>
    </row>
    <row r="425" ht="18" customHeight="1">
      <c r="A425" s="45" t="inlineStr">
        <is>
          <t>GN-219</t>
        </is>
      </c>
      <c r="B425" s="46" t="inlineStr">
        <is>
          <t>堤工業</t>
        </is>
      </c>
      <c r="C425" s="47" t="inlineStr">
        <is>
          <t>一般事業者</t>
        </is>
      </c>
      <c r="D425" s="48" t="inlineStr">
        <is>
          <t>東京都大田区西六郷３－２０－１２</t>
        </is>
      </c>
      <c r="E425" s="49" t="inlineStr">
        <is>
          <t>火</t>
        </is>
      </c>
      <c r="F425" s="48" t="inlineStr">
        <is>
          <t>鈴木</t>
        </is>
      </c>
      <c r="G425" s="48" t="inlineStr">
        <is>
          <t>不燃物</t>
        </is>
      </c>
      <c r="H425" s="50" t="n">
        <v>40</v>
      </c>
    </row>
    <row r="426" ht="18" customHeight="1">
      <c r="A426" s="45" t="inlineStr">
        <is>
          <t>GN-220</t>
        </is>
      </c>
      <c r="B426" s="46" t="inlineStr">
        <is>
          <t>夜喫茶　サヤシ</t>
        </is>
      </c>
      <c r="C426" s="47" t="inlineStr">
        <is>
          <t>一般事業者</t>
        </is>
      </c>
      <c r="D426" s="48" t="inlineStr">
        <is>
          <t>東京都目黒区鷹番２－２１－１９－２０２</t>
        </is>
      </c>
      <c r="E426" s="49" t="inlineStr">
        <is>
          <t>土・月・木・水・火・金</t>
        </is>
      </c>
      <c r="F426" s="48" t="inlineStr">
        <is>
          <t>中條・千葉・長谷川</t>
        </is>
      </c>
      <c r="G426" s="48" t="inlineStr">
        <is>
          <t>一般廃・瓶缶・産廃</t>
        </is>
      </c>
      <c r="H426" s="50" t="n">
        <v>3</v>
      </c>
    </row>
    <row r="427" ht="18" customHeight="1">
      <c r="A427" s="45" t="inlineStr">
        <is>
          <t>GN-221</t>
        </is>
      </c>
      <c r="B427" s="46" t="inlineStr">
        <is>
          <t>大井町線上野毛駅構内店舗</t>
        </is>
      </c>
      <c r="C427" s="47" t="inlineStr">
        <is>
          <t>一般事業者</t>
        </is>
      </c>
      <c r="D427" s="48" t="inlineStr">
        <is>
          <t>東京都世田谷区上野毛１－２６－６</t>
        </is>
      </c>
      <c r="E427" s="49" t="inlineStr">
        <is>
          <t>木</t>
        </is>
      </c>
      <c r="F427" s="48" t="inlineStr">
        <is>
          <t>長野</t>
        </is>
      </c>
      <c r="G427" s="48" t="inlineStr">
        <is>
          <t>産廃</t>
        </is>
      </c>
      <c r="H427" s="50" t="n">
        <v>0</v>
      </c>
    </row>
    <row r="428" ht="18" customHeight="1">
      <c r="A428" s="45" t="inlineStr">
        <is>
          <t>GN-222</t>
        </is>
      </c>
      <c r="B428" s="46" t="inlineStr">
        <is>
          <t>大崎電気工業所</t>
        </is>
      </c>
      <c r="C428" s="47" t="inlineStr">
        <is>
          <t>一般事業者</t>
        </is>
      </c>
      <c r="D428" s="48" t="inlineStr">
        <is>
          <t>東京都品川区南品川６－５－１３</t>
        </is>
      </c>
      <c r="E428" s="49" t="inlineStr">
        <is>
          <t>火・金</t>
        </is>
      </c>
      <c r="F428" s="48" t="inlineStr">
        <is>
          <t>鈴木</t>
        </is>
      </c>
      <c r="G428" s="48" t="inlineStr">
        <is>
          <t>不燃物</t>
        </is>
      </c>
      <c r="H428" s="50" t="n">
        <v>65</v>
      </c>
    </row>
    <row r="429" ht="18" customHeight="1">
      <c r="A429" s="45" t="inlineStr">
        <is>
          <t>GN-223</t>
        </is>
      </c>
      <c r="B429" s="46" t="inlineStr">
        <is>
          <t>天才キッズクラブ楽学館仲池上園</t>
        </is>
      </c>
      <c r="C429" s="47" t="inlineStr">
        <is>
          <t>一般事業者</t>
        </is>
      </c>
      <c r="D429" s="48" t="inlineStr">
        <is>
          <t>東京都大田区仲池上１－２５－４</t>
        </is>
      </c>
      <c r="E429" s="49" t="inlineStr">
        <is>
          <t>・月・木・水・火・金</t>
        </is>
      </c>
      <c r="F429" s="48" t="inlineStr">
        <is>
          <t>千葉</t>
        </is>
      </c>
      <c r="G429" s="48" t="inlineStr">
        <is>
          <t>産廃</t>
        </is>
      </c>
      <c r="H429" s="50" t="n">
        <v>50</v>
      </c>
    </row>
    <row r="430" ht="18" customHeight="1">
      <c r="A430" s="45" t="inlineStr">
        <is>
          <t>GN-224</t>
        </is>
      </c>
      <c r="B430" s="46" t="inlineStr">
        <is>
          <t>好香味坊</t>
        </is>
      </c>
      <c r="C430" s="47" t="inlineStr">
        <is>
          <t>一般事業者</t>
        </is>
      </c>
      <c r="D430" s="48" t="inlineStr">
        <is>
          <t>東京都目黒区鷹番３－３－１学大市場</t>
        </is>
      </c>
      <c r="E430" s="49" t="inlineStr">
        <is>
          <t>・土・日・月・木・水・火・金</t>
        </is>
      </c>
      <c r="F430" s="48" t="inlineStr">
        <is>
          <t>中條・千葉・長谷川</t>
        </is>
      </c>
      <c r="G430" s="48" t="inlineStr">
        <is>
          <t>一般廃・産廃</t>
        </is>
      </c>
      <c r="H430" s="50" t="n">
        <v>53</v>
      </c>
    </row>
    <row r="431" ht="18" customHeight="1">
      <c r="A431" s="45" t="inlineStr">
        <is>
          <t>GN-225</t>
        </is>
      </c>
      <c r="B431" s="46" t="inlineStr">
        <is>
          <t>学大コレクティブ（１６BL）</t>
        </is>
      </c>
      <c r="C431" s="47" t="inlineStr">
        <is>
          <t>一般事業者</t>
        </is>
      </c>
      <c r="D431" s="48" t="inlineStr">
        <is>
          <t>東京都目黒区碑文谷６－７－２２　１４BL</t>
        </is>
      </c>
      <c r="E431" s="49" t="inlineStr">
        <is>
          <t>土・月・木・水・火・金</t>
        </is>
      </c>
      <c r="F431" s="48" t="inlineStr">
        <is>
          <t>藤内</t>
        </is>
      </c>
      <c r="G431" s="48" t="inlineStr">
        <is>
          <t>段ボール</t>
        </is>
      </c>
      <c r="H431" s="50" t="n">
        <v>20</v>
      </c>
    </row>
    <row r="432" ht="18" customHeight="1">
      <c r="A432" s="45" t="inlineStr">
        <is>
          <t>GN-226</t>
        </is>
      </c>
      <c r="B432" s="46" t="inlineStr">
        <is>
          <t>学大マルムス</t>
        </is>
      </c>
      <c r="C432" s="47" t="inlineStr">
        <is>
          <t>一般事業者</t>
        </is>
      </c>
      <c r="D432" s="48" t="inlineStr">
        <is>
          <t>東京都目黒区鷹番３－３－２学大市場</t>
        </is>
      </c>
      <c r="E432" s="49" t="inlineStr">
        <is>
          <t>・土・日・月・木・水・火・金</t>
        </is>
      </c>
      <c r="F432" s="48" t="inlineStr">
        <is>
          <t>中條・千葉・長谷川</t>
        </is>
      </c>
      <c r="G432" s="48" t="inlineStr">
        <is>
          <t>一般廃・産廃</t>
        </is>
      </c>
      <c r="H432" s="50" t="n">
        <v>25</v>
      </c>
    </row>
    <row r="433" ht="18" customHeight="1">
      <c r="A433" s="45" t="inlineStr">
        <is>
          <t>GN-227</t>
        </is>
      </c>
      <c r="B433" s="46" t="inlineStr">
        <is>
          <t>学大マーチ＆シーズンカフェ</t>
        </is>
      </c>
      <c r="C433" s="47" t="inlineStr">
        <is>
          <t>一般事業者</t>
        </is>
      </c>
      <c r="D433" s="48" t="inlineStr">
        <is>
          <t>東京都目黒区鷹番３－３－２学大市場</t>
        </is>
      </c>
      <c r="E433" s="49" t="inlineStr">
        <is>
          <t>・日・月・木・水・火・金</t>
        </is>
      </c>
      <c r="F433" s="48" t="inlineStr">
        <is>
          <t>中條・千葉・長谷川</t>
        </is>
      </c>
      <c r="G433" s="48" t="inlineStr">
        <is>
          <t>一般廃・産廃</t>
        </is>
      </c>
      <c r="H433" s="50" t="n">
        <v>24</v>
      </c>
    </row>
    <row r="434" ht="18" customHeight="1">
      <c r="A434" s="45" t="inlineStr">
        <is>
          <t>GN-228</t>
        </is>
      </c>
      <c r="B434" s="46" t="inlineStr">
        <is>
          <t>学校法人　河合塾　新宿校</t>
        </is>
      </c>
      <c r="C434" s="47" t="inlineStr">
        <is>
          <t>一般事業者</t>
        </is>
      </c>
      <c r="D434" s="48" t="inlineStr">
        <is>
          <t>東京都新宿区西新宿７－１２－１</t>
        </is>
      </c>
      <c r="E434" s="49" t="inlineStr">
        <is>
          <t>月・水・金</t>
        </is>
      </c>
      <c r="F434" s="48" t="inlineStr">
        <is>
          <t>長谷川・長野</t>
        </is>
      </c>
      <c r="G434" s="48" t="inlineStr">
        <is>
          <t>一般廃・産廃</t>
        </is>
      </c>
      <c r="H434" s="50" t="n">
        <v>510</v>
      </c>
    </row>
    <row r="435" ht="18" customHeight="1">
      <c r="A435" s="45" t="inlineStr">
        <is>
          <t>GN-229</t>
        </is>
      </c>
      <c r="B435" s="46" t="inlineStr">
        <is>
          <t>学校法人　聖ドミニコ学園</t>
        </is>
      </c>
      <c r="C435" s="47" t="inlineStr">
        <is>
          <t>一般事業者</t>
        </is>
      </c>
      <c r="D435" s="48" t="inlineStr">
        <is>
          <t>東京都世田谷区岡本１－１０－１</t>
        </is>
      </c>
      <c r="E435" s="49" t="inlineStr">
        <is>
          <t>木</t>
        </is>
      </c>
      <c r="F435" s="48" t="inlineStr">
        <is>
          <t>長野</t>
        </is>
      </c>
      <c r="G435" s="48" t="inlineStr">
        <is>
          <t>産廃</t>
        </is>
      </c>
      <c r="H435" s="50" t="n">
        <v>240</v>
      </c>
    </row>
    <row r="436" ht="18" customHeight="1">
      <c r="A436" s="45" t="inlineStr">
        <is>
          <t>GN-230</t>
        </is>
      </c>
      <c r="B436" s="46" t="inlineStr">
        <is>
          <t>学校法人上野塾東京高等学校</t>
        </is>
      </c>
      <c r="C436" s="47" t="inlineStr">
        <is>
          <t>一般事業者</t>
        </is>
      </c>
      <c r="D436" s="48" t="inlineStr">
        <is>
          <t>東京都大田区鵜の木２－３９－１</t>
        </is>
      </c>
      <c r="E436" s="49" t="inlineStr">
        <is>
          <t>水・金</t>
        </is>
      </c>
      <c r="F436" s="48" t="inlineStr">
        <is>
          <t>千葉</t>
        </is>
      </c>
      <c r="G436" s="48" t="inlineStr">
        <is>
          <t>産廃</t>
        </is>
      </c>
      <c r="H436" s="50" t="n">
        <v>130</v>
      </c>
    </row>
    <row r="437" ht="18" customHeight="1">
      <c r="A437" s="45" t="inlineStr">
        <is>
          <t>GN-231</t>
        </is>
      </c>
      <c r="B437" s="46" t="inlineStr">
        <is>
          <t>学校法人河合塾　新宿校</t>
        </is>
      </c>
      <c r="C437" s="47" t="inlineStr">
        <is>
          <t>一般事業者</t>
        </is>
      </c>
      <c r="D437" s="48" t="inlineStr">
        <is>
          <t>東京都新宿区西新宿７－１２－１</t>
        </is>
      </c>
      <c r="E437" s="49" t="inlineStr">
        <is>
          <t>土・木・火</t>
        </is>
      </c>
      <c r="F437" s="48" t="inlineStr">
        <is>
          <t>大迫</t>
        </is>
      </c>
      <c r="G437" s="48" t="inlineStr">
        <is>
          <t>一般廃</t>
        </is>
      </c>
      <c r="H437" s="50" t="n">
        <v>70</v>
      </c>
    </row>
    <row r="438" ht="18" customHeight="1">
      <c r="A438" s="45" t="inlineStr">
        <is>
          <t>GN-232</t>
        </is>
      </c>
      <c r="B438" s="46" t="inlineStr">
        <is>
          <t>学校法人聖ドミニコ学園</t>
        </is>
      </c>
      <c r="C438" s="47" t="inlineStr">
        <is>
          <t>一般事業者</t>
        </is>
      </c>
      <c r="D438" s="48" t="inlineStr">
        <is>
          <t>東京都世田谷区岡本１－１０－１</t>
        </is>
      </c>
      <c r="E438" s="49" t="inlineStr">
        <is>
          <t>木・火</t>
        </is>
      </c>
      <c r="F438" s="48" t="inlineStr">
        <is>
          <t>白</t>
        </is>
      </c>
      <c r="G438" s="48" t="inlineStr">
        <is>
          <t>一般廃</t>
        </is>
      </c>
      <c r="H438" s="50" t="n">
        <v>450</v>
      </c>
    </row>
    <row r="439" ht="18" customHeight="1">
      <c r="A439" s="45" t="inlineStr">
        <is>
          <t>GN-233</t>
        </is>
      </c>
      <c r="B439" s="46" t="inlineStr">
        <is>
          <t>学芸会</t>
        </is>
      </c>
      <c r="C439" s="47" t="inlineStr">
        <is>
          <t>一般事業者</t>
        </is>
      </c>
      <c r="D439" s="48" t="inlineStr">
        <is>
          <t>東京都目黒区碑文谷６－６－８　GAKUDAI COLLECTIV A-0</t>
        </is>
      </c>
      <c r="E439" s="49" t="inlineStr">
        <is>
          <t>土・月・木・水・火・金</t>
        </is>
      </c>
      <c r="F439" s="48" t="inlineStr">
        <is>
          <t>千葉・長谷川</t>
        </is>
      </c>
      <c r="G439" s="48" t="inlineStr">
        <is>
          <t>一般廃・産廃</t>
        </is>
      </c>
      <c r="H439" s="50" t="n">
        <v>20</v>
      </c>
    </row>
    <row r="440" ht="18" customHeight="1">
      <c r="A440" s="45" t="inlineStr">
        <is>
          <t>GN-234</t>
        </is>
      </c>
      <c r="B440" s="46" t="inlineStr">
        <is>
          <t>学芸大学高架下（１０BL）</t>
        </is>
      </c>
      <c r="C440" s="47" t="inlineStr">
        <is>
          <t>一般事業者</t>
        </is>
      </c>
      <c r="D440" s="48" t="inlineStr">
        <is>
          <t>東京都目黒区鷹番２－２１－１</t>
        </is>
      </c>
      <c r="E440" s="49" t="inlineStr">
        <is>
          <t>土・月・木・水・火・金</t>
        </is>
      </c>
      <c r="F440" s="48" t="inlineStr">
        <is>
          <t>藤内</t>
        </is>
      </c>
      <c r="G440" s="48" t="inlineStr">
        <is>
          <t>段ボール</t>
        </is>
      </c>
      <c r="H440" s="50" t="n">
        <v>45</v>
      </c>
    </row>
    <row r="441" ht="18" customHeight="1">
      <c r="A441" s="45" t="inlineStr">
        <is>
          <t>GN-235</t>
        </is>
      </c>
      <c r="B441" s="46" t="inlineStr">
        <is>
          <t>学芸大学高架下（１３BL）</t>
        </is>
      </c>
      <c r="C441" s="47" t="inlineStr">
        <is>
          <t>一般事業者</t>
        </is>
      </c>
      <c r="D441" s="48" t="inlineStr">
        <is>
          <t>東京都目黒区鷹番３－３－２</t>
        </is>
      </c>
      <c r="E441" s="49" t="inlineStr">
        <is>
          <t>土・月・木・水・火・金</t>
        </is>
      </c>
      <c r="F441" s="48" t="inlineStr">
        <is>
          <t>藤内</t>
        </is>
      </c>
      <c r="G441" s="48" t="inlineStr">
        <is>
          <t>段ボール</t>
        </is>
      </c>
      <c r="H441" s="50" t="n">
        <v>670</v>
      </c>
    </row>
    <row r="442" ht="18" customHeight="1">
      <c r="A442" s="45" t="inlineStr">
        <is>
          <t>GN-236</t>
        </is>
      </c>
      <c r="B442" s="46" t="inlineStr">
        <is>
          <t>学芸大学高架下（１４BL）</t>
        </is>
      </c>
      <c r="C442" s="47" t="inlineStr">
        <is>
          <t>一般事業者</t>
        </is>
      </c>
      <c r="D442" s="48" t="inlineStr">
        <is>
          <t>東京都目黒区鷹番３－４－２５</t>
        </is>
      </c>
      <c r="E442" s="49" t="inlineStr">
        <is>
          <t>土・月・木・水・火・金</t>
        </is>
      </c>
      <c r="F442" s="48" t="inlineStr">
        <is>
          <t>藤内</t>
        </is>
      </c>
      <c r="G442" s="48" t="inlineStr">
        <is>
          <t>段ボール</t>
        </is>
      </c>
      <c r="H442" s="50" t="n">
        <v>250</v>
      </c>
    </row>
    <row r="443" ht="18" customHeight="1">
      <c r="A443" s="45" t="inlineStr">
        <is>
          <t>GN-237</t>
        </is>
      </c>
      <c r="B443" s="46" t="inlineStr">
        <is>
          <t>居酒屋めぐろ川前</t>
        </is>
      </c>
      <c r="C443" s="47" t="inlineStr">
        <is>
          <t>一般事業者</t>
        </is>
      </c>
      <c r="D443" s="48" t="inlineStr">
        <is>
          <t>東京都品川区西五反田１－１２－１</t>
        </is>
      </c>
      <c r="E443" s="49" t="inlineStr">
        <is>
          <t>月・水・火・金</t>
        </is>
      </c>
      <c r="F443" s="48" t="inlineStr">
        <is>
          <t>中條・千葉</t>
        </is>
      </c>
      <c r="G443" s="48" t="inlineStr">
        <is>
          <t>瓶缶・産廃</t>
        </is>
      </c>
      <c r="H443" s="50" t="n">
        <v>4</v>
      </c>
    </row>
    <row r="444" ht="18" customHeight="1">
      <c r="A444" s="45" t="inlineStr">
        <is>
          <t>GN-238</t>
        </is>
      </c>
      <c r="B444" s="46" t="inlineStr">
        <is>
          <t>山崎製作所</t>
        </is>
      </c>
      <c r="C444" s="47" t="inlineStr">
        <is>
          <t>一般事業者</t>
        </is>
      </c>
      <c r="D444" s="48" t="inlineStr">
        <is>
          <t>東京都大田区南千束１－２４－１６</t>
        </is>
      </c>
      <c r="E444" s="49" t="inlineStr">
        <is>
          <t>金</t>
        </is>
      </c>
      <c r="F444" s="48" t="inlineStr">
        <is>
          <t>鈴木</t>
        </is>
      </c>
      <c r="G444" s="48" t="inlineStr">
        <is>
          <t>不燃物</t>
        </is>
      </c>
      <c r="H444" s="50" t="n">
        <v>65</v>
      </c>
    </row>
    <row r="445" ht="18" customHeight="1">
      <c r="A445" s="45" t="inlineStr">
        <is>
          <t>GN-239</t>
        </is>
      </c>
      <c r="B445" s="46" t="inlineStr">
        <is>
          <t>干支屋</t>
        </is>
      </c>
      <c r="C445" s="47" t="inlineStr">
        <is>
          <t>一般事業者</t>
        </is>
      </c>
      <c r="D445" s="48" t="inlineStr">
        <is>
          <t>東京都目黒区鷹番２－２１－１９学大横丁A4</t>
        </is>
      </c>
      <c r="E445" s="49" t="inlineStr">
        <is>
          <t>土・月・木・水・火・金</t>
        </is>
      </c>
      <c r="F445" s="48" t="inlineStr">
        <is>
          <t>中條・千葉・長谷川</t>
        </is>
      </c>
      <c r="G445" s="48" t="inlineStr">
        <is>
          <t>一般廃・瓶缶・産廃</t>
        </is>
      </c>
      <c r="H445" s="50" t="n">
        <v>220</v>
      </c>
    </row>
    <row r="446" ht="18" customHeight="1">
      <c r="A446" s="45" t="inlineStr">
        <is>
          <t>GN-240</t>
        </is>
      </c>
      <c r="B446" s="46" t="inlineStr">
        <is>
          <t>愛着工房　学芸大学店</t>
        </is>
      </c>
      <c r="C446" s="47" t="inlineStr">
        <is>
          <t>一般事業者</t>
        </is>
      </c>
      <c r="D446" s="48" t="inlineStr">
        <is>
          <t>東京都目黒区鷹番３－４－２５　学大小路１４－０５</t>
        </is>
      </c>
      <c r="E446" s="49" t="inlineStr">
        <is>
          <t>・土・日・月・木・水・火・金</t>
        </is>
      </c>
      <c r="F446" s="48" t="inlineStr">
        <is>
          <t>中條・千葉・長谷川</t>
        </is>
      </c>
      <c r="G446" s="48" t="inlineStr">
        <is>
          <t>一般廃・産廃</t>
        </is>
      </c>
      <c r="H446" s="50" t="n">
        <v>22</v>
      </c>
    </row>
    <row r="447" ht="18" customHeight="1">
      <c r="A447" s="45" t="inlineStr">
        <is>
          <t>GN-241</t>
        </is>
      </c>
      <c r="B447" s="46" t="inlineStr">
        <is>
          <t>日吉エリア</t>
        </is>
      </c>
      <c r="C447" s="47" t="inlineStr">
        <is>
          <t>一般事業者</t>
        </is>
      </c>
      <c r="D447" s="48" t="inlineStr">
        <is>
          <t>東京都大田区田園調布１－５３－８</t>
        </is>
      </c>
      <c r="E447" s="49" t="inlineStr">
        <is>
          <t>・土・木・火</t>
        </is>
      </c>
      <c r="F447" s="48" t="inlineStr">
        <is>
          <t>中條・千葉・和田・荻野・長野</t>
        </is>
      </c>
      <c r="G447" s="48" t="inlineStr">
        <is>
          <t>段ボール・産廃・資源</t>
        </is>
      </c>
      <c r="H447" s="50" t="n">
        <v>50</v>
      </c>
    </row>
    <row r="448" ht="18" customHeight="1">
      <c r="A448" s="45" t="inlineStr">
        <is>
          <t>GN-242</t>
        </is>
      </c>
      <c r="B448" s="46" t="inlineStr">
        <is>
          <t>日常（KIKI)</t>
        </is>
      </c>
      <c r="C448" s="47" t="inlineStr">
        <is>
          <t>一般事業者</t>
        </is>
      </c>
      <c r="D448" s="48" t="inlineStr">
        <is>
          <t>東京都目黒区碑文谷６－６－８　GAKUDAI COLLECTIV F-1</t>
        </is>
      </c>
      <c r="E448" s="49" t="inlineStr">
        <is>
          <t>土・月・木・水・火・金</t>
        </is>
      </c>
      <c r="F448" s="48" t="inlineStr">
        <is>
          <t>千葉・長谷川</t>
        </is>
      </c>
      <c r="G448" s="48" t="inlineStr">
        <is>
          <t>一般廃・産廃</t>
        </is>
      </c>
      <c r="H448" s="50" t="n">
        <v>0</v>
      </c>
    </row>
    <row r="449" ht="18" customHeight="1">
      <c r="A449" s="45" t="inlineStr">
        <is>
          <t>GN-243</t>
        </is>
      </c>
      <c r="B449" s="46" t="inlineStr">
        <is>
          <t>日本ロジテム三幸営業所</t>
        </is>
      </c>
      <c r="C449" s="47" t="inlineStr">
        <is>
          <t>一般事業者</t>
        </is>
      </c>
      <c r="D449" s="48" t="inlineStr">
        <is>
          <t>東京都大田区仲池上１－３１－５</t>
        </is>
      </c>
      <c r="E449" s="49" t="inlineStr">
        <is>
          <t>水・金</t>
        </is>
      </c>
      <c r="F449" s="48" t="inlineStr">
        <is>
          <t>千葉</t>
        </is>
      </c>
      <c r="G449" s="48" t="inlineStr">
        <is>
          <t>産廃</t>
        </is>
      </c>
      <c r="H449" s="50" t="n">
        <v>230</v>
      </c>
    </row>
    <row r="450" ht="18" customHeight="1">
      <c r="A450" s="45" t="inlineStr">
        <is>
          <t>GN-244</t>
        </is>
      </c>
      <c r="B450" s="46" t="inlineStr">
        <is>
          <t>日栄インテック　本社</t>
        </is>
      </c>
      <c r="C450" s="47" t="inlineStr">
        <is>
          <t>一般事業者</t>
        </is>
      </c>
      <c r="D450" s="48" t="inlineStr">
        <is>
          <t>東京都荒川区西尾久７－３４－１０</t>
        </is>
      </c>
      <c r="E450" s="49" t="inlineStr">
        <is>
          <t>土・木・水・火</t>
        </is>
      </c>
      <c r="F450" s="48" t="inlineStr">
        <is>
          <t>和田・荻野・岡田・長野</t>
        </is>
      </c>
      <c r="G450" s="48" t="inlineStr">
        <is>
          <t>一般廃・段ボール・産廃</t>
        </is>
      </c>
      <c r="H450" s="50" t="n">
        <v>167</v>
      </c>
    </row>
    <row r="451" ht="18" customHeight="1">
      <c r="A451" s="45" t="inlineStr">
        <is>
          <t>GN-245</t>
        </is>
      </c>
      <c r="B451" s="46" t="inlineStr">
        <is>
          <t>日栄インテック　第二ビル</t>
        </is>
      </c>
      <c r="C451" s="47" t="inlineStr">
        <is>
          <t>一般事業者</t>
        </is>
      </c>
      <c r="D451" s="48" t="inlineStr">
        <is>
          <t>東京都荒川区西尾久７－５７－８日栄インテック第二ビル</t>
        </is>
      </c>
      <c r="E451" s="49" t="inlineStr">
        <is>
          <t>土・木・水・火</t>
        </is>
      </c>
      <c r="F451" s="48" t="inlineStr">
        <is>
          <t>和田・荻野・岡田・長野</t>
        </is>
      </c>
      <c r="G451" s="48" t="inlineStr">
        <is>
          <t>一般廃・段ボール・産廃</t>
        </is>
      </c>
      <c r="H451" s="50" t="n">
        <v>118</v>
      </c>
    </row>
    <row r="452" ht="18" customHeight="1">
      <c r="A452" s="45" t="inlineStr">
        <is>
          <t>GN-246</t>
        </is>
      </c>
      <c r="B452" s="46" t="inlineStr">
        <is>
          <t>日比谷花壇（WONDER FLOWER)</t>
        </is>
      </c>
      <c r="C452" s="47" t="inlineStr">
        <is>
          <t>一般事業者</t>
        </is>
      </c>
      <c r="D452" s="48" t="inlineStr">
        <is>
          <t>東京都目黒区自由が丘１－３１－２　自由が丘高架下</t>
        </is>
      </c>
      <c r="E452" s="49" t="inlineStr">
        <is>
          <t>・木・火</t>
        </is>
      </c>
      <c r="F452" s="48" t="inlineStr">
        <is>
          <t>千葉</t>
        </is>
      </c>
      <c r="G452" s="48" t="inlineStr">
        <is>
          <t>産廃</t>
        </is>
      </c>
      <c r="H452" s="50" t="n">
        <v>60</v>
      </c>
    </row>
    <row r="453" ht="18" customHeight="1">
      <c r="A453" s="45" t="inlineStr">
        <is>
          <t>GN-247</t>
        </is>
      </c>
      <c r="B453" s="46" t="inlineStr">
        <is>
          <t>曼茶羅</t>
        </is>
      </c>
      <c r="C453" s="47" t="inlineStr">
        <is>
          <t>一般事業者</t>
        </is>
      </c>
      <c r="D453" s="48" t="inlineStr">
        <is>
          <t>東京都目黒区上目黒３－４３－１６　L２</t>
        </is>
      </c>
      <c r="E453" s="49" t="inlineStr">
        <is>
          <t>土・月・木・水・火・金</t>
        </is>
      </c>
      <c r="F453" s="48" t="inlineStr">
        <is>
          <t>千葉・長谷川</t>
        </is>
      </c>
      <c r="G453" s="48" t="inlineStr">
        <is>
          <t>一般廃・産廃</t>
        </is>
      </c>
      <c r="H453" s="50" t="n">
        <v>1</v>
      </c>
    </row>
    <row r="454" ht="18" customHeight="1">
      <c r="A454" s="45" t="inlineStr">
        <is>
          <t>GN-248</t>
        </is>
      </c>
      <c r="B454" s="46" t="inlineStr">
        <is>
          <t>有縁</t>
        </is>
      </c>
      <c r="C454" s="47" t="inlineStr">
        <is>
          <t>一般事業者</t>
        </is>
      </c>
      <c r="D454" s="48" t="inlineStr">
        <is>
          <t>東京都目黒区碑文谷６－６－６　GAKUDAI COLLECTIV C-2</t>
        </is>
      </c>
      <c r="E454" s="49" t="inlineStr">
        <is>
          <t>土・月・木・水・火・金</t>
        </is>
      </c>
      <c r="F454" s="48" t="inlineStr">
        <is>
          <t>千葉・長谷川</t>
        </is>
      </c>
      <c r="G454" s="48" t="inlineStr">
        <is>
          <t>一般廃・産廃</t>
        </is>
      </c>
      <c r="H454" s="50" t="n">
        <v>146</v>
      </c>
    </row>
    <row r="455" ht="18" customHeight="1">
      <c r="A455" s="45" t="inlineStr">
        <is>
          <t>GN-249</t>
        </is>
      </c>
      <c r="B455" s="46" t="inlineStr">
        <is>
          <t>東京ガスリビングラインライフバル西大田</t>
        </is>
      </c>
      <c r="C455" s="47" t="inlineStr">
        <is>
          <t>一般事業者</t>
        </is>
      </c>
      <c r="D455" s="48" t="inlineStr">
        <is>
          <t>東京都大田区上池台４－３９－５　２F</t>
        </is>
      </c>
      <c r="E455" s="49" t="inlineStr">
        <is>
          <t>水・金</t>
        </is>
      </c>
      <c r="F455" s="48" t="inlineStr">
        <is>
          <t>千葉</t>
        </is>
      </c>
      <c r="G455" s="48" t="inlineStr">
        <is>
          <t>産廃</t>
        </is>
      </c>
      <c r="H455" s="50" t="n">
        <v>110</v>
      </c>
    </row>
    <row r="456" ht="18" customHeight="1">
      <c r="A456" s="45" t="inlineStr">
        <is>
          <t>GN-250</t>
        </is>
      </c>
      <c r="B456" s="46" t="inlineStr">
        <is>
          <t>東京リーガルマインド　水道橋本校</t>
        </is>
      </c>
      <c r="C456" s="47" t="inlineStr">
        <is>
          <t>一般事業者</t>
        </is>
      </c>
      <c r="D456" s="48" t="inlineStr">
        <is>
          <t>東京都千代田区神田三崎町２－２－１５</t>
        </is>
      </c>
      <c r="E456" s="49" t="inlineStr">
        <is>
          <t>金</t>
        </is>
      </c>
      <c r="F456" s="48" t="inlineStr">
        <is>
          <t>長野</t>
        </is>
      </c>
      <c r="G456" s="48" t="inlineStr">
        <is>
          <t>産廃</t>
        </is>
      </c>
      <c r="H456" s="50" t="n">
        <v>60</v>
      </c>
    </row>
    <row r="457" ht="18" customHeight="1">
      <c r="A457" s="45" t="inlineStr">
        <is>
          <t>GN-251</t>
        </is>
      </c>
      <c r="B457" s="46" t="inlineStr">
        <is>
          <t>東京宝くじロトハウス鵜の木駅店</t>
        </is>
      </c>
      <c r="C457" s="47" t="inlineStr">
        <is>
          <t>一般事業者</t>
        </is>
      </c>
      <c r="D457" s="48" t="inlineStr">
        <is>
          <t>東京都大田区鵜の木２－４－１　エトモ鵜の木</t>
        </is>
      </c>
      <c r="E457" s="49" t="inlineStr">
        <is>
          <t>火</t>
        </is>
      </c>
      <c r="F457" s="48" t="inlineStr">
        <is>
          <t>千葉</t>
        </is>
      </c>
      <c r="G457" s="48" t="inlineStr">
        <is>
          <t>産廃</t>
        </is>
      </c>
      <c r="H457" s="50" t="n">
        <v>0</v>
      </c>
    </row>
    <row r="458" ht="18" customHeight="1">
      <c r="A458" s="45" t="inlineStr">
        <is>
          <t>GN-252</t>
        </is>
      </c>
      <c r="B458" s="46" t="inlineStr">
        <is>
          <t>東京食堂</t>
        </is>
      </c>
      <c r="C458" s="47" t="inlineStr">
        <is>
          <t>一般事業者</t>
        </is>
      </c>
      <c r="D458" s="48" t="inlineStr">
        <is>
          <t>東京都品川区西五反田１－１２－１</t>
        </is>
      </c>
      <c r="E458" s="49" t="inlineStr">
        <is>
          <t>月・水・火・金</t>
        </is>
      </c>
      <c r="F458" s="48" t="inlineStr">
        <is>
          <t>中條・千葉</t>
        </is>
      </c>
      <c r="G458" s="48" t="inlineStr">
        <is>
          <t>瓶缶・産廃</t>
        </is>
      </c>
      <c r="H458" s="50" t="n">
        <v>16</v>
      </c>
    </row>
    <row r="459" ht="18" customHeight="1">
      <c r="A459" s="45" t="inlineStr">
        <is>
          <t>GN-253</t>
        </is>
      </c>
      <c r="B459" s="46" t="inlineStr">
        <is>
          <t>東洋レコーディング</t>
        </is>
      </c>
      <c r="C459" s="47" t="inlineStr">
        <is>
          <t>一般事業者</t>
        </is>
      </c>
      <c r="D459" s="48" t="inlineStr">
        <is>
          <t>東京都港区赤坂４－５－１９</t>
        </is>
      </c>
      <c r="E459" s="49" t="inlineStr">
        <is>
          <t>土・木・火</t>
        </is>
      </c>
      <c r="F459" s="48" t="inlineStr">
        <is>
          <t>岡田・長野</t>
        </is>
      </c>
      <c r="G459" s="48" t="inlineStr">
        <is>
          <t>一般廃・産廃</t>
        </is>
      </c>
      <c r="H459" s="50" t="n">
        <v>227</v>
      </c>
    </row>
    <row r="460" ht="18" customHeight="1">
      <c r="A460" s="45" t="inlineStr">
        <is>
          <t>GN-254</t>
        </is>
      </c>
      <c r="B460" s="46" t="inlineStr">
        <is>
          <t>東洋紙業(株)</t>
        </is>
      </c>
      <c r="C460" s="47" t="inlineStr">
        <is>
          <t>一般事業者</t>
        </is>
      </c>
      <c r="D460" s="48" t="inlineStr">
        <is>
          <t>東京都品川区南品川６－１－５</t>
        </is>
      </c>
      <c r="E460" s="49" t="inlineStr">
        <is>
          <t>月・木・水・金</t>
        </is>
      </c>
      <c r="F460" s="48" t="inlineStr">
        <is>
          <t>千葉・白</t>
        </is>
      </c>
      <c r="G460" s="48" t="inlineStr">
        <is>
          <t>一般廃・産廃</t>
        </is>
      </c>
      <c r="H460" s="50" t="n">
        <v>70</v>
      </c>
    </row>
    <row r="461" ht="18" customHeight="1">
      <c r="A461" s="45" t="inlineStr">
        <is>
          <t>GN-255</t>
        </is>
      </c>
      <c r="B461" s="46" t="inlineStr">
        <is>
          <t>桐ケ谷斎場</t>
        </is>
      </c>
      <c r="C461" s="47" t="inlineStr">
        <is>
          <t>一般事業者</t>
        </is>
      </c>
      <c r="D461" s="48" t="inlineStr">
        <is>
          <t>東京都品川区西五反田５－３２－２０</t>
        </is>
      </c>
      <c r="E461" s="49" t="inlineStr">
        <is>
          <t>土・火</t>
        </is>
      </c>
      <c r="F461" s="48" t="inlineStr">
        <is>
          <t>千葉・山口</t>
        </is>
      </c>
      <c r="G461" s="48" t="inlineStr">
        <is>
          <t>不燃物・産廃</t>
        </is>
      </c>
      <c r="H461" s="50" t="n">
        <v>160</v>
      </c>
    </row>
    <row r="462" ht="18" customHeight="1">
      <c r="A462" s="45" t="inlineStr">
        <is>
          <t>GN-256</t>
        </is>
      </c>
      <c r="B462" s="46" t="inlineStr">
        <is>
          <t>桜小路　共用部</t>
        </is>
      </c>
      <c r="C462" s="47" t="inlineStr">
        <is>
          <t>一般事業者</t>
        </is>
      </c>
      <c r="D462" s="48" t="inlineStr">
        <is>
          <t>東京都品川区西五反田１－１２－１</t>
        </is>
      </c>
      <c r="E462" s="49" t="inlineStr">
        <is>
          <t>月・水・金</t>
        </is>
      </c>
      <c r="F462" s="48" t="inlineStr">
        <is>
          <t>千葉</t>
        </is>
      </c>
      <c r="G462" s="48" t="inlineStr">
        <is>
          <t>産廃</t>
        </is>
      </c>
      <c r="H462" s="50" t="n">
        <v>0</v>
      </c>
    </row>
    <row r="463" ht="18" customHeight="1">
      <c r="A463" s="45" t="inlineStr">
        <is>
          <t>GN-257</t>
        </is>
      </c>
      <c r="B463" s="46" t="inlineStr">
        <is>
          <t>武蔵小山西口駐輪場</t>
        </is>
      </c>
      <c r="C463" s="47" t="inlineStr">
        <is>
          <t>一般事業者</t>
        </is>
      </c>
      <c r="D463" s="48" t="inlineStr">
        <is>
          <t>東京都品川区小山３－４－８</t>
        </is>
      </c>
      <c r="E463" s="49" t="inlineStr">
        <is>
          <t>火</t>
        </is>
      </c>
      <c r="F463" s="48" t="inlineStr">
        <is>
          <t>中條</t>
        </is>
      </c>
      <c r="G463" s="48" t="inlineStr">
        <is>
          <t>不燃物</t>
        </is>
      </c>
      <c r="H463" s="50" t="n">
        <v>0</v>
      </c>
    </row>
    <row r="464" ht="18" customHeight="1">
      <c r="A464" s="45" t="inlineStr">
        <is>
          <t>GN-258</t>
        </is>
      </c>
      <c r="B464" s="46" t="inlineStr">
        <is>
          <t>武蔵新田駐輪場</t>
        </is>
      </c>
      <c r="C464" s="47" t="inlineStr">
        <is>
          <t>一般事業者</t>
        </is>
      </c>
      <c r="D464" s="48" t="inlineStr">
        <is>
          <t>東京都大田区矢口１－１８－１</t>
        </is>
      </c>
      <c r="E464" s="49" t="inlineStr">
        <is>
          <t>火</t>
        </is>
      </c>
      <c r="F464" s="48" t="inlineStr">
        <is>
          <t>千葉</t>
        </is>
      </c>
      <c r="G464" s="48" t="inlineStr">
        <is>
          <t>産廃</t>
        </is>
      </c>
      <c r="H464" s="50" t="n">
        <v>0</v>
      </c>
    </row>
    <row r="465" ht="18" customHeight="1">
      <c r="A465" s="45" t="inlineStr">
        <is>
          <t>GN-259</t>
        </is>
      </c>
      <c r="B465" s="46" t="inlineStr">
        <is>
          <t>永谷園　別館</t>
        </is>
      </c>
      <c r="C465" s="47" t="inlineStr">
        <is>
          <t>一般事業者</t>
        </is>
      </c>
      <c r="D465" s="48" t="inlineStr">
        <is>
          <t>東京都大田区南六郷１－４－７</t>
        </is>
      </c>
      <c r="E465" s="49" t="inlineStr">
        <is>
          <t>水・金</t>
        </is>
      </c>
      <c r="F465" s="48" t="inlineStr">
        <is>
          <t>千葉</t>
        </is>
      </c>
      <c r="G465" s="48" t="inlineStr">
        <is>
          <t>産廃</t>
        </is>
      </c>
      <c r="H465" s="50" t="n">
        <v>190</v>
      </c>
    </row>
    <row r="466" ht="18" customHeight="1">
      <c r="A466" s="45" t="inlineStr">
        <is>
          <t>GN-260</t>
        </is>
      </c>
      <c r="B466" s="46" t="inlineStr">
        <is>
          <t>永谷園　本館</t>
        </is>
      </c>
      <c r="C466" s="47" t="inlineStr">
        <is>
          <t>一般事業者</t>
        </is>
      </c>
      <c r="D466" s="48" t="inlineStr">
        <is>
          <t>東京都大田区東六郷１－１７－８</t>
        </is>
      </c>
      <c r="E466" s="49" t="inlineStr">
        <is>
          <t>水・金</t>
        </is>
      </c>
      <c r="F466" s="48" t="inlineStr">
        <is>
          <t>千葉</t>
        </is>
      </c>
      <c r="G466" s="48" t="inlineStr">
        <is>
          <t>産廃</t>
        </is>
      </c>
      <c r="H466" s="50" t="n">
        <v>220</v>
      </c>
    </row>
    <row r="467" ht="18" customHeight="1">
      <c r="A467" s="45" t="inlineStr">
        <is>
          <t>GN-261</t>
        </is>
      </c>
      <c r="B467" s="46" t="inlineStr">
        <is>
          <t>永谷園別館</t>
        </is>
      </c>
      <c r="C467" s="47" t="inlineStr">
        <is>
          <t>一般事業者</t>
        </is>
      </c>
      <c r="D467" s="48" t="inlineStr">
        <is>
          <t>東京都大田区南六郷１－４－７</t>
        </is>
      </c>
      <c r="E467" s="49" t="inlineStr">
        <is>
          <t>月・木・水・金</t>
        </is>
      </c>
      <c r="F467" s="48" t="inlineStr">
        <is>
          <t>中條・白</t>
        </is>
      </c>
      <c r="G467" s="48" t="inlineStr">
        <is>
          <t>一般廃・段ボール</t>
        </is>
      </c>
      <c r="H467" s="50" t="n">
        <v>110</v>
      </c>
    </row>
    <row r="468" ht="18" customHeight="1">
      <c r="A468" s="45" t="inlineStr">
        <is>
          <t>GN-262</t>
        </is>
      </c>
      <c r="B468" s="46" t="inlineStr">
        <is>
          <t>永谷園本館</t>
        </is>
      </c>
      <c r="C468" s="47" t="inlineStr">
        <is>
          <t>一般事業者</t>
        </is>
      </c>
      <c r="D468" s="48" t="inlineStr">
        <is>
          <t>東京都大田区東六郷１－１７－８</t>
        </is>
      </c>
      <c r="E468" s="49" t="inlineStr">
        <is>
          <t>月・木・水・金</t>
        </is>
      </c>
      <c r="F468" s="48" t="inlineStr">
        <is>
          <t>中條・白</t>
        </is>
      </c>
      <c r="G468" s="48" t="inlineStr">
        <is>
          <t>一般廃・段ボール</t>
        </is>
      </c>
      <c r="H468" s="50" t="n">
        <v>385</v>
      </c>
    </row>
    <row r="469" ht="18" customHeight="1">
      <c r="A469" s="45" t="inlineStr">
        <is>
          <t>GN-263</t>
        </is>
      </c>
      <c r="B469" s="46" t="inlineStr">
        <is>
          <t>河合塾COSMO</t>
        </is>
      </c>
      <c r="C469" s="47" t="inlineStr">
        <is>
          <t>一般事業者</t>
        </is>
      </c>
      <c r="D469" s="48" t="inlineStr">
        <is>
          <t>東京都新宿区西新宿７－１４－７　2階</t>
        </is>
      </c>
      <c r="E469" s="49" t="inlineStr">
        <is>
          <t>土・月・木・水・火・金</t>
        </is>
      </c>
      <c r="F469" s="48" t="inlineStr">
        <is>
          <t>大迫・長谷川・長野</t>
        </is>
      </c>
      <c r="G469" s="48" t="inlineStr">
        <is>
          <t>一般廃・産廃</t>
        </is>
      </c>
      <c r="H469" s="50" t="n">
        <v>97</v>
      </c>
    </row>
    <row r="470" ht="18" customHeight="1">
      <c r="A470" s="45" t="inlineStr">
        <is>
          <t>GN-264</t>
        </is>
      </c>
      <c r="B470" s="46" t="inlineStr">
        <is>
          <t>河合塾　KALS新宿校</t>
        </is>
      </c>
      <c r="C470" s="47" t="inlineStr">
        <is>
          <t>一般事業者</t>
        </is>
      </c>
      <c r="D470" s="48" t="inlineStr">
        <is>
          <t>東京都新宿区西新宿７－１５－２</t>
        </is>
      </c>
      <c r="E470" s="49" t="inlineStr">
        <is>
          <t>土・木・火</t>
        </is>
      </c>
      <c r="F470" s="48" t="inlineStr">
        <is>
          <t>和田・荻野・大迫・長野</t>
        </is>
      </c>
      <c r="G470" s="48" t="inlineStr">
        <is>
          <t>一般廃・段ボール・産廃</t>
        </is>
      </c>
      <c r="H470" s="50" t="n">
        <v>190</v>
      </c>
    </row>
    <row r="471" ht="18" customHeight="1">
      <c r="A471" s="45" t="inlineStr">
        <is>
          <t>GN-265</t>
        </is>
      </c>
      <c r="B471" s="46" t="inlineStr">
        <is>
          <t>河合塾　本郷校</t>
        </is>
      </c>
      <c r="C471" s="47" t="inlineStr">
        <is>
          <t>一般事業者</t>
        </is>
      </c>
      <c r="D471" s="48" t="inlineStr">
        <is>
          <t>東京都文京区小石川２－６－１</t>
        </is>
      </c>
      <c r="E471" s="49" t="inlineStr">
        <is>
          <t>月</t>
        </is>
      </c>
      <c r="F471" s="48" t="inlineStr">
        <is>
          <t>長野</t>
        </is>
      </c>
      <c r="G471" s="48" t="inlineStr">
        <is>
          <t>産廃</t>
        </is>
      </c>
      <c r="H471" s="50" t="n">
        <v>200</v>
      </c>
    </row>
    <row r="472" ht="18" customHeight="1">
      <c r="A472" s="45" t="inlineStr">
        <is>
          <t>GN-266</t>
        </is>
      </c>
      <c r="B472" s="46" t="inlineStr">
        <is>
          <t>河合塾美術研究所</t>
        </is>
      </c>
      <c r="C472" s="47" t="inlineStr">
        <is>
          <t>一般事業者</t>
        </is>
      </c>
      <c r="D472" s="48" t="inlineStr">
        <is>
          <t>東京都新宿区西新宿７－１４－５</t>
        </is>
      </c>
      <c r="E472" s="49" t="inlineStr">
        <is>
          <t>土・月・木・火</t>
        </is>
      </c>
      <c r="F472" s="48" t="inlineStr">
        <is>
          <t>和田・荻野・大迫・長野</t>
        </is>
      </c>
      <c r="G472" s="48" t="inlineStr">
        <is>
          <t>一般廃・段ボール・産廃</t>
        </is>
      </c>
      <c r="H472" s="50" t="n">
        <v>200</v>
      </c>
    </row>
    <row r="473" ht="18" customHeight="1">
      <c r="A473" s="45" t="inlineStr">
        <is>
          <t>GN-267</t>
        </is>
      </c>
      <c r="B473" s="46" t="inlineStr">
        <is>
          <t>清澄庁舎</t>
        </is>
      </c>
      <c r="C473" s="47" t="inlineStr">
        <is>
          <t>一般事業者</t>
        </is>
      </c>
      <c r="D473" s="48" t="inlineStr">
        <is>
          <t>東京都江東区清澄３－１１－４</t>
        </is>
      </c>
      <c r="E473" s="49" t="inlineStr">
        <is>
          <t>土・木・水・火</t>
        </is>
      </c>
      <c r="F473" s="48" t="inlineStr">
        <is>
          <t>宮原・岡田</t>
        </is>
      </c>
      <c r="G473" s="48" t="inlineStr">
        <is>
          <t>一般廃・産廃</t>
        </is>
      </c>
      <c r="H473" s="50" t="n">
        <v>202</v>
      </c>
    </row>
    <row r="474" ht="18" customHeight="1">
      <c r="A474" s="45" t="inlineStr">
        <is>
          <t>GN-268</t>
        </is>
      </c>
      <c r="B474" s="46" t="inlineStr">
        <is>
          <t>渋谷金王タワー共用部</t>
        </is>
      </c>
      <c r="C474" s="47" t="inlineStr">
        <is>
          <t>一般事業者</t>
        </is>
      </c>
      <c r="D474" s="48" t="inlineStr">
        <is>
          <t>東京都渋谷区渋谷３－６－７</t>
        </is>
      </c>
      <c r="E474" s="49" t="inlineStr">
        <is>
          <t>土・月・木・水・火・金</t>
        </is>
      </c>
      <c r="F474" s="48" t="inlineStr">
        <is>
          <t>長谷川・長野</t>
        </is>
      </c>
      <c r="G474" s="48" t="inlineStr">
        <is>
          <t>一般廃・産廃</t>
        </is>
      </c>
      <c r="H474" s="50" t="n">
        <v>2</v>
      </c>
    </row>
    <row r="475" ht="18" customHeight="1">
      <c r="A475" s="45" t="inlineStr">
        <is>
          <t>GN-269</t>
        </is>
      </c>
      <c r="B475" s="46" t="inlineStr">
        <is>
          <t>港町　バル</t>
        </is>
      </c>
      <c r="C475" s="47" t="inlineStr">
        <is>
          <t>一般事業者</t>
        </is>
      </c>
      <c r="D475" s="48" t="inlineStr">
        <is>
          <t>東京都目黒区上目黒３－５－２　４G-3</t>
        </is>
      </c>
      <c r="E475" s="49" t="inlineStr">
        <is>
          <t>・土・日・月・木・水・火・金</t>
        </is>
      </c>
      <c r="F475" s="48" t="inlineStr">
        <is>
          <t>中條・千葉・長谷川</t>
        </is>
      </c>
      <c r="G475" s="48" t="inlineStr">
        <is>
          <t>一般廃・瓶缶・産廃</t>
        </is>
      </c>
      <c r="H475" s="50" t="n">
        <v>155</v>
      </c>
    </row>
    <row r="476" ht="18" customHeight="1">
      <c r="A476" s="45" t="inlineStr">
        <is>
          <t>GN-270</t>
        </is>
      </c>
      <c r="B476" s="46" t="inlineStr">
        <is>
          <t>湖山</t>
        </is>
      </c>
      <c r="C476" s="47" t="inlineStr">
        <is>
          <t>一般事業者</t>
        </is>
      </c>
      <c r="D476" s="48" t="inlineStr">
        <is>
          <t>東京都目黒区鷹番２－２１－１９－２０４</t>
        </is>
      </c>
      <c r="E476" s="49" t="inlineStr">
        <is>
          <t>土・月・木・水・火・金</t>
        </is>
      </c>
      <c r="F476" s="48" t="inlineStr">
        <is>
          <t>中條・千葉・長谷川</t>
        </is>
      </c>
      <c r="G476" s="48" t="inlineStr">
        <is>
          <t>一般廃・瓶缶・産廃</t>
        </is>
      </c>
      <c r="H476" s="50" t="n">
        <v>76</v>
      </c>
    </row>
    <row r="477" ht="18" customHeight="1">
      <c r="A477" s="45" t="inlineStr">
        <is>
          <t>GN-271</t>
        </is>
      </c>
      <c r="B477" s="46" t="inlineStr">
        <is>
          <t>炉端のぬる燗　佐藤</t>
        </is>
      </c>
      <c r="C477" s="47" t="inlineStr">
        <is>
          <t>一般事業者</t>
        </is>
      </c>
      <c r="D477" s="48" t="inlineStr">
        <is>
          <t>東京都目黒区上目黒３－５－２　２G-4</t>
        </is>
      </c>
      <c r="E477" s="49" t="inlineStr">
        <is>
          <t>・土・日・月・木・水・火・金</t>
        </is>
      </c>
      <c r="F477" s="48" t="inlineStr">
        <is>
          <t>中條・千葉・長谷川</t>
        </is>
      </c>
      <c r="G477" s="48" t="inlineStr">
        <is>
          <t>一般廃・瓶缶・産廃</t>
        </is>
      </c>
      <c r="H477" s="50" t="n">
        <v>133</v>
      </c>
    </row>
    <row r="478" ht="18" customHeight="1">
      <c r="A478" s="45" t="inlineStr">
        <is>
          <t>GN-272</t>
        </is>
      </c>
      <c r="B478" s="46" t="inlineStr">
        <is>
          <t>煮込みヤマニ</t>
        </is>
      </c>
      <c r="C478" s="47" t="inlineStr">
        <is>
          <t>一般事業者</t>
        </is>
      </c>
      <c r="D478" s="48" t="inlineStr">
        <is>
          <t>東京都目黒区上目黒３－５－３　１E-１</t>
        </is>
      </c>
      <c r="E478" s="49" t="inlineStr">
        <is>
          <t>・土・月・木・水・火・金</t>
        </is>
      </c>
      <c r="F478" s="48" t="inlineStr">
        <is>
          <t>千葉・長谷川</t>
        </is>
      </c>
      <c r="G478" s="48" t="inlineStr">
        <is>
          <t>一般廃・産廃</t>
        </is>
      </c>
      <c r="H478" s="50" t="n">
        <v>171</v>
      </c>
    </row>
    <row r="479" ht="18" customHeight="1">
      <c r="A479" s="45" t="inlineStr">
        <is>
          <t>GN-273</t>
        </is>
      </c>
      <c r="B479" s="46" t="inlineStr">
        <is>
          <t>熱炒　虎打楽</t>
        </is>
      </c>
      <c r="C479" s="47" t="inlineStr">
        <is>
          <t>一般事業者</t>
        </is>
      </c>
      <c r="D479" s="48" t="inlineStr">
        <is>
          <t>東京都目黒区上目黒３－４－１　５D－７</t>
        </is>
      </c>
      <c r="E479" s="49" t="inlineStr">
        <is>
          <t>土・日・月・木・水・火・金</t>
        </is>
      </c>
      <c r="F479" s="48" t="inlineStr">
        <is>
          <t>中條・千葉・長谷川</t>
        </is>
      </c>
      <c r="G479" s="48" t="inlineStr">
        <is>
          <t>一般廃・瓶缶・産廃</t>
        </is>
      </c>
      <c r="H479" s="50" t="n">
        <v>88</v>
      </c>
    </row>
    <row r="480" ht="18" customHeight="1">
      <c r="A480" s="45" t="inlineStr">
        <is>
          <t>GN-274</t>
        </is>
      </c>
      <c r="B480" s="46" t="inlineStr">
        <is>
          <t>猿田彦珈琲　駒澤大学駅店</t>
        </is>
      </c>
      <c r="C480" s="47" t="inlineStr">
        <is>
          <t>一般事業者</t>
        </is>
      </c>
      <c r="D480" s="48" t="inlineStr">
        <is>
          <t>東京都世田谷区上馬３－１８　A区画</t>
        </is>
      </c>
      <c r="E480" s="49" t="inlineStr">
        <is>
          <t>土・月・木・水・火・金</t>
        </is>
      </c>
      <c r="F480" s="48" t="inlineStr">
        <is>
          <t>和田・荻野・長谷川・長野</t>
        </is>
      </c>
      <c r="G480" s="48" t="inlineStr">
        <is>
          <t>一般廃・段ボール・産廃</t>
        </is>
      </c>
      <c r="H480" s="50" t="n">
        <v>250</v>
      </c>
    </row>
    <row r="481" ht="18" customHeight="1">
      <c r="A481" s="45" t="inlineStr">
        <is>
          <t>GN-275</t>
        </is>
      </c>
      <c r="B481" s="46" t="inlineStr">
        <is>
          <t>甘や　羽田工場</t>
        </is>
      </c>
      <c r="C481" s="47" t="inlineStr">
        <is>
          <t>一般事業者</t>
        </is>
      </c>
      <c r="D481" s="48" t="inlineStr">
        <is>
          <t>東京都大田区羽田４－４－４</t>
        </is>
      </c>
      <c r="E481" s="49" t="inlineStr">
        <is>
          <t>月・木・水・火・金</t>
        </is>
      </c>
      <c r="F481" s="48" t="inlineStr">
        <is>
          <t>千葉・白</t>
        </is>
      </c>
      <c r="G481" s="48" t="inlineStr">
        <is>
          <t>一般廃・産廃</t>
        </is>
      </c>
      <c r="H481" s="50" t="n">
        <v>440</v>
      </c>
    </row>
    <row r="482" ht="18" customHeight="1">
      <c r="A482" s="45" t="inlineStr">
        <is>
          <t>GN-276</t>
        </is>
      </c>
      <c r="B482" s="46" t="inlineStr">
        <is>
          <t>田なか</t>
        </is>
      </c>
      <c r="C482" s="47" t="inlineStr">
        <is>
          <t>一般事業者</t>
        </is>
      </c>
      <c r="D482" s="48" t="inlineStr">
        <is>
          <t>東京都目黒区中根１－５－２　都立大高架下B館</t>
        </is>
      </c>
      <c r="E482" s="49" t="inlineStr">
        <is>
          <t>土・日・月・木・水・火・金</t>
        </is>
      </c>
      <c r="F482" s="48" t="inlineStr">
        <is>
          <t>中條・千葉・長谷川</t>
        </is>
      </c>
      <c r="G482" s="48" t="inlineStr">
        <is>
          <t>一般廃・瓶缶・産廃</t>
        </is>
      </c>
      <c r="H482" s="50" t="n">
        <v>13</v>
      </c>
    </row>
    <row r="483" ht="18" customHeight="1">
      <c r="A483" s="45" t="inlineStr">
        <is>
          <t>GN-277</t>
        </is>
      </c>
      <c r="B483" s="46" t="inlineStr">
        <is>
          <t>白洋舎　東京支店</t>
        </is>
      </c>
      <c r="C483" s="47" t="inlineStr">
        <is>
          <t>一般事業者</t>
        </is>
      </c>
      <c r="D483" s="48" t="inlineStr">
        <is>
          <t>東京都大田区下丸子２－１１－１</t>
        </is>
      </c>
      <c r="E483" s="49" t="inlineStr">
        <is>
          <t>月・水・金</t>
        </is>
      </c>
      <c r="F483" s="48" t="inlineStr">
        <is>
          <t>長野</t>
        </is>
      </c>
      <c r="G483" s="48" t="inlineStr">
        <is>
          <t>産廃</t>
        </is>
      </c>
      <c r="H483" s="50" t="n">
        <v>980</v>
      </c>
    </row>
    <row r="484" ht="18" customHeight="1">
      <c r="A484" s="45" t="inlineStr">
        <is>
          <t>GN-278</t>
        </is>
      </c>
      <c r="B484" s="46" t="inlineStr">
        <is>
          <t>白洋舎東京支店</t>
        </is>
      </c>
      <c r="C484" s="47" t="inlineStr">
        <is>
          <t>一般事業者</t>
        </is>
      </c>
      <c r="D484" s="48" t="inlineStr">
        <is>
          <t>東京都大田区下丸子２－１１－１</t>
        </is>
      </c>
      <c r="E484" s="49" t="inlineStr">
        <is>
          <t>土・木・火</t>
        </is>
      </c>
      <c r="F484" s="48" t="inlineStr">
        <is>
          <t>白</t>
        </is>
      </c>
      <c r="G484" s="48" t="inlineStr">
        <is>
          <t>一般廃</t>
        </is>
      </c>
      <c r="H484" s="50" t="n">
        <v>550</v>
      </c>
    </row>
    <row r="485" ht="18" customHeight="1">
      <c r="A485" s="45" t="inlineStr">
        <is>
          <t>GN-279</t>
        </is>
      </c>
      <c r="B485" s="46" t="inlineStr">
        <is>
          <t>白百合幼稚園</t>
        </is>
      </c>
      <c r="C485" s="47" t="inlineStr">
        <is>
          <t>一般事業者</t>
        </is>
      </c>
      <c r="D485" s="48" t="inlineStr">
        <is>
          <t>東京都大田区上池台４－７－５</t>
        </is>
      </c>
      <c r="E485" s="49" t="inlineStr">
        <is>
          <t>水・金</t>
        </is>
      </c>
      <c r="F485" s="48" t="inlineStr">
        <is>
          <t>千葉</t>
        </is>
      </c>
      <c r="G485" s="48" t="inlineStr">
        <is>
          <t>産廃</t>
        </is>
      </c>
      <c r="H485" s="50" t="n">
        <v>10</v>
      </c>
    </row>
    <row r="486" ht="18" customHeight="1">
      <c r="A486" s="45" t="inlineStr">
        <is>
          <t>GN-280</t>
        </is>
      </c>
      <c r="B486" s="46" t="inlineStr">
        <is>
          <t>目黒高架下　共用部ーI</t>
        </is>
      </c>
      <c r="C486" s="47" t="inlineStr">
        <is>
          <t>一般事業者</t>
        </is>
      </c>
      <c r="D486" s="48" t="inlineStr">
        <is>
          <t>東京都目黒区上目黒２－４５－１４　I敷地</t>
        </is>
      </c>
      <c r="E486" s="49" t="inlineStr">
        <is>
          <t>土・月・木・水・火・金</t>
        </is>
      </c>
      <c r="F486" s="48" t="inlineStr">
        <is>
          <t>長谷川</t>
        </is>
      </c>
      <c r="G486" s="48" t="inlineStr">
        <is>
          <t>一般廃</t>
        </is>
      </c>
      <c r="H486" s="50" t="n">
        <v>0</v>
      </c>
    </row>
    <row r="487" ht="18" customHeight="1">
      <c r="A487" s="45" t="inlineStr">
        <is>
          <t>GN-281</t>
        </is>
      </c>
      <c r="B487" s="46" t="inlineStr">
        <is>
          <t>第一商事</t>
        </is>
      </c>
      <c r="C487" s="47" t="inlineStr">
        <is>
          <t>一般事業者</t>
        </is>
      </c>
      <c r="D487" s="48" t="inlineStr">
        <is>
          <t>東京都大田区西蒲田７－３１－１グレワン第3ビル　１F</t>
        </is>
      </c>
      <c r="E487" s="49" t="inlineStr">
        <is>
          <t>水</t>
        </is>
      </c>
      <c r="F487" s="48" t="inlineStr">
        <is>
          <t>千葉</t>
        </is>
      </c>
      <c r="G487" s="48" t="inlineStr">
        <is>
          <t>産廃</t>
        </is>
      </c>
      <c r="H487" s="50" t="n">
        <v>20</v>
      </c>
    </row>
    <row r="488" ht="18" customHeight="1">
      <c r="A488" s="45" t="inlineStr">
        <is>
          <t>GN-282</t>
        </is>
      </c>
      <c r="B488" s="46" t="inlineStr">
        <is>
          <t>米粉と鉄板</t>
        </is>
      </c>
      <c r="C488" s="47" t="inlineStr">
        <is>
          <t>一般事業者</t>
        </is>
      </c>
      <c r="D488" s="48" t="inlineStr">
        <is>
          <t>東京都目黒区碑文谷６－６－５　GAKUDAI COLLECTIV B-２</t>
        </is>
      </c>
      <c r="E488" s="49" t="inlineStr">
        <is>
          <t>土・月・木・水・火・金</t>
        </is>
      </c>
      <c r="F488" s="48" t="inlineStr">
        <is>
          <t>千葉・長谷川</t>
        </is>
      </c>
      <c r="G488" s="48" t="inlineStr">
        <is>
          <t>一般廃・産廃</t>
        </is>
      </c>
      <c r="H488" s="50" t="n">
        <v>0</v>
      </c>
    </row>
    <row r="489" ht="18" customHeight="1">
      <c r="A489" s="45" t="inlineStr">
        <is>
          <t>GN-283</t>
        </is>
      </c>
      <c r="B489" s="46" t="inlineStr">
        <is>
          <t>紅矢　都立大学店</t>
        </is>
      </c>
      <c r="C489" s="47" t="inlineStr">
        <is>
          <t>一般事業者</t>
        </is>
      </c>
      <c r="D489" s="48" t="inlineStr">
        <is>
          <t>東京都目黒区中根１－５－２　都立大高架下B館</t>
        </is>
      </c>
      <c r="E489" s="49" t="inlineStr">
        <is>
          <t>土・日・月・木・水・火・金</t>
        </is>
      </c>
      <c r="F489" s="48" t="inlineStr">
        <is>
          <t>中條・千葉・長谷川</t>
        </is>
      </c>
      <c r="G489" s="48" t="inlineStr">
        <is>
          <t>一般廃・瓶缶・産廃</t>
        </is>
      </c>
      <c r="H489" s="50" t="n">
        <v>32</v>
      </c>
    </row>
    <row r="490" ht="18" customHeight="1">
      <c r="A490" s="45" t="inlineStr">
        <is>
          <t>GN-284</t>
        </is>
      </c>
      <c r="B490" s="46" t="inlineStr">
        <is>
          <t>総合病院一心病院</t>
        </is>
      </c>
      <c r="C490" s="47" t="inlineStr">
        <is>
          <t>一般事業者</t>
        </is>
      </c>
      <c r="D490" s="48" t="inlineStr">
        <is>
          <t>東京都豊島区北大塚１－１８－７</t>
        </is>
      </c>
      <c r="E490" s="49" t="inlineStr">
        <is>
          <t>土・月・木・火・金</t>
        </is>
      </c>
      <c r="F490" s="48" t="inlineStr">
        <is>
          <t>大迫・長野</t>
        </is>
      </c>
      <c r="G490" s="48" t="inlineStr">
        <is>
          <t>一般廃・産廃</t>
        </is>
      </c>
      <c r="H490" s="50" t="n">
        <v>860</v>
      </c>
    </row>
    <row r="491" ht="18" customHeight="1">
      <c r="A491" s="45" t="inlineStr">
        <is>
          <t>GN-285</t>
        </is>
      </c>
      <c r="B491" s="46" t="inlineStr">
        <is>
          <t>緑が丘エキナカ保育園</t>
        </is>
      </c>
      <c r="C491" s="47" t="inlineStr">
        <is>
          <t>一般事業者</t>
        </is>
      </c>
      <c r="D491" s="48" t="inlineStr">
        <is>
          <t>東京都目黒区緑が丘３－１－１２</t>
        </is>
      </c>
      <c r="E491" s="49" t="inlineStr">
        <is>
          <t>火</t>
        </is>
      </c>
      <c r="F491" s="48" t="inlineStr">
        <is>
          <t>千葉</t>
        </is>
      </c>
      <c r="G491" s="48" t="inlineStr">
        <is>
          <t>産廃</t>
        </is>
      </c>
      <c r="H491" s="50" t="n">
        <v>0</v>
      </c>
    </row>
    <row r="492" ht="18" customHeight="1">
      <c r="A492" s="45" t="inlineStr">
        <is>
          <t>GN-286</t>
        </is>
      </c>
      <c r="B492" s="46" t="inlineStr">
        <is>
          <t>自由が丘駅/北口</t>
        </is>
      </c>
      <c r="C492" s="47" t="inlineStr">
        <is>
          <t>一般事業者</t>
        </is>
      </c>
      <c r="D492" s="48" t="inlineStr">
        <is>
          <t>東京都目黒区自由が丘１－３０－１</t>
        </is>
      </c>
      <c r="E492" s="49" t="inlineStr">
        <is>
          <t>土・月・木・水・火・金</t>
        </is>
      </c>
      <c r="F492" s="48" t="inlineStr">
        <is>
          <t>藤内</t>
        </is>
      </c>
      <c r="G492" s="48" t="inlineStr">
        <is>
          <t>段ボール</t>
        </is>
      </c>
      <c r="H492" s="50" t="n">
        <v>370</v>
      </c>
    </row>
    <row r="493" ht="18" customHeight="1">
      <c r="A493" s="45" t="inlineStr">
        <is>
          <t>GN-287</t>
        </is>
      </c>
      <c r="B493" s="46" t="inlineStr">
        <is>
          <t>自由が丘駅/南口</t>
        </is>
      </c>
      <c r="C493" s="47" t="inlineStr">
        <is>
          <t>一般事業者</t>
        </is>
      </c>
      <c r="D493" s="48" t="inlineStr">
        <is>
          <t>東京都目黒区自由が丘１－３０－２</t>
        </is>
      </c>
      <c r="E493" s="49" t="inlineStr">
        <is>
          <t>土・月・木・水・火・金</t>
        </is>
      </c>
      <c r="F493" s="48" t="inlineStr">
        <is>
          <t>藤内</t>
        </is>
      </c>
      <c r="G493" s="48" t="inlineStr">
        <is>
          <t>段ボール</t>
        </is>
      </c>
      <c r="H493" s="50" t="n">
        <v>180</v>
      </c>
    </row>
    <row r="494" ht="18" customHeight="1">
      <c r="A494" s="45" t="inlineStr">
        <is>
          <t>GN-288</t>
        </is>
      </c>
      <c r="B494" s="46" t="inlineStr">
        <is>
          <t>荏原中延駐輪場</t>
        </is>
      </c>
      <c r="C494" s="47" t="inlineStr">
        <is>
          <t>一般事業者</t>
        </is>
      </c>
      <c r="D494" s="48" t="inlineStr">
        <is>
          <t>東京都品川区中延２－８－１</t>
        </is>
      </c>
      <c r="E494" s="49" t="inlineStr">
        <is>
          <t>火・金</t>
        </is>
      </c>
      <c r="F494" s="48" t="inlineStr">
        <is>
          <t>中條</t>
        </is>
      </c>
      <c r="G494" s="48" t="inlineStr">
        <is>
          <t>不燃物</t>
        </is>
      </c>
      <c r="H494" s="50" t="n">
        <v>10</v>
      </c>
    </row>
    <row r="495" ht="18" customHeight="1">
      <c r="A495" s="45" t="inlineStr">
        <is>
          <t>GN-289</t>
        </is>
      </c>
      <c r="B495" s="46" t="inlineStr">
        <is>
          <t>落合斎場</t>
        </is>
      </c>
      <c r="C495" s="47" t="inlineStr">
        <is>
          <t>一般事業者</t>
        </is>
      </c>
      <c r="D495" s="48" t="inlineStr">
        <is>
          <t>東京都新宿区上落合３－３４－１２</t>
        </is>
      </c>
      <c r="E495" s="49" t="inlineStr">
        <is>
          <t>土・月・木・水・火・金</t>
        </is>
      </c>
      <c r="F495" s="48" t="inlineStr">
        <is>
          <t>大迫・山口・長谷川・長野</t>
        </is>
      </c>
      <c r="G495" s="48" t="inlineStr">
        <is>
          <t>一般廃・不燃物・産廃</t>
        </is>
      </c>
      <c r="H495" s="50" t="n">
        <v>510</v>
      </c>
    </row>
    <row r="496" ht="18" customHeight="1">
      <c r="A496" s="45" t="inlineStr">
        <is>
          <t>GN-290</t>
        </is>
      </c>
      <c r="B496" s="46" t="inlineStr">
        <is>
          <t>西小山（南）駐輪場</t>
        </is>
      </c>
      <c r="C496" s="47" t="inlineStr">
        <is>
          <t>一般事業者</t>
        </is>
      </c>
      <c r="D496" s="48" t="inlineStr">
        <is>
          <t>東京都品川区小山６－３－１０</t>
        </is>
      </c>
      <c r="E496" s="49" t="inlineStr">
        <is>
          <t>火</t>
        </is>
      </c>
      <c r="F496" s="48" t="inlineStr">
        <is>
          <t>中條</t>
        </is>
      </c>
      <c r="G496" s="48" t="inlineStr">
        <is>
          <t>不燃物</t>
        </is>
      </c>
      <c r="H496" s="50" t="n">
        <v>0</v>
      </c>
    </row>
    <row r="497" ht="18" customHeight="1">
      <c r="A497" s="45" t="inlineStr">
        <is>
          <t>GN-291</t>
        </is>
      </c>
      <c r="B497" s="46" t="inlineStr">
        <is>
          <t>親子カフェ　ぷっぷ</t>
        </is>
      </c>
      <c r="C497" s="47" t="inlineStr">
        <is>
          <t>一般事業者</t>
        </is>
      </c>
      <c r="D497" s="48" t="inlineStr">
        <is>
          <t>東京都目黒区碑文谷６－６－４　GAKUDAI COLLECTIV A-1</t>
        </is>
      </c>
      <c r="E497" s="49" t="inlineStr">
        <is>
          <t>土・月・木・水・火・金</t>
        </is>
      </c>
      <c r="F497" s="48" t="inlineStr">
        <is>
          <t>千葉・長谷川</t>
        </is>
      </c>
      <c r="G497" s="48" t="inlineStr">
        <is>
          <t>一般廃・産廃</t>
        </is>
      </c>
      <c r="H497" s="50" t="n">
        <v>10</v>
      </c>
    </row>
    <row r="498" ht="18" customHeight="1">
      <c r="A498" s="45" t="inlineStr">
        <is>
          <t>GN-292</t>
        </is>
      </c>
      <c r="B498" s="46" t="inlineStr">
        <is>
          <t>誠伸商事</t>
        </is>
      </c>
      <c r="C498" s="47" t="inlineStr">
        <is>
          <t>一般事業者</t>
        </is>
      </c>
      <c r="D498" s="48" t="inlineStr">
        <is>
          <t>東京都大田区北千束２－９－１０</t>
        </is>
      </c>
      <c r="E498" s="49" t="inlineStr">
        <is>
          <t>月・木・火</t>
        </is>
      </c>
      <c r="F498" s="48" t="inlineStr">
        <is>
          <t>中條・千葉・白</t>
        </is>
      </c>
      <c r="G498" s="48" t="inlineStr">
        <is>
          <t>一般廃・段ボール・産廃</t>
        </is>
      </c>
      <c r="H498" s="50" t="n">
        <v>65</v>
      </c>
    </row>
    <row r="499" ht="18" customHeight="1">
      <c r="A499" s="45" t="inlineStr">
        <is>
          <t>GN-293</t>
        </is>
      </c>
      <c r="B499" s="46" t="inlineStr">
        <is>
          <t>貝々　味海</t>
        </is>
      </c>
      <c r="C499" s="47" t="inlineStr">
        <is>
          <t>一般事業者</t>
        </is>
      </c>
      <c r="D499" s="48" t="inlineStr">
        <is>
          <t>東京都品川区西五反田１－１２－１</t>
        </is>
      </c>
      <c r="E499" s="49" t="inlineStr">
        <is>
          <t>月・水・火・金</t>
        </is>
      </c>
      <c r="F499" s="48" t="inlineStr">
        <is>
          <t>中條・千葉</t>
        </is>
      </c>
      <c r="G499" s="48" t="inlineStr">
        <is>
          <t>瓶缶・産廃</t>
        </is>
      </c>
      <c r="H499" s="50" t="n">
        <v>22</v>
      </c>
    </row>
    <row r="500" ht="18" customHeight="1">
      <c r="A500" s="45" t="inlineStr">
        <is>
          <t>GN-294</t>
        </is>
      </c>
      <c r="B500" s="46" t="inlineStr">
        <is>
          <t>都立大学高架下共用部</t>
        </is>
      </c>
      <c r="C500" s="47" t="inlineStr">
        <is>
          <t>一般事業者</t>
        </is>
      </c>
      <c r="D500" s="48" t="inlineStr">
        <is>
          <t>東京都目黒区中根１－５－２　都立大高架下</t>
        </is>
      </c>
      <c r="E500" s="49" t="inlineStr">
        <is>
          <t>土・日・月・木・水・火・金</t>
        </is>
      </c>
      <c r="F500" s="48" t="inlineStr">
        <is>
          <t>中條・千葉・藤内</t>
        </is>
      </c>
      <c r="G500" s="48" t="inlineStr">
        <is>
          <t>一般廃・段ボール・産廃</t>
        </is>
      </c>
      <c r="H500" s="50" t="n">
        <v>145</v>
      </c>
    </row>
    <row r="501" ht="18" customHeight="1">
      <c r="A501" s="45" t="inlineStr">
        <is>
          <t>GN-295</t>
        </is>
      </c>
      <c r="B501" s="46" t="inlineStr">
        <is>
          <t>銀座マギー　商品センター</t>
        </is>
      </c>
      <c r="C501" s="47" t="inlineStr">
        <is>
          <t>一般事業者</t>
        </is>
      </c>
      <c r="D501" s="48" t="inlineStr">
        <is>
          <t>東京都世田谷区東玉川２－３７－１１</t>
        </is>
      </c>
      <c r="E501" s="49" t="inlineStr">
        <is>
          <t>・木・火</t>
        </is>
      </c>
      <c r="F501" s="48" t="inlineStr">
        <is>
          <t>千葉・長野</t>
        </is>
      </c>
      <c r="G501" s="48" t="inlineStr">
        <is>
          <t>産廃</t>
        </is>
      </c>
      <c r="H501" s="50" t="n">
        <v>290</v>
      </c>
    </row>
    <row r="502" ht="18" customHeight="1">
      <c r="A502" s="45" t="inlineStr">
        <is>
          <t>GN-296</t>
        </is>
      </c>
      <c r="B502" s="46" t="inlineStr">
        <is>
          <t>青山フラワーマーケット</t>
        </is>
      </c>
      <c r="C502" s="47" t="inlineStr">
        <is>
          <t>一般事業者</t>
        </is>
      </c>
      <c r="D502" s="48" t="inlineStr">
        <is>
          <t>東京都目黒区上目黒３－４－１　５D－１</t>
        </is>
      </c>
      <c r="E502" s="49" t="inlineStr">
        <is>
          <t>土・日・月・木・水・火・金</t>
        </is>
      </c>
      <c r="F502" s="48" t="inlineStr">
        <is>
          <t>中條・千葉・長谷川</t>
        </is>
      </c>
      <c r="G502" s="48" t="inlineStr">
        <is>
          <t>一般廃・瓶缶・産廃</t>
        </is>
      </c>
      <c r="H502" s="50" t="n">
        <v>132</v>
      </c>
    </row>
    <row r="503" ht="18" customHeight="1">
      <c r="A503" s="45" t="inlineStr">
        <is>
          <t>GN-297</t>
        </is>
      </c>
      <c r="B503" s="46" t="inlineStr">
        <is>
          <t>魚の店　オカモ倶楽部</t>
        </is>
      </c>
      <c r="C503" s="47" t="inlineStr">
        <is>
          <t>一般事業者</t>
        </is>
      </c>
      <c r="D503" s="48" t="inlineStr">
        <is>
          <t>東京都目黒区上目黒３－５－２　９中目黒高架下F-1</t>
        </is>
      </c>
      <c r="E503" s="49" t="inlineStr">
        <is>
          <t>・土・日・月・木・水・火・金</t>
        </is>
      </c>
      <c r="F503" s="48" t="inlineStr">
        <is>
          <t>中條・千葉・長谷川</t>
        </is>
      </c>
      <c r="G503" s="48" t="inlineStr">
        <is>
          <t>一般廃・瓶缶・産廃</t>
        </is>
      </c>
      <c r="H503" s="50" t="n">
        <v>525</v>
      </c>
    </row>
    <row r="504" ht="18" customHeight="1">
      <c r="A504" s="45" t="inlineStr">
        <is>
          <t>GN-298</t>
        </is>
      </c>
      <c r="B504" s="46" t="inlineStr">
        <is>
          <t>魚潮</t>
        </is>
      </c>
      <c r="C504" s="47" t="inlineStr">
        <is>
          <t>一般事業者</t>
        </is>
      </c>
      <c r="D504" s="48" t="inlineStr">
        <is>
          <t>東京都目黒区鷹番２－２１－１６－２０９</t>
        </is>
      </c>
      <c r="E504" s="49" t="inlineStr">
        <is>
          <t>土・月・木・水・火・金</t>
        </is>
      </c>
      <c r="F504" s="48" t="inlineStr">
        <is>
          <t>中條・千葉・長谷川</t>
        </is>
      </c>
      <c r="G504" s="48" t="inlineStr">
        <is>
          <t>一般廃・瓶缶・産廃</t>
        </is>
      </c>
      <c r="H504" s="50" t="n">
        <v>165</v>
      </c>
    </row>
    <row r="505" ht="18" customHeight="1">
      <c r="A505" s="45" t="inlineStr">
        <is>
          <t>GN-299</t>
        </is>
      </c>
      <c r="B505" s="46" t="inlineStr">
        <is>
          <t>鮮魚　北浜　学芸大学店</t>
        </is>
      </c>
      <c r="C505" s="47" t="inlineStr">
        <is>
          <t>一般事業者</t>
        </is>
      </c>
      <c r="D505" s="48" t="inlineStr">
        <is>
          <t>東京都目黒区鷹番３－２－１学大市場　１３－３</t>
        </is>
      </c>
      <c r="E505" s="49" t="inlineStr">
        <is>
          <t>・土・日・月・木・水・火・金</t>
        </is>
      </c>
      <c r="F505" s="48" t="inlineStr">
        <is>
          <t>中條・千葉・長谷川</t>
        </is>
      </c>
      <c r="G505" s="48" t="inlineStr">
        <is>
          <t>一般廃・産廃</t>
        </is>
      </c>
      <c r="H505" s="50" t="n">
        <v>162</v>
      </c>
    </row>
    <row r="506" ht="18" customHeight="1">
      <c r="A506" s="45" t="inlineStr">
        <is>
          <t>GN-300</t>
        </is>
      </c>
      <c r="B506" s="46" t="inlineStr">
        <is>
          <t>鶏だしおでん　さもん</t>
        </is>
      </c>
      <c r="C506" s="47" t="inlineStr">
        <is>
          <t>一般事業者</t>
        </is>
      </c>
      <c r="D506" s="48" t="inlineStr">
        <is>
          <t>東京都目黒区上目黒３－５－３　１E-1</t>
        </is>
      </c>
      <c r="E506" s="49" t="inlineStr">
        <is>
          <t>土・日・月・木・水・火・金</t>
        </is>
      </c>
      <c r="F506" s="48" t="inlineStr">
        <is>
          <t>中條・千葉・長谷川</t>
        </is>
      </c>
      <c r="G506" s="48" t="inlineStr">
        <is>
          <t>一般廃・瓶缶・産廃</t>
        </is>
      </c>
      <c r="H506" s="50" t="n">
        <v>361</v>
      </c>
    </row>
    <row r="507" ht="18" customHeight="1">
      <c r="A507" s="45" t="inlineStr">
        <is>
          <t>GN-301</t>
        </is>
      </c>
      <c r="B507" s="46" t="inlineStr">
        <is>
          <t>鶴本部・工房</t>
        </is>
      </c>
      <c r="C507" s="47" t="inlineStr">
        <is>
          <t>一般事業者</t>
        </is>
      </c>
      <c r="D507" s="48" t="inlineStr">
        <is>
          <t>東京都渋谷区代官山町１３－１代官山ログロード</t>
        </is>
      </c>
      <c r="E507" s="49" t="inlineStr">
        <is>
          <t>土・月・木・水・火・金</t>
        </is>
      </c>
      <c r="F507" s="48" t="inlineStr">
        <is>
          <t>和田・荻野・長谷川・長野</t>
        </is>
      </c>
      <c r="G507" s="48" t="inlineStr">
        <is>
          <t>一般廃・段ボール・産廃</t>
        </is>
      </c>
      <c r="H507" s="50" t="n">
        <v>8</v>
      </c>
    </row>
    <row r="508" ht="18" customHeight="1">
      <c r="A508" s="45" t="inlineStr">
        <is>
          <t>GN-302</t>
        </is>
      </c>
      <c r="B508" s="46" t="inlineStr">
        <is>
          <t>１０BL共用部分</t>
        </is>
      </c>
      <c r="C508" s="47" t="inlineStr">
        <is>
          <t>一般事業者</t>
        </is>
      </c>
      <c r="D508" s="48" t="inlineStr">
        <is>
          <t>東京都目黒区鷹番２－２１－１９</t>
        </is>
      </c>
      <c r="E508" s="49" t="inlineStr">
        <is>
          <t>土・月・木・水・火・金</t>
        </is>
      </c>
      <c r="F508" s="48" t="inlineStr">
        <is>
          <t>中條・千葉・長谷川</t>
        </is>
      </c>
      <c r="G508" s="48" t="inlineStr">
        <is>
          <t>一般廃・瓶缶・産廃</t>
        </is>
      </c>
      <c r="H508" s="50" t="n">
        <v>10</v>
      </c>
    </row>
  </sheetData>
  <mergeCells count="2">
    <mergeCell ref="A1:K1"/>
    <mergeCell ref="A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55A00"/>
    <outlinePr summaryBelow="1" summaryRight="1"/>
    <pageSetUpPr/>
  </sheetPr>
  <dimension ref="A1:V36"/>
  <sheetViews>
    <sheetView showGridLines="0" workbookViewId="0">
      <pane xSplit="5" ySplit="4" topLeftCell="F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14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4" customWidth="1" min="10" max="10"/>
    <col width="12" customWidth="1" min="11" max="11"/>
    <col width="12" customWidth="1" min="12" max="12"/>
    <col width="13" customWidth="1" min="13" max="13"/>
    <col width="12" customWidth="1" min="14" max="14"/>
    <col width="12" customWidth="1" min="15" max="15"/>
    <col width="11" customWidth="1" min="16" max="16"/>
    <col width="14" customWidth="1" min="17" max="17"/>
    <col width="14" customWidth="1" min="18" max="18"/>
    <col width="10" customWidth="1" min="19" max="19"/>
    <col width="11" customWidth="1" min="20" max="20"/>
    <col width="12" customWidth="1" min="21" max="21"/>
    <col width="16" customWidth="1" min="22" max="22"/>
  </cols>
  <sheetData>
    <row r="1" ht="36" customHeight="1">
      <c r="A1" s="1" t="inlineStr">
        <is>
          <t>月次採算入力シート（案件別）　★黄緑セル=売上原票から自動参照</t>
        </is>
      </c>
    </row>
    <row r="2" ht="22" customHeight="1">
      <c r="A2" s="51" t="inlineStr">
        <is>
          <t>【売上の自動連携】 E列〜H列の売上は ⑤売上原票 と ⑥科目-案件マッピング を参照して自動計算します。 集計月(D列)に YYYY-MM 形式で入力してください。</t>
        </is>
      </c>
      <c r="B2" s="97" t="n"/>
      <c r="C2" s="97" t="n"/>
      <c r="D2" s="97" t="n"/>
      <c r="E2" s="97" t="n"/>
      <c r="F2" s="97" t="n"/>
      <c r="G2" s="97" t="n"/>
      <c r="H2" s="97" t="n"/>
      <c r="I2" s="97" t="n"/>
      <c r="J2" s="97" t="n"/>
      <c r="K2" s="97" t="n"/>
      <c r="L2" s="97" t="n"/>
      <c r="M2" s="97" t="n"/>
      <c r="N2" s="97" t="n"/>
      <c r="O2" s="97" t="n"/>
      <c r="P2" s="97" t="n"/>
      <c r="Q2" s="97" t="n"/>
      <c r="R2" s="97" t="n"/>
      <c r="S2" s="97" t="n"/>
      <c r="T2" s="97" t="n"/>
      <c r="U2" s="97" t="n"/>
      <c r="V2" s="98" t="n"/>
    </row>
    <row r="3" ht="22" customHeight="1">
      <c r="A3" s="2" t="inlineStr">
        <is>
          <t>案件情報</t>
        </is>
      </c>
      <c r="B3" s="97" t="n"/>
      <c r="C3" s="97" t="n"/>
      <c r="D3" s="98" t="n"/>
      <c r="E3" s="4" t="inlineStr">
        <is>
          <t>売上（⑤⑥から自動参照）</t>
        </is>
      </c>
      <c r="F3" s="97" t="n"/>
      <c r="G3" s="97" t="n"/>
      <c r="H3" s="97" t="n"/>
      <c r="I3" s="98" t="n"/>
      <c r="J3" s="52" t="inlineStr">
        <is>
          <t>原　価（入力欄）</t>
        </is>
      </c>
      <c r="K3" s="97" t="n"/>
      <c r="L3" s="97" t="n"/>
      <c r="M3" s="97" t="n"/>
      <c r="N3" s="97" t="n"/>
      <c r="O3" s="97" t="n"/>
      <c r="P3" s="97" t="n"/>
      <c r="Q3" s="98" t="n"/>
      <c r="R3" s="53" t="inlineStr">
        <is>
          <t>採　算</t>
        </is>
      </c>
      <c r="S3" s="97" t="n"/>
      <c r="T3" s="97" t="n"/>
      <c r="U3" s="97" t="n"/>
      <c r="V3" s="98" t="n"/>
    </row>
    <row r="4" ht="36" customHeight="1">
      <c r="A4" s="2" t="inlineStr">
        <is>
          <t>案件ID</t>
        </is>
      </c>
      <c r="B4" s="2" t="inlineStr">
        <is>
          <t>案件名</t>
        </is>
      </c>
      <c r="C4" s="2" t="inlineStr">
        <is>
          <t>カテゴリ</t>
        </is>
      </c>
      <c r="D4" s="2" t="inlineStr">
        <is>
          <t>集計月
(YYYY-MM)</t>
        </is>
      </c>
      <c r="E4" s="4" t="inlineStr">
        <is>
          <t>●運送
(612-1)</t>
        </is>
      </c>
      <c r="F4" s="4" t="inlineStr">
        <is>
          <t>●入札
(612-2)</t>
        </is>
      </c>
      <c r="G4" s="4" t="inlineStr">
        <is>
          <t>●板橋
(615-1)</t>
        </is>
      </c>
      <c r="H4" s="4" t="inlineStr">
        <is>
          <t>●その他</t>
        </is>
      </c>
      <c r="I4" s="4" t="inlineStr">
        <is>
          <t>売上合計</t>
        </is>
      </c>
      <c r="J4" s="52" t="inlineStr">
        <is>
          <t>人件費</t>
        </is>
      </c>
      <c r="K4" s="52" t="inlineStr">
        <is>
          <t>燃料費</t>
        </is>
      </c>
      <c r="L4" s="52" t="inlineStr">
        <is>
          <t>車両維持費</t>
        </is>
      </c>
      <c r="M4" s="52" t="inlineStr">
        <is>
          <t>中間処理費</t>
        </is>
      </c>
      <c r="N4" s="52" t="inlineStr">
        <is>
          <t>搬入運搬費</t>
        </is>
      </c>
      <c r="O4" s="52" t="inlineStr">
        <is>
          <t>電子M代行費</t>
        </is>
      </c>
      <c r="P4" s="52" t="inlineStr">
        <is>
          <t>管理費</t>
        </is>
      </c>
      <c r="Q4" s="52" t="inlineStr">
        <is>
          <t>原価合計</t>
        </is>
      </c>
      <c r="R4" s="54" t="inlineStr">
        <is>
          <t>粗利益</t>
        </is>
      </c>
      <c r="S4" s="54" t="inlineStr">
        <is>
          <t>粗利率</t>
        </is>
      </c>
      <c r="T4" s="54" t="inlineStr">
        <is>
          <t>採算判定</t>
        </is>
      </c>
      <c r="U4" s="54" t="inlineStr">
        <is>
          <t>前月比
売上</t>
        </is>
      </c>
      <c r="V4" s="54" t="inlineStr">
        <is>
          <t>備考</t>
        </is>
      </c>
    </row>
    <row r="5" ht="22" customHeight="1">
      <c r="A5" s="6" t="inlineStr">
        <is>
          <t>C001</t>
        </is>
      </c>
      <c r="B5" s="55" t="inlineStr">
        <is>
          <t>東急グループ案件</t>
        </is>
      </c>
      <c r="C5" s="3" t="inlineStr">
        <is>
          <t>東急グループ</t>
        </is>
      </c>
      <c r="D5" s="9" t="inlineStr">
        <is>
          <t>2025-05</t>
        </is>
      </c>
      <c r="E5" s="56">
        <f>IFERROR(VLOOKUP(D5,⑤売上原票!$A:$P,3,0)*VLOOKUP("612-1",⑥科目マッピング!$A:$F,4,0)/100,0)</f>
        <v/>
      </c>
      <c r="F5" s="56">
        <f>IFERROR(VLOOKUP(D5,⑤売上原票!$A:$P,4,0)*VLOOKUP("612-2",⑥科目マッピング!$A:$F,4,0)/100,0)</f>
        <v/>
      </c>
      <c r="G5" s="56">
        <f>IFERROR(VLOOKUP(D5,⑤売上原票!$A:$P,10,0)*VLOOKUP("615-1",⑥科目マッピング!$A:$F,4,0)/100,0)</f>
        <v/>
      </c>
      <c r="H5" s="56">
        <f>IFERROR(VLOOKUP(D5,⑤売上原票!$A:$P,5,0)*VLOOKUP("613-1",⑥科目マッピング!$A:$F,4,0)/100,0)+IFERROR(VLOOKUP(D5,⑤売上原票!$A:$P,6,0)*VLOOKUP("613-2",⑥科目マッピング!$A:$F,4,0)/100,0)+IFERROR(VLOOKUP(D5,⑤売上原票!$A:$P,7,0)*VLOOKUP("614-1",⑥科目マッピング!$A:$F,4,0)/100,0)+IFERROR(VLOOKUP(D5,⑤売上原票!$A:$P,8,0)*VLOOKUP("614-2",⑥科目マッピング!$A:$F,4,0)/100,0)+IFERROR(VLOOKUP(D5,⑤売上原票!$A:$P,9,0)*VLOOKUP("614-3",⑥科目マッピング!$A:$F,4,0)/100,0)+IFERROR(VLOOKUP(D5,⑤売上原票!$A:$P,11,0)*VLOOKUP("615-2",⑥科目マッピング!$A:$F,4,0)/100,0)+IFERROR(VLOOKUP(D5,⑤売上原票!$A:$P,12,0)*VLOOKUP("615-3",⑥科目マッピング!$A:$F,4,0)/100,0)+IFERROR(VLOOKUP(D5,⑤売上原票!$A:$P,13,0)*VLOOKUP("615-4",⑥科目マッピング!$A:$F,4,0)/100,0)</f>
        <v/>
      </c>
      <c r="I5" s="57">
        <f>E5+F5+G5+H5</f>
        <v/>
      </c>
      <c r="J5" s="58" t="n">
        <v>680000</v>
      </c>
      <c r="K5" s="58" t="n">
        <v>185000</v>
      </c>
      <c r="L5" s="58" t="n">
        <v>95000</v>
      </c>
      <c r="M5" s="58" t="n">
        <v>620000</v>
      </c>
      <c r="N5" s="58" t="n">
        <v>85000</v>
      </c>
      <c r="O5" s="58" t="n">
        <v>45000</v>
      </c>
      <c r="P5" s="58" t="n">
        <v>120000</v>
      </c>
      <c r="Q5" s="59">
        <f>J5+K5+L5+M5+N5+O5+P5</f>
        <v/>
      </c>
      <c r="R5" s="32">
        <f>I5-Q5</f>
        <v/>
      </c>
      <c r="S5" s="60">
        <f>IF(I5&lt;&gt;0,R5/I5,0)</f>
        <v/>
      </c>
      <c r="T5" s="61">
        <f>IF(S5&gt;=0.25,"◎ 優良",IF(S5&gt;=0.15,"○ 良好",IF(S5&gt;=0.05,"△ 要注意","× 赤字")))</f>
        <v/>
      </c>
      <c r="U5" s="33" t="inlineStr">
        <is>
          <t>—</t>
        </is>
      </c>
      <c r="V5" s="11" t="inlineStr"/>
    </row>
    <row r="6" ht="22" customHeight="1">
      <c r="A6" s="6" t="inlineStr">
        <is>
          <t>C001</t>
        </is>
      </c>
      <c r="B6" s="55" t="inlineStr">
        <is>
          <t>東急グループ案件</t>
        </is>
      </c>
      <c r="C6" s="3" t="inlineStr">
        <is>
          <t>東急グループ</t>
        </is>
      </c>
      <c r="D6" s="9" t="inlineStr">
        <is>
          <t>2025-06</t>
        </is>
      </c>
      <c r="E6" s="56">
        <f>IFERROR(VLOOKUP(D6,⑤売上原票!$A:$P,3,0)*VLOOKUP("612-1",⑥科目マッピング!$A:$F,4,0)/100,0)</f>
        <v/>
      </c>
      <c r="F6" s="56">
        <f>IFERROR(VLOOKUP(D6,⑤売上原票!$A:$P,4,0)*VLOOKUP("612-2",⑥科目マッピング!$A:$F,4,0)/100,0)</f>
        <v/>
      </c>
      <c r="G6" s="56">
        <f>IFERROR(VLOOKUP(D6,⑤売上原票!$A:$P,10,0)*VLOOKUP("615-1",⑥科目マッピング!$A:$F,4,0)/100,0)</f>
        <v/>
      </c>
      <c r="H6" s="56">
        <f>IFERROR(VLOOKUP(D6,⑤売上原票!$A:$P,5,0)*VLOOKUP("613-1",⑥科目マッピング!$A:$F,4,0)/100,0)+IFERROR(VLOOKUP(D6,⑤売上原票!$A:$P,6,0)*VLOOKUP("613-2",⑥科目マッピング!$A:$F,4,0)/100,0)+IFERROR(VLOOKUP(D6,⑤売上原票!$A:$P,7,0)*VLOOKUP("614-1",⑥科目マッピング!$A:$F,4,0)/100,0)+IFERROR(VLOOKUP(D6,⑤売上原票!$A:$P,8,0)*VLOOKUP("614-2",⑥科目マッピング!$A:$F,4,0)/100,0)+IFERROR(VLOOKUP(D6,⑤売上原票!$A:$P,9,0)*VLOOKUP("614-3",⑥科目マッピング!$A:$F,4,0)/100,0)+IFERROR(VLOOKUP(D6,⑤売上原票!$A:$P,11,0)*VLOOKUP("615-2",⑥科目マッピング!$A:$F,4,0)/100,0)+IFERROR(VLOOKUP(D6,⑤売上原票!$A:$P,12,0)*VLOOKUP("615-3",⑥科目マッピング!$A:$F,4,0)/100,0)+IFERROR(VLOOKUP(D6,⑤売上原票!$A:$P,13,0)*VLOOKUP("615-4",⑥科目マッピング!$A:$F,4,0)/100,0)</f>
        <v/>
      </c>
      <c r="I6" s="57">
        <f>E6+F6+G6+H6</f>
        <v/>
      </c>
      <c r="J6" s="58" t="n">
        <v>690000</v>
      </c>
      <c r="K6" s="58" t="n">
        <v>195000</v>
      </c>
      <c r="L6" s="58" t="n">
        <v>98000</v>
      </c>
      <c r="M6" s="58" t="n">
        <v>635000</v>
      </c>
      <c r="N6" s="58" t="n">
        <v>90000</v>
      </c>
      <c r="O6" s="58" t="n">
        <v>47000</v>
      </c>
      <c r="P6" s="58" t="n">
        <v>125000</v>
      </c>
      <c r="Q6" s="59">
        <f>J6+K6+L6+M6+N6+O6+P6</f>
        <v/>
      </c>
      <c r="R6" s="32">
        <f>I6-Q6</f>
        <v/>
      </c>
      <c r="S6" s="60">
        <f>IF(I6&lt;&gt;0,R6/I6,0)</f>
        <v/>
      </c>
      <c r="T6" s="61">
        <f>IF(S6&gt;=0.25,"◎ 優良",IF(S6&gt;=0.15,"○ 良好",IF(S6&gt;=0.05,"△ 要注意","× 赤字")))</f>
        <v/>
      </c>
      <c r="U6" s="62">
        <f>IF(I5&lt;&gt;0,I6/I5-1,"")</f>
        <v/>
      </c>
      <c r="V6" s="11" t="inlineStr"/>
    </row>
    <row r="7" ht="22" customHeight="1">
      <c r="A7" s="6" t="inlineStr">
        <is>
          <t>C001</t>
        </is>
      </c>
      <c r="B7" s="55" t="inlineStr">
        <is>
          <t>東急グループ案件</t>
        </is>
      </c>
      <c r="C7" s="3" t="inlineStr">
        <is>
          <t>東急グループ</t>
        </is>
      </c>
      <c r="D7" s="9" t="inlineStr">
        <is>
          <t>2025-07</t>
        </is>
      </c>
      <c r="E7" s="56">
        <f>IFERROR(VLOOKUP(D7,⑤売上原票!$A:$P,3,0)*VLOOKUP("612-1",⑥科目マッピング!$A:$F,4,0)/100,0)</f>
        <v/>
      </c>
      <c r="F7" s="56">
        <f>IFERROR(VLOOKUP(D7,⑤売上原票!$A:$P,4,0)*VLOOKUP("612-2",⑥科目マッピング!$A:$F,4,0)/100,0)</f>
        <v/>
      </c>
      <c r="G7" s="56">
        <f>IFERROR(VLOOKUP(D7,⑤売上原票!$A:$P,10,0)*VLOOKUP("615-1",⑥科目マッピング!$A:$F,4,0)/100,0)</f>
        <v/>
      </c>
      <c r="H7" s="56">
        <f>IFERROR(VLOOKUP(D7,⑤売上原票!$A:$P,5,0)*VLOOKUP("613-1",⑥科目マッピング!$A:$F,4,0)/100,0)+IFERROR(VLOOKUP(D7,⑤売上原票!$A:$P,6,0)*VLOOKUP("613-2",⑥科目マッピング!$A:$F,4,0)/100,0)+IFERROR(VLOOKUP(D7,⑤売上原票!$A:$P,7,0)*VLOOKUP("614-1",⑥科目マッピング!$A:$F,4,0)/100,0)+IFERROR(VLOOKUP(D7,⑤売上原票!$A:$P,8,0)*VLOOKUP("614-2",⑥科目マッピング!$A:$F,4,0)/100,0)+IFERROR(VLOOKUP(D7,⑤売上原票!$A:$P,9,0)*VLOOKUP("614-3",⑥科目マッピング!$A:$F,4,0)/100,0)+IFERROR(VLOOKUP(D7,⑤売上原票!$A:$P,11,0)*VLOOKUP("615-2",⑥科目マッピング!$A:$F,4,0)/100,0)+IFERROR(VLOOKUP(D7,⑤売上原票!$A:$P,12,0)*VLOOKUP("615-3",⑥科目マッピング!$A:$F,4,0)/100,0)+IFERROR(VLOOKUP(D7,⑤売上原票!$A:$P,13,0)*VLOOKUP("615-4",⑥科目マッピング!$A:$F,4,0)/100,0)</f>
        <v/>
      </c>
      <c r="I7" s="57">
        <f>E7+F7+G7+H7</f>
        <v/>
      </c>
      <c r="J7" s="58" t="n">
        <v>705000</v>
      </c>
      <c r="K7" s="58" t="n">
        <v>198000</v>
      </c>
      <c r="L7" s="58" t="n">
        <v>100000</v>
      </c>
      <c r="M7" s="58" t="n">
        <v>648000</v>
      </c>
      <c r="N7" s="58" t="n">
        <v>92000</v>
      </c>
      <c r="O7" s="58" t="n">
        <v>48000</v>
      </c>
      <c r="P7" s="58" t="n">
        <v>128000</v>
      </c>
      <c r="Q7" s="59">
        <f>J7+K7+L7+M7+N7+O7+P7</f>
        <v/>
      </c>
      <c r="R7" s="32">
        <f>I7-Q7</f>
        <v/>
      </c>
      <c r="S7" s="60">
        <f>IF(I7&lt;&gt;0,R7/I7,0)</f>
        <v/>
      </c>
      <c r="T7" s="61">
        <f>IF(S7&gt;=0.25,"◎ 優良",IF(S7&gt;=0.15,"○ 良好",IF(S7&gt;=0.05,"△ 要注意","× 赤字")))</f>
        <v/>
      </c>
      <c r="U7" s="62">
        <f>IF(I6&lt;&gt;0,I7/I6-1,"")</f>
        <v/>
      </c>
      <c r="V7" s="11" t="inlineStr"/>
    </row>
    <row r="8" ht="22" customHeight="1">
      <c r="A8" s="6" t="inlineStr">
        <is>
          <t>C001</t>
        </is>
      </c>
      <c r="B8" s="55" t="inlineStr">
        <is>
          <t>東急グループ案件</t>
        </is>
      </c>
      <c r="C8" s="3" t="inlineStr">
        <is>
          <t>東急グループ</t>
        </is>
      </c>
      <c r="D8" s="9" t="inlineStr">
        <is>
          <t>2025-08</t>
        </is>
      </c>
      <c r="E8" s="56">
        <f>IFERROR(VLOOKUP(D8,⑤売上原票!$A:$P,3,0)*VLOOKUP("612-1",⑥科目マッピング!$A:$F,4,0)/100,0)</f>
        <v/>
      </c>
      <c r="F8" s="56">
        <f>IFERROR(VLOOKUP(D8,⑤売上原票!$A:$P,4,0)*VLOOKUP("612-2",⑥科目マッピング!$A:$F,4,0)/100,0)</f>
        <v/>
      </c>
      <c r="G8" s="56">
        <f>IFERROR(VLOOKUP(D8,⑤売上原票!$A:$P,10,0)*VLOOKUP("615-1",⑥科目マッピング!$A:$F,4,0)/100,0)</f>
        <v/>
      </c>
      <c r="H8" s="56">
        <f>IFERROR(VLOOKUP(D8,⑤売上原票!$A:$P,5,0)*VLOOKUP("613-1",⑥科目マッピング!$A:$F,4,0)/100,0)+IFERROR(VLOOKUP(D8,⑤売上原票!$A:$P,6,0)*VLOOKUP("613-2",⑥科目マッピング!$A:$F,4,0)/100,0)+IFERROR(VLOOKUP(D8,⑤売上原票!$A:$P,7,0)*VLOOKUP("614-1",⑥科目マッピング!$A:$F,4,0)/100,0)+IFERROR(VLOOKUP(D8,⑤売上原票!$A:$P,8,0)*VLOOKUP("614-2",⑥科目マッピング!$A:$F,4,0)/100,0)+IFERROR(VLOOKUP(D8,⑤売上原票!$A:$P,9,0)*VLOOKUP("614-3",⑥科目マッピング!$A:$F,4,0)/100,0)+IFERROR(VLOOKUP(D8,⑤売上原票!$A:$P,11,0)*VLOOKUP("615-2",⑥科目マッピング!$A:$F,4,0)/100,0)+IFERROR(VLOOKUP(D8,⑤売上原票!$A:$P,12,0)*VLOOKUP("615-3",⑥科目マッピング!$A:$F,4,0)/100,0)+IFERROR(VLOOKUP(D8,⑤売上原票!$A:$P,13,0)*VLOOKUP("615-4",⑥科目マッピング!$A:$F,4,0)/100,0)</f>
        <v/>
      </c>
      <c r="I8" s="57">
        <f>E8+F8+G8+H8</f>
        <v/>
      </c>
      <c r="J8" s="58" t="n">
        <v>698000</v>
      </c>
      <c r="K8" s="58" t="n">
        <v>190000</v>
      </c>
      <c r="L8" s="58" t="n">
        <v>97000</v>
      </c>
      <c r="M8" s="58" t="n">
        <v>638000</v>
      </c>
      <c r="N8" s="58" t="n">
        <v>88000</v>
      </c>
      <c r="O8" s="58" t="n">
        <v>46000</v>
      </c>
      <c r="P8" s="58" t="n">
        <v>122000</v>
      </c>
      <c r="Q8" s="59">
        <f>J8+K8+L8+M8+N8+O8+P8</f>
        <v/>
      </c>
      <c r="R8" s="32">
        <f>I8-Q8</f>
        <v/>
      </c>
      <c r="S8" s="60">
        <f>IF(I8&lt;&gt;0,R8/I8,0)</f>
        <v/>
      </c>
      <c r="T8" s="61">
        <f>IF(S8&gt;=0.25,"◎ 優良",IF(S8&gt;=0.15,"○ 良好",IF(S8&gt;=0.05,"△ 要注意","× 赤字")))</f>
        <v/>
      </c>
      <c r="U8" s="62">
        <f>IF(I7&lt;&gt;0,I8/I7-1,"")</f>
        <v/>
      </c>
      <c r="V8" s="11" t="inlineStr"/>
    </row>
    <row r="9" ht="22" customHeight="1">
      <c r="A9" s="17" t="inlineStr">
        <is>
          <t>C002</t>
        </is>
      </c>
      <c r="B9" s="63" t="inlineStr">
        <is>
          <t>都営地下鉄案件</t>
        </is>
      </c>
      <c r="C9" s="64" t="inlineStr">
        <is>
          <t>都営地下鉄</t>
        </is>
      </c>
      <c r="D9" s="20" t="inlineStr">
        <is>
          <t>2025-05</t>
        </is>
      </c>
      <c r="E9" s="56">
        <f>IFERROR(VLOOKUP(D9,⑤売上原票!$A:$P,3,0)*VLOOKUP("612-1",⑥科目マッピング!$A:$F,5,0)/100,0)</f>
        <v/>
      </c>
      <c r="F9" s="56">
        <f>IFERROR(VLOOKUP(D9,⑤売上原票!$A:$P,4,0)*VLOOKUP("612-2",⑥科目マッピング!$A:$F,5,0)/100,0)</f>
        <v/>
      </c>
      <c r="G9" s="56">
        <f>IFERROR(VLOOKUP(D9,⑤売上原票!$A:$P,10,0)*VLOOKUP("615-1",⑥科目マッピング!$A:$F,5,0)/100,0)</f>
        <v/>
      </c>
      <c r="H9" s="56">
        <f>IFERROR(VLOOKUP(D9,⑤売上原票!$A:$P,5,0)*VLOOKUP("613-1",⑥科目マッピング!$A:$F,5,0)/100,0)+IFERROR(VLOOKUP(D9,⑤売上原票!$A:$P,6,0)*VLOOKUP("613-2",⑥科目マッピング!$A:$F,5,0)/100,0)+IFERROR(VLOOKUP(D9,⑤売上原票!$A:$P,7,0)*VLOOKUP("614-1",⑥科目マッピング!$A:$F,5,0)/100,0)+IFERROR(VLOOKUP(D9,⑤売上原票!$A:$P,8,0)*VLOOKUP("614-2",⑥科目マッピング!$A:$F,5,0)/100,0)+IFERROR(VLOOKUP(D9,⑤売上原票!$A:$P,9,0)*VLOOKUP("614-3",⑥科目マッピング!$A:$F,5,0)/100,0)+IFERROR(VLOOKUP(D9,⑤売上原票!$A:$P,11,0)*VLOOKUP("615-2",⑥科目マッピング!$A:$F,5,0)/100,0)+IFERROR(VLOOKUP(D9,⑤売上原票!$A:$P,12,0)*VLOOKUP("615-3",⑥科目マッピング!$A:$F,5,0)/100,0)+IFERROR(VLOOKUP(D9,⑤売上原票!$A:$P,13,0)*VLOOKUP("615-4",⑥科目マッピング!$A:$F,5,0)/100,0)</f>
        <v/>
      </c>
      <c r="I9" s="57">
        <f>E9+F9+G9+H9</f>
        <v/>
      </c>
      <c r="J9" s="58" t="n">
        <v>415000</v>
      </c>
      <c r="K9" s="58" t="n">
        <v>120000</v>
      </c>
      <c r="L9" s="58" t="n">
        <v>65000</v>
      </c>
      <c r="M9" s="58" t="n">
        <v>372000</v>
      </c>
      <c r="N9" s="58" t="n">
        <v>42000</v>
      </c>
      <c r="O9" s="58" t="n">
        <v>28000</v>
      </c>
      <c r="P9" s="58" t="n">
        <v>82000</v>
      </c>
      <c r="Q9" s="59">
        <f>J9+K9+L9+M9+N9+O9+P9</f>
        <v/>
      </c>
      <c r="R9" s="32">
        <f>I9-Q9</f>
        <v/>
      </c>
      <c r="S9" s="60">
        <f>IF(I9&lt;&gt;0,R9/I9,0)</f>
        <v/>
      </c>
      <c r="T9" s="61">
        <f>IF(S9&gt;=0.25,"◎ 優良",IF(S9&gt;=0.15,"○ 良好",IF(S9&gt;=0.05,"△ 要注意","× 赤字")))</f>
        <v/>
      </c>
      <c r="U9" s="39" t="inlineStr">
        <is>
          <t>—</t>
        </is>
      </c>
      <c r="V9" s="22" t="inlineStr"/>
    </row>
    <row r="10" ht="22" customHeight="1">
      <c r="A10" s="17" t="inlineStr">
        <is>
          <t>C002</t>
        </is>
      </c>
      <c r="B10" s="63" t="inlineStr">
        <is>
          <t>都営地下鉄案件</t>
        </is>
      </c>
      <c r="C10" s="64" t="inlineStr">
        <is>
          <t>都営地下鉄</t>
        </is>
      </c>
      <c r="D10" s="20" t="inlineStr">
        <is>
          <t>2025-06</t>
        </is>
      </c>
      <c r="E10" s="56">
        <f>IFERROR(VLOOKUP(D10,⑤売上原票!$A:$P,3,0)*VLOOKUP("612-1",⑥科目マッピング!$A:$F,5,0)/100,0)</f>
        <v/>
      </c>
      <c r="F10" s="56">
        <f>IFERROR(VLOOKUP(D10,⑤売上原票!$A:$P,4,0)*VLOOKUP("612-2",⑥科目マッピング!$A:$F,5,0)/100,0)</f>
        <v/>
      </c>
      <c r="G10" s="56">
        <f>IFERROR(VLOOKUP(D10,⑤売上原票!$A:$P,10,0)*VLOOKUP("615-1",⑥科目マッピング!$A:$F,5,0)/100,0)</f>
        <v/>
      </c>
      <c r="H10" s="56">
        <f>IFERROR(VLOOKUP(D10,⑤売上原票!$A:$P,5,0)*VLOOKUP("613-1",⑥科目マッピング!$A:$F,5,0)/100,0)+IFERROR(VLOOKUP(D10,⑤売上原票!$A:$P,6,0)*VLOOKUP("613-2",⑥科目マッピング!$A:$F,5,0)/100,0)+IFERROR(VLOOKUP(D10,⑤売上原票!$A:$P,7,0)*VLOOKUP("614-1",⑥科目マッピング!$A:$F,5,0)/100,0)+IFERROR(VLOOKUP(D10,⑤売上原票!$A:$P,8,0)*VLOOKUP("614-2",⑥科目マッピング!$A:$F,5,0)/100,0)+IFERROR(VLOOKUP(D10,⑤売上原票!$A:$P,9,0)*VLOOKUP("614-3",⑥科目マッピング!$A:$F,5,0)/100,0)+IFERROR(VLOOKUP(D10,⑤売上原票!$A:$P,11,0)*VLOOKUP("615-2",⑥科目マッピング!$A:$F,5,0)/100,0)+IFERROR(VLOOKUP(D10,⑤売上原票!$A:$P,12,0)*VLOOKUP("615-3",⑥科目マッピング!$A:$F,5,0)/100,0)+IFERROR(VLOOKUP(D10,⑤売上原票!$A:$P,13,0)*VLOOKUP("615-4",⑥科目マッピング!$A:$F,5,0)/100,0)</f>
        <v/>
      </c>
      <c r="I10" s="57">
        <f>E10+F10+G10+H10</f>
        <v/>
      </c>
      <c r="J10" s="58" t="n">
        <v>428000</v>
      </c>
      <c r="K10" s="58" t="n">
        <v>128000</v>
      </c>
      <c r="L10" s="58" t="n">
        <v>68000</v>
      </c>
      <c r="M10" s="58" t="n">
        <v>385000</v>
      </c>
      <c r="N10" s="58" t="n">
        <v>44000</v>
      </c>
      <c r="O10" s="58" t="n">
        <v>30000</v>
      </c>
      <c r="P10" s="58" t="n">
        <v>88000</v>
      </c>
      <c r="Q10" s="59">
        <f>J10+K10+L10+M10+N10+O10+P10</f>
        <v/>
      </c>
      <c r="R10" s="32">
        <f>I10-Q10</f>
        <v/>
      </c>
      <c r="S10" s="60">
        <f>IF(I10&lt;&gt;0,R10/I10,0)</f>
        <v/>
      </c>
      <c r="T10" s="61">
        <f>IF(S10&gt;=0.25,"◎ 優良",IF(S10&gt;=0.15,"○ 良好",IF(S10&gt;=0.05,"△ 要注意","× 赤字")))</f>
        <v/>
      </c>
      <c r="U10" s="65">
        <f>IF(I9&lt;&gt;0,I10/I9-1,"")</f>
        <v/>
      </c>
      <c r="V10" s="22" t="inlineStr"/>
    </row>
    <row r="11" ht="22" customHeight="1">
      <c r="A11" s="17" t="inlineStr">
        <is>
          <t>C002</t>
        </is>
      </c>
      <c r="B11" s="63" t="inlineStr">
        <is>
          <t>都営地下鉄案件</t>
        </is>
      </c>
      <c r="C11" s="64" t="inlineStr">
        <is>
          <t>都営地下鉄</t>
        </is>
      </c>
      <c r="D11" s="20" t="inlineStr">
        <is>
          <t>2025-07</t>
        </is>
      </c>
      <c r="E11" s="56">
        <f>IFERROR(VLOOKUP(D11,⑤売上原票!$A:$P,3,0)*VLOOKUP("612-1",⑥科目マッピング!$A:$F,5,0)/100,0)</f>
        <v/>
      </c>
      <c r="F11" s="56">
        <f>IFERROR(VLOOKUP(D11,⑤売上原票!$A:$P,4,0)*VLOOKUP("612-2",⑥科目マッピング!$A:$F,5,0)/100,0)</f>
        <v/>
      </c>
      <c r="G11" s="56">
        <f>IFERROR(VLOOKUP(D11,⑤売上原票!$A:$P,10,0)*VLOOKUP("615-1",⑥科目マッピング!$A:$F,5,0)/100,0)</f>
        <v/>
      </c>
      <c r="H11" s="56">
        <f>IFERROR(VLOOKUP(D11,⑤売上原票!$A:$P,5,0)*VLOOKUP("613-1",⑥科目マッピング!$A:$F,5,0)/100,0)+IFERROR(VLOOKUP(D11,⑤売上原票!$A:$P,6,0)*VLOOKUP("613-2",⑥科目マッピング!$A:$F,5,0)/100,0)+IFERROR(VLOOKUP(D11,⑤売上原票!$A:$P,7,0)*VLOOKUP("614-1",⑥科目マッピング!$A:$F,5,0)/100,0)+IFERROR(VLOOKUP(D11,⑤売上原票!$A:$P,8,0)*VLOOKUP("614-2",⑥科目マッピング!$A:$F,5,0)/100,0)+IFERROR(VLOOKUP(D11,⑤売上原票!$A:$P,9,0)*VLOOKUP("614-3",⑥科目マッピング!$A:$F,5,0)/100,0)+IFERROR(VLOOKUP(D11,⑤売上原票!$A:$P,11,0)*VLOOKUP("615-2",⑥科目マッピング!$A:$F,5,0)/100,0)+IFERROR(VLOOKUP(D11,⑤売上原票!$A:$P,12,0)*VLOOKUP("615-3",⑥科目マッピング!$A:$F,5,0)/100,0)+IFERROR(VLOOKUP(D11,⑤売上原票!$A:$P,13,0)*VLOOKUP("615-4",⑥科目マッピング!$A:$F,5,0)/100,0)</f>
        <v/>
      </c>
      <c r="I11" s="57">
        <f>E11+F11+G11+H11</f>
        <v/>
      </c>
      <c r="J11" s="58" t="n">
        <v>445000</v>
      </c>
      <c r="K11" s="58" t="n">
        <v>135000</v>
      </c>
      <c r="L11" s="58" t="n">
        <v>72000</v>
      </c>
      <c r="M11" s="58" t="n">
        <v>405000</v>
      </c>
      <c r="N11" s="58" t="n">
        <v>46000</v>
      </c>
      <c r="O11" s="58" t="n">
        <v>32000</v>
      </c>
      <c r="P11" s="58" t="n">
        <v>92000</v>
      </c>
      <c r="Q11" s="59">
        <f>J11+K11+L11+M11+N11+O11+P11</f>
        <v/>
      </c>
      <c r="R11" s="32">
        <f>I11-Q11</f>
        <v/>
      </c>
      <c r="S11" s="60">
        <f>IF(I11&lt;&gt;0,R11/I11,0)</f>
        <v/>
      </c>
      <c r="T11" s="61">
        <f>IF(S11&gt;=0.25,"◎ 優良",IF(S11&gt;=0.15,"○ 良好",IF(S11&gt;=0.05,"△ 要注意","× 赤字")))</f>
        <v/>
      </c>
      <c r="U11" s="65">
        <f>IF(I10&lt;&gt;0,I11/I10-1,"")</f>
        <v/>
      </c>
      <c r="V11" s="22" t="inlineStr"/>
    </row>
    <row r="12" ht="22" customHeight="1">
      <c r="A12" s="17" t="inlineStr">
        <is>
          <t>C002</t>
        </is>
      </c>
      <c r="B12" s="63" t="inlineStr">
        <is>
          <t>都営地下鉄案件</t>
        </is>
      </c>
      <c r="C12" s="64" t="inlineStr">
        <is>
          <t>都営地下鉄</t>
        </is>
      </c>
      <c r="D12" s="20" t="inlineStr">
        <is>
          <t>2025-08</t>
        </is>
      </c>
      <c r="E12" s="56">
        <f>IFERROR(VLOOKUP(D12,⑤売上原票!$A:$P,3,0)*VLOOKUP("612-1",⑥科目マッピング!$A:$F,5,0)/100,0)</f>
        <v/>
      </c>
      <c r="F12" s="56">
        <f>IFERROR(VLOOKUP(D12,⑤売上原票!$A:$P,4,0)*VLOOKUP("612-2",⑥科目マッピング!$A:$F,5,0)/100,0)</f>
        <v/>
      </c>
      <c r="G12" s="56">
        <f>IFERROR(VLOOKUP(D12,⑤売上原票!$A:$P,10,0)*VLOOKUP("615-1",⑥科目マッピング!$A:$F,5,0)/100,0)</f>
        <v/>
      </c>
      <c r="H12" s="56">
        <f>IFERROR(VLOOKUP(D12,⑤売上原票!$A:$P,5,0)*VLOOKUP("613-1",⑥科目マッピング!$A:$F,5,0)/100,0)+IFERROR(VLOOKUP(D12,⑤売上原票!$A:$P,6,0)*VLOOKUP("613-2",⑥科目マッピング!$A:$F,5,0)/100,0)+IFERROR(VLOOKUP(D12,⑤売上原票!$A:$P,7,0)*VLOOKUP("614-1",⑥科目マッピング!$A:$F,5,0)/100,0)+IFERROR(VLOOKUP(D12,⑤売上原票!$A:$P,8,0)*VLOOKUP("614-2",⑥科目マッピング!$A:$F,5,0)/100,0)+IFERROR(VLOOKUP(D12,⑤売上原票!$A:$P,9,0)*VLOOKUP("614-3",⑥科目マッピング!$A:$F,5,0)/100,0)+IFERROR(VLOOKUP(D12,⑤売上原票!$A:$P,11,0)*VLOOKUP("615-2",⑥科目マッピング!$A:$F,5,0)/100,0)+IFERROR(VLOOKUP(D12,⑤売上原票!$A:$P,12,0)*VLOOKUP("615-3",⑥科目マッピング!$A:$F,5,0)/100,0)+IFERROR(VLOOKUP(D12,⑤売上原票!$A:$P,13,0)*VLOOKUP("615-4",⑥科目マッピング!$A:$F,5,0)/100,0)</f>
        <v/>
      </c>
      <c r="I12" s="57">
        <f>E12+F12+G12+H12</f>
        <v/>
      </c>
      <c r="J12" s="58" t="n">
        <v>438000</v>
      </c>
      <c r="K12" s="58" t="n">
        <v>130000</v>
      </c>
      <c r="L12" s="58" t="n">
        <v>70000</v>
      </c>
      <c r="M12" s="58" t="n">
        <v>395000</v>
      </c>
      <c r="N12" s="58" t="n">
        <v>44000</v>
      </c>
      <c r="O12" s="58" t="n">
        <v>31000</v>
      </c>
      <c r="P12" s="58" t="n">
        <v>90000</v>
      </c>
      <c r="Q12" s="59">
        <f>J12+K12+L12+M12+N12+O12+P12</f>
        <v/>
      </c>
      <c r="R12" s="32">
        <f>I12-Q12</f>
        <v/>
      </c>
      <c r="S12" s="60">
        <f>IF(I12&lt;&gt;0,R12/I12,0)</f>
        <v/>
      </c>
      <c r="T12" s="61">
        <f>IF(S12&gt;=0.25,"◎ 優良",IF(S12&gt;=0.15,"○ 良好",IF(S12&gt;=0.05,"△ 要注意","× 赤字")))</f>
        <v/>
      </c>
      <c r="U12" s="65">
        <f>IF(I11&lt;&gt;0,I12/I11-1,"")</f>
        <v/>
      </c>
      <c r="V12" s="22" t="inlineStr"/>
    </row>
    <row r="13" ht="22" customHeight="1">
      <c r="A13" s="25" t="inlineStr">
        <is>
          <t>C003</t>
        </is>
      </c>
      <c r="B13" s="66" t="inlineStr">
        <is>
          <t>一般事業者案件</t>
        </is>
      </c>
      <c r="C13" s="54" t="inlineStr">
        <is>
          <t>一般事業者</t>
        </is>
      </c>
      <c r="D13" s="28" t="inlineStr">
        <is>
          <t>2025-05</t>
        </is>
      </c>
      <c r="E13" s="56">
        <f>IFERROR(VLOOKUP(D13,⑤売上原票!$A:$P,3,0)*VLOOKUP("612-1",⑥科目マッピング!$A:$F,6,0)/100,0)</f>
        <v/>
      </c>
      <c r="F13" s="56">
        <f>IFERROR(VLOOKUP(D13,⑤売上原票!$A:$P,4,0)*VLOOKUP("612-2",⑥科目マッピング!$A:$F,6,0)/100,0)</f>
        <v/>
      </c>
      <c r="G13" s="56">
        <f>IFERROR(VLOOKUP(D13,⑤売上原票!$A:$P,10,0)*VLOOKUP("615-1",⑥科目マッピング!$A:$F,6,0)/100,0)</f>
        <v/>
      </c>
      <c r="H13" s="56">
        <f>IFERROR(VLOOKUP(D13,⑤売上原票!$A:$P,5,0)*VLOOKUP("613-1",⑥科目マッピング!$A:$F,6,0)/100,0)+IFERROR(VLOOKUP(D13,⑤売上原票!$A:$P,6,0)*VLOOKUP("613-2",⑥科目マッピング!$A:$F,6,0)/100,0)+IFERROR(VLOOKUP(D13,⑤売上原票!$A:$P,7,0)*VLOOKUP("614-1",⑥科目マッピング!$A:$F,6,0)/100,0)+IFERROR(VLOOKUP(D13,⑤売上原票!$A:$P,8,0)*VLOOKUP("614-2",⑥科目マッピング!$A:$F,6,0)/100,0)+IFERROR(VLOOKUP(D13,⑤売上原票!$A:$P,9,0)*VLOOKUP("614-3",⑥科目マッピング!$A:$F,6,0)/100,0)+IFERROR(VLOOKUP(D13,⑤売上原票!$A:$P,11,0)*VLOOKUP("615-2",⑥科目マッピング!$A:$F,6,0)/100,0)+IFERROR(VLOOKUP(D13,⑤売上原票!$A:$P,12,0)*VLOOKUP("615-3",⑥科目マッピング!$A:$F,6,0)/100,0)+IFERROR(VLOOKUP(D13,⑤売上原票!$A:$P,13,0)*VLOOKUP("615-4",⑥科目マッピング!$A:$F,6,0)/100,0)</f>
        <v/>
      </c>
      <c r="I13" s="57">
        <f>E13+F13+G13+H13</f>
        <v/>
      </c>
      <c r="J13" s="58" t="n">
        <v>1340000</v>
      </c>
      <c r="K13" s="58" t="n">
        <v>472000</v>
      </c>
      <c r="L13" s="58" t="n">
        <v>215000</v>
      </c>
      <c r="M13" s="58" t="n">
        <v>1155000</v>
      </c>
      <c r="N13" s="58" t="n">
        <v>160000</v>
      </c>
      <c r="O13" s="58" t="n">
        <v>82000</v>
      </c>
      <c r="P13" s="58" t="n">
        <v>205000</v>
      </c>
      <c r="Q13" s="59">
        <f>J13+K13+L13+M13+N13+O13+P13</f>
        <v/>
      </c>
      <c r="R13" s="32">
        <f>I13-Q13</f>
        <v/>
      </c>
      <c r="S13" s="60">
        <f>IF(I13&lt;&gt;0,R13/I13,0)</f>
        <v/>
      </c>
      <c r="T13" s="61">
        <f>IF(S13&gt;=0.25,"◎ 優良",IF(S13&gt;=0.15,"○ 良好",IF(S13&gt;=0.05,"△ 要注意","× 赤字")))</f>
        <v/>
      </c>
      <c r="U13" s="45" t="inlineStr">
        <is>
          <t>—</t>
        </is>
      </c>
      <c r="V13" s="30" t="inlineStr"/>
    </row>
    <row r="14" ht="22" customHeight="1">
      <c r="A14" s="25" t="inlineStr">
        <is>
          <t>C003</t>
        </is>
      </c>
      <c r="B14" s="66" t="inlineStr">
        <is>
          <t>一般事業者案件</t>
        </is>
      </c>
      <c r="C14" s="54" t="inlineStr">
        <is>
          <t>一般事業者</t>
        </is>
      </c>
      <c r="D14" s="28" t="inlineStr">
        <is>
          <t>2025-06</t>
        </is>
      </c>
      <c r="E14" s="56">
        <f>IFERROR(VLOOKUP(D14,⑤売上原票!$A:$P,3,0)*VLOOKUP("612-1",⑥科目マッピング!$A:$F,6,0)/100,0)</f>
        <v/>
      </c>
      <c r="F14" s="56">
        <f>IFERROR(VLOOKUP(D14,⑤売上原票!$A:$P,4,0)*VLOOKUP("612-2",⑥科目マッピング!$A:$F,6,0)/100,0)</f>
        <v/>
      </c>
      <c r="G14" s="56">
        <f>IFERROR(VLOOKUP(D14,⑤売上原票!$A:$P,10,0)*VLOOKUP("615-1",⑥科目マッピング!$A:$F,6,0)/100,0)</f>
        <v/>
      </c>
      <c r="H14" s="56">
        <f>IFERROR(VLOOKUP(D14,⑤売上原票!$A:$P,5,0)*VLOOKUP("613-1",⑥科目マッピング!$A:$F,6,0)/100,0)+IFERROR(VLOOKUP(D14,⑤売上原票!$A:$P,6,0)*VLOOKUP("613-2",⑥科目マッピング!$A:$F,6,0)/100,0)+IFERROR(VLOOKUP(D14,⑤売上原票!$A:$P,7,0)*VLOOKUP("614-1",⑥科目マッピング!$A:$F,6,0)/100,0)+IFERROR(VLOOKUP(D14,⑤売上原票!$A:$P,8,0)*VLOOKUP("614-2",⑥科目マッピング!$A:$F,6,0)/100,0)+IFERROR(VLOOKUP(D14,⑤売上原票!$A:$P,9,0)*VLOOKUP("614-3",⑥科目マッピング!$A:$F,6,0)/100,0)+IFERROR(VLOOKUP(D14,⑤売上原票!$A:$P,11,0)*VLOOKUP("615-2",⑥科目マッピング!$A:$F,6,0)/100,0)+IFERROR(VLOOKUP(D14,⑤売上原票!$A:$P,12,0)*VLOOKUP("615-3",⑥科目マッピング!$A:$F,6,0)/100,0)+IFERROR(VLOOKUP(D14,⑤売上原票!$A:$P,13,0)*VLOOKUP("615-4",⑥科目マッピング!$A:$F,6,0)/100,0)</f>
        <v/>
      </c>
      <c r="I14" s="57">
        <f>E14+F14+G14+H14</f>
        <v/>
      </c>
      <c r="J14" s="58" t="n">
        <v>1365000</v>
      </c>
      <c r="K14" s="58" t="n">
        <v>502000</v>
      </c>
      <c r="L14" s="58" t="n">
        <v>228000</v>
      </c>
      <c r="M14" s="58" t="n">
        <v>1205000</v>
      </c>
      <c r="N14" s="58" t="n">
        <v>172000</v>
      </c>
      <c r="O14" s="58" t="n">
        <v>88000</v>
      </c>
      <c r="P14" s="58" t="n">
        <v>218000</v>
      </c>
      <c r="Q14" s="59">
        <f>J14+K14+L14+M14+N14+O14+P14</f>
        <v/>
      </c>
      <c r="R14" s="32">
        <f>I14-Q14</f>
        <v/>
      </c>
      <c r="S14" s="60">
        <f>IF(I14&lt;&gt;0,R14/I14,0)</f>
        <v/>
      </c>
      <c r="T14" s="61">
        <f>IF(S14&gt;=0.25,"◎ 優良",IF(S14&gt;=0.15,"○ 良好",IF(S14&gt;=0.05,"△ 要注意","× 赤字")))</f>
        <v/>
      </c>
      <c r="U14" s="67">
        <f>IF(I13&lt;&gt;0,I14/I13-1,"")</f>
        <v/>
      </c>
      <c r="V14" s="30" t="inlineStr"/>
    </row>
    <row r="15" ht="22" customHeight="1">
      <c r="A15" s="25" t="inlineStr">
        <is>
          <t>C003</t>
        </is>
      </c>
      <c r="B15" s="66" t="inlineStr">
        <is>
          <t>一般事業者案件</t>
        </is>
      </c>
      <c r="C15" s="54" t="inlineStr">
        <is>
          <t>一般事業者</t>
        </is>
      </c>
      <c r="D15" s="28" t="inlineStr">
        <is>
          <t>2025-07</t>
        </is>
      </c>
      <c r="E15" s="56">
        <f>IFERROR(VLOOKUP(D15,⑤売上原票!$A:$P,3,0)*VLOOKUP("612-1",⑥科目マッピング!$A:$F,6,0)/100,0)</f>
        <v/>
      </c>
      <c r="F15" s="56">
        <f>IFERROR(VLOOKUP(D15,⑤売上原票!$A:$P,4,0)*VLOOKUP("612-2",⑥科目マッピング!$A:$F,6,0)/100,0)</f>
        <v/>
      </c>
      <c r="G15" s="56">
        <f>IFERROR(VLOOKUP(D15,⑤売上原票!$A:$P,10,0)*VLOOKUP("615-1",⑥科目マッピング!$A:$F,6,0)/100,0)</f>
        <v/>
      </c>
      <c r="H15" s="56">
        <f>IFERROR(VLOOKUP(D15,⑤売上原票!$A:$P,5,0)*VLOOKUP("613-1",⑥科目マッピング!$A:$F,6,0)/100,0)+IFERROR(VLOOKUP(D15,⑤売上原票!$A:$P,6,0)*VLOOKUP("613-2",⑥科目マッピング!$A:$F,6,0)/100,0)+IFERROR(VLOOKUP(D15,⑤売上原票!$A:$P,7,0)*VLOOKUP("614-1",⑥科目マッピング!$A:$F,6,0)/100,0)+IFERROR(VLOOKUP(D15,⑤売上原票!$A:$P,8,0)*VLOOKUP("614-2",⑥科目マッピング!$A:$F,6,0)/100,0)+IFERROR(VLOOKUP(D15,⑤売上原票!$A:$P,9,0)*VLOOKUP("614-3",⑥科目マッピング!$A:$F,6,0)/100,0)+IFERROR(VLOOKUP(D15,⑤売上原票!$A:$P,11,0)*VLOOKUP("615-2",⑥科目マッピング!$A:$F,6,0)/100,0)+IFERROR(VLOOKUP(D15,⑤売上原票!$A:$P,12,0)*VLOOKUP("615-3",⑥科目マッピング!$A:$F,6,0)/100,0)+IFERROR(VLOOKUP(D15,⑤売上原票!$A:$P,13,0)*VLOOKUP("615-4",⑥科目マッピング!$A:$F,6,0)/100,0)</f>
        <v/>
      </c>
      <c r="I15" s="57">
        <f>E15+F15+G15+H15</f>
        <v/>
      </c>
      <c r="J15" s="58" t="n">
        <v>1410000</v>
      </c>
      <c r="K15" s="58" t="n">
        <v>530000</v>
      </c>
      <c r="L15" s="58" t="n">
        <v>238000</v>
      </c>
      <c r="M15" s="58" t="n">
        <v>1258000</v>
      </c>
      <c r="N15" s="58" t="n">
        <v>180000</v>
      </c>
      <c r="O15" s="58" t="n">
        <v>92000</v>
      </c>
      <c r="P15" s="58" t="n">
        <v>228000</v>
      </c>
      <c r="Q15" s="59">
        <f>J15+K15+L15+M15+N15+O15+P15</f>
        <v/>
      </c>
      <c r="R15" s="32">
        <f>I15-Q15</f>
        <v/>
      </c>
      <c r="S15" s="60">
        <f>IF(I15&lt;&gt;0,R15/I15,0)</f>
        <v/>
      </c>
      <c r="T15" s="61">
        <f>IF(S15&gt;=0.25,"◎ 優良",IF(S15&gt;=0.15,"○ 良好",IF(S15&gt;=0.05,"△ 要注意","× 赤字")))</f>
        <v/>
      </c>
      <c r="U15" s="67">
        <f>IF(I14&lt;&gt;0,I15/I14-1,"")</f>
        <v/>
      </c>
      <c r="V15" s="30" t="inlineStr"/>
    </row>
    <row r="16" ht="22" customHeight="1">
      <c r="A16" s="25" t="inlineStr">
        <is>
          <t>C003</t>
        </is>
      </c>
      <c r="B16" s="66" t="inlineStr">
        <is>
          <t>一般事業者案件</t>
        </is>
      </c>
      <c r="C16" s="54" t="inlineStr">
        <is>
          <t>一般事業者</t>
        </is>
      </c>
      <c r="D16" s="28" t="inlineStr">
        <is>
          <t>2025-08</t>
        </is>
      </c>
      <c r="E16" s="56">
        <f>IFERROR(VLOOKUP(D16,⑤売上原票!$A:$P,3,0)*VLOOKUP("612-1",⑥科目マッピング!$A:$F,6,0)/100,0)</f>
        <v/>
      </c>
      <c r="F16" s="56">
        <f>IFERROR(VLOOKUP(D16,⑤売上原票!$A:$P,4,0)*VLOOKUP("612-2",⑥科目マッピング!$A:$F,6,0)/100,0)</f>
        <v/>
      </c>
      <c r="G16" s="56">
        <f>IFERROR(VLOOKUP(D16,⑤売上原票!$A:$P,10,0)*VLOOKUP("615-1",⑥科目マッピング!$A:$F,6,0)/100,0)</f>
        <v/>
      </c>
      <c r="H16" s="56">
        <f>IFERROR(VLOOKUP(D16,⑤売上原票!$A:$P,5,0)*VLOOKUP("613-1",⑥科目マッピング!$A:$F,6,0)/100,0)+IFERROR(VLOOKUP(D16,⑤売上原票!$A:$P,6,0)*VLOOKUP("613-2",⑥科目マッピング!$A:$F,6,0)/100,0)+IFERROR(VLOOKUP(D16,⑤売上原票!$A:$P,7,0)*VLOOKUP("614-1",⑥科目マッピング!$A:$F,6,0)/100,0)+IFERROR(VLOOKUP(D16,⑤売上原票!$A:$P,8,0)*VLOOKUP("614-2",⑥科目マッピング!$A:$F,6,0)/100,0)+IFERROR(VLOOKUP(D16,⑤売上原票!$A:$P,9,0)*VLOOKUP("614-3",⑥科目マッピング!$A:$F,6,0)/100,0)+IFERROR(VLOOKUP(D16,⑤売上原票!$A:$P,11,0)*VLOOKUP("615-2",⑥科目マッピング!$A:$F,6,0)/100,0)+IFERROR(VLOOKUP(D16,⑤売上原票!$A:$P,12,0)*VLOOKUP("615-3",⑥科目マッピング!$A:$F,6,0)/100,0)+IFERROR(VLOOKUP(D16,⑤売上原票!$A:$P,13,0)*VLOOKUP("615-4",⑥科目マッピング!$A:$F,6,0)/100,0)</f>
        <v/>
      </c>
      <c r="I16" s="57">
        <f>E16+F16+G16+H16</f>
        <v/>
      </c>
      <c r="J16" s="58" t="n">
        <v>1395000</v>
      </c>
      <c r="K16" s="58" t="n">
        <v>515000</v>
      </c>
      <c r="L16" s="58" t="n">
        <v>232000</v>
      </c>
      <c r="M16" s="58" t="n">
        <v>1235000</v>
      </c>
      <c r="N16" s="58" t="n">
        <v>175000</v>
      </c>
      <c r="O16" s="58" t="n">
        <v>90000</v>
      </c>
      <c r="P16" s="58" t="n">
        <v>222000</v>
      </c>
      <c r="Q16" s="59">
        <f>J16+K16+L16+M16+N16+O16+P16</f>
        <v/>
      </c>
      <c r="R16" s="32">
        <f>I16-Q16</f>
        <v/>
      </c>
      <c r="S16" s="60">
        <f>IF(I16&lt;&gt;0,R16/I16,0)</f>
        <v/>
      </c>
      <c r="T16" s="61">
        <f>IF(S16&gt;=0.25,"◎ 優良",IF(S16&gt;=0.15,"○ 良好",IF(S16&gt;=0.05,"△ 要注意","× 赤字")))</f>
        <v/>
      </c>
      <c r="U16" s="67">
        <f>IF(I15&lt;&gt;0,I16/I15-1,"")</f>
        <v/>
      </c>
      <c r="V16" s="30" t="inlineStr"/>
    </row>
    <row r="17" ht="22" customHeight="1">
      <c r="A17" s="68" t="n"/>
      <c r="B17" s="69" t="n"/>
      <c r="C17" s="68" t="n"/>
      <c r="D17" s="68" t="n"/>
      <c r="E17" s="70" t="n"/>
      <c r="F17" s="70" t="n"/>
      <c r="G17" s="70" t="n"/>
      <c r="H17" s="70" t="n"/>
      <c r="I17" s="71">
        <f>E17+F17+G17+H17</f>
        <v/>
      </c>
      <c r="J17" s="70" t="n"/>
      <c r="K17" s="70" t="n"/>
      <c r="L17" s="70" t="n"/>
      <c r="M17" s="70" t="n"/>
      <c r="N17" s="70" t="n"/>
      <c r="O17" s="70" t="n"/>
      <c r="P17" s="70" t="n"/>
      <c r="Q17" s="50">
        <f>IF(J17+K17+L17+M17+N17+O17+P17=0,"",J17+K17+L17+M17+N17+O17+P17)</f>
        <v/>
      </c>
      <c r="R17" s="50">
        <f>IF(OR(I17="",I17=0),"",I17-Q17)</f>
        <v/>
      </c>
      <c r="S17" s="72">
        <f>IF(OR(I17="",I17=0),"",R17/I17)</f>
        <v/>
      </c>
      <c r="T17" s="73">
        <f>IF(S17="","",IF(S17&gt;=0.25,"◎ 優良",IF(S17&gt;=0.15,"○ 良好",IF(S17&gt;=0.05,"△ 要注意","× 赤字"))))</f>
        <v/>
      </c>
      <c r="U17" s="70" t="n"/>
      <c r="V17" s="70" t="n"/>
    </row>
    <row r="18" ht="22" customHeight="1">
      <c r="A18" s="74" t="n"/>
      <c r="B18" s="75" t="n"/>
      <c r="C18" s="74" t="n"/>
      <c r="D18" s="74" t="n"/>
      <c r="E18" s="76" t="n"/>
      <c r="F18" s="76" t="n"/>
      <c r="G18" s="76" t="n"/>
      <c r="H18" s="76" t="n"/>
      <c r="I18" s="77">
        <f>E18+F18+G18+H18</f>
        <v/>
      </c>
      <c r="J18" s="76" t="n"/>
      <c r="K18" s="76" t="n"/>
      <c r="L18" s="76" t="n"/>
      <c r="M18" s="76" t="n"/>
      <c r="N18" s="76" t="n"/>
      <c r="O18" s="76" t="n"/>
      <c r="P18" s="76" t="n"/>
      <c r="Q18" s="50">
        <f>IF(J18+K18+L18+M18+N18+O18+P18=0,"",J18+K18+L18+M18+N18+O18+P18)</f>
        <v/>
      </c>
      <c r="R18" s="50">
        <f>IF(OR(I18="",I18=0),"",I18-Q18)</f>
        <v/>
      </c>
      <c r="S18" s="72">
        <f>IF(OR(I18="",I18=0),"",R18/I18)</f>
        <v/>
      </c>
      <c r="T18" s="73">
        <f>IF(S18="","",IF(S18&gt;=0.25,"◎ 優良",IF(S18&gt;=0.15,"○ 良好",IF(S18&gt;=0.05,"△ 要注意","× 赤字"))))</f>
        <v/>
      </c>
      <c r="U18" s="76" t="n"/>
      <c r="V18" s="76" t="n"/>
    </row>
    <row r="19" ht="22" customHeight="1">
      <c r="A19" s="68" t="n"/>
      <c r="B19" s="69" t="n"/>
      <c r="C19" s="68" t="n"/>
      <c r="D19" s="68" t="n"/>
      <c r="E19" s="70" t="n"/>
      <c r="F19" s="70" t="n"/>
      <c r="G19" s="70" t="n"/>
      <c r="H19" s="70" t="n"/>
      <c r="I19" s="71">
        <f>E19+F19+G19+H19</f>
        <v/>
      </c>
      <c r="J19" s="70" t="n"/>
      <c r="K19" s="70" t="n"/>
      <c r="L19" s="70" t="n"/>
      <c r="M19" s="70" t="n"/>
      <c r="N19" s="70" t="n"/>
      <c r="O19" s="70" t="n"/>
      <c r="P19" s="70" t="n"/>
      <c r="Q19" s="50">
        <f>IF(J19+K19+L19+M19+N19+O19+P19=0,"",J19+K19+L19+M19+N19+O19+P19)</f>
        <v/>
      </c>
      <c r="R19" s="50">
        <f>IF(OR(I19="",I19=0),"",I19-Q19)</f>
        <v/>
      </c>
      <c r="S19" s="72">
        <f>IF(OR(I19="",I19=0),"",R19/I19)</f>
        <v/>
      </c>
      <c r="T19" s="73">
        <f>IF(S19="","",IF(S19&gt;=0.25,"◎ 優良",IF(S19&gt;=0.15,"○ 良好",IF(S19&gt;=0.05,"△ 要注意","× 赤字"))))</f>
        <v/>
      </c>
      <c r="U19" s="70" t="n"/>
      <c r="V19" s="70" t="n"/>
    </row>
    <row r="20" ht="22" customHeight="1">
      <c r="A20" s="74" t="n"/>
      <c r="B20" s="75" t="n"/>
      <c r="C20" s="74" t="n"/>
      <c r="D20" s="74" t="n"/>
      <c r="E20" s="76" t="n"/>
      <c r="F20" s="76" t="n"/>
      <c r="G20" s="76" t="n"/>
      <c r="H20" s="76" t="n"/>
      <c r="I20" s="77">
        <f>E20+F20+G20+H20</f>
        <v/>
      </c>
      <c r="J20" s="76" t="n"/>
      <c r="K20" s="76" t="n"/>
      <c r="L20" s="76" t="n"/>
      <c r="M20" s="76" t="n"/>
      <c r="N20" s="76" t="n"/>
      <c r="O20" s="76" t="n"/>
      <c r="P20" s="76" t="n"/>
      <c r="Q20" s="50">
        <f>IF(J20+K20+L20+M20+N20+O20+P20=0,"",J20+K20+L20+M20+N20+O20+P20)</f>
        <v/>
      </c>
      <c r="R20" s="50">
        <f>IF(OR(I20="",I20=0),"",I20-Q20)</f>
        <v/>
      </c>
      <c r="S20" s="72">
        <f>IF(OR(I20="",I20=0),"",R20/I20)</f>
        <v/>
      </c>
      <c r="T20" s="73">
        <f>IF(S20="","",IF(S20&gt;=0.25,"◎ 優良",IF(S20&gt;=0.15,"○ 良好",IF(S20&gt;=0.05,"△ 要注意","× 赤字"))))</f>
        <v/>
      </c>
      <c r="U20" s="76" t="n"/>
      <c r="V20" s="76" t="n"/>
    </row>
    <row r="21" ht="22" customHeight="1">
      <c r="A21" s="68" t="n"/>
      <c r="B21" s="69" t="n"/>
      <c r="C21" s="68" t="n"/>
      <c r="D21" s="68" t="n"/>
      <c r="E21" s="70" t="n"/>
      <c r="F21" s="70" t="n"/>
      <c r="G21" s="70" t="n"/>
      <c r="H21" s="70" t="n"/>
      <c r="I21" s="71">
        <f>E21+F21+G21+H21</f>
        <v/>
      </c>
      <c r="J21" s="70" t="n"/>
      <c r="K21" s="70" t="n"/>
      <c r="L21" s="70" t="n"/>
      <c r="M21" s="70" t="n"/>
      <c r="N21" s="70" t="n"/>
      <c r="O21" s="70" t="n"/>
      <c r="P21" s="70" t="n"/>
      <c r="Q21" s="50">
        <f>IF(J21+K21+L21+M21+N21+O21+P21=0,"",J21+K21+L21+M21+N21+O21+P21)</f>
        <v/>
      </c>
      <c r="R21" s="50">
        <f>IF(OR(I21="",I21=0),"",I21-Q21)</f>
        <v/>
      </c>
      <c r="S21" s="72">
        <f>IF(OR(I21="",I21=0),"",R21/I21)</f>
        <v/>
      </c>
      <c r="T21" s="73">
        <f>IF(S21="","",IF(S21&gt;=0.25,"◎ 優良",IF(S21&gt;=0.15,"○ 良好",IF(S21&gt;=0.05,"△ 要注意","× 赤字"))))</f>
        <v/>
      </c>
      <c r="U21" s="70" t="n"/>
      <c r="V21" s="70" t="n"/>
    </row>
    <row r="22" ht="22" customHeight="1">
      <c r="A22" s="74" t="n"/>
      <c r="B22" s="75" t="n"/>
      <c r="C22" s="74" t="n"/>
      <c r="D22" s="74" t="n"/>
      <c r="E22" s="76" t="n"/>
      <c r="F22" s="76" t="n"/>
      <c r="G22" s="76" t="n"/>
      <c r="H22" s="76" t="n"/>
      <c r="I22" s="77">
        <f>E22+F22+G22+H22</f>
        <v/>
      </c>
      <c r="J22" s="76" t="n"/>
      <c r="K22" s="76" t="n"/>
      <c r="L22" s="76" t="n"/>
      <c r="M22" s="76" t="n"/>
      <c r="N22" s="76" t="n"/>
      <c r="O22" s="76" t="n"/>
      <c r="P22" s="76" t="n"/>
      <c r="Q22" s="50">
        <f>IF(J22+K22+L22+M22+N22+O22+P22=0,"",J22+K22+L22+M22+N22+O22+P22)</f>
        <v/>
      </c>
      <c r="R22" s="50">
        <f>IF(OR(I22="",I22=0),"",I22-Q22)</f>
        <v/>
      </c>
      <c r="S22" s="72">
        <f>IF(OR(I22="",I22=0),"",R22/I22)</f>
        <v/>
      </c>
      <c r="T22" s="73">
        <f>IF(S22="","",IF(S22&gt;=0.25,"◎ 優良",IF(S22&gt;=0.15,"○ 良好",IF(S22&gt;=0.05,"△ 要注意","× 赤字"))))</f>
        <v/>
      </c>
      <c r="U22" s="76" t="n"/>
      <c r="V22" s="76" t="n"/>
    </row>
    <row r="23" ht="22" customHeight="1">
      <c r="A23" s="68" t="n"/>
      <c r="B23" s="69" t="n"/>
      <c r="C23" s="68" t="n"/>
      <c r="D23" s="68" t="n"/>
      <c r="E23" s="70" t="n"/>
      <c r="F23" s="70" t="n"/>
      <c r="G23" s="70" t="n"/>
      <c r="H23" s="70" t="n"/>
      <c r="I23" s="71">
        <f>E23+F23+G23+H23</f>
        <v/>
      </c>
      <c r="J23" s="70" t="n"/>
      <c r="K23" s="70" t="n"/>
      <c r="L23" s="70" t="n"/>
      <c r="M23" s="70" t="n"/>
      <c r="N23" s="70" t="n"/>
      <c r="O23" s="70" t="n"/>
      <c r="P23" s="70" t="n"/>
      <c r="Q23" s="50">
        <f>IF(J23+K23+L23+M23+N23+O23+P23=0,"",J23+K23+L23+M23+N23+O23+P23)</f>
        <v/>
      </c>
      <c r="R23" s="50">
        <f>IF(OR(I23="",I23=0),"",I23-Q23)</f>
        <v/>
      </c>
      <c r="S23" s="72">
        <f>IF(OR(I23="",I23=0),"",R23/I23)</f>
        <v/>
      </c>
      <c r="T23" s="73">
        <f>IF(S23="","",IF(S23&gt;=0.25,"◎ 優良",IF(S23&gt;=0.15,"○ 良好",IF(S23&gt;=0.05,"△ 要注意","× 赤字"))))</f>
        <v/>
      </c>
      <c r="U23" s="70" t="n"/>
      <c r="V23" s="70" t="n"/>
    </row>
    <row r="24" ht="22" customHeight="1">
      <c r="A24" s="74" t="n"/>
      <c r="B24" s="75" t="n"/>
      <c r="C24" s="74" t="n"/>
      <c r="D24" s="74" t="n"/>
      <c r="E24" s="76" t="n"/>
      <c r="F24" s="76" t="n"/>
      <c r="G24" s="76" t="n"/>
      <c r="H24" s="76" t="n"/>
      <c r="I24" s="77">
        <f>E24+F24+G24+H24</f>
        <v/>
      </c>
      <c r="J24" s="76" t="n"/>
      <c r="K24" s="76" t="n"/>
      <c r="L24" s="76" t="n"/>
      <c r="M24" s="76" t="n"/>
      <c r="N24" s="76" t="n"/>
      <c r="O24" s="76" t="n"/>
      <c r="P24" s="76" t="n"/>
      <c r="Q24" s="50">
        <f>IF(J24+K24+L24+M24+N24+O24+P24=0,"",J24+K24+L24+M24+N24+O24+P24)</f>
        <v/>
      </c>
      <c r="R24" s="50">
        <f>IF(OR(I24="",I24=0),"",I24-Q24)</f>
        <v/>
      </c>
      <c r="S24" s="72">
        <f>IF(OR(I24="",I24=0),"",R24/I24)</f>
        <v/>
      </c>
      <c r="T24" s="73">
        <f>IF(S24="","",IF(S24&gt;=0.25,"◎ 優良",IF(S24&gt;=0.15,"○ 良好",IF(S24&gt;=0.05,"△ 要注意","× 赤字"))))</f>
        <v/>
      </c>
      <c r="U24" s="76" t="n"/>
      <c r="V24" s="76" t="n"/>
    </row>
    <row r="25" ht="22" customHeight="1">
      <c r="A25" s="68" t="n"/>
      <c r="B25" s="69" t="n"/>
      <c r="C25" s="68" t="n"/>
      <c r="D25" s="68" t="n"/>
      <c r="E25" s="70" t="n"/>
      <c r="F25" s="70" t="n"/>
      <c r="G25" s="70" t="n"/>
      <c r="H25" s="70" t="n"/>
      <c r="I25" s="71">
        <f>E25+F25+G25+H25</f>
        <v/>
      </c>
      <c r="J25" s="70" t="n"/>
      <c r="K25" s="70" t="n"/>
      <c r="L25" s="70" t="n"/>
      <c r="M25" s="70" t="n"/>
      <c r="N25" s="70" t="n"/>
      <c r="O25" s="70" t="n"/>
      <c r="P25" s="70" t="n"/>
      <c r="Q25" s="50">
        <f>IF(J25+K25+L25+M25+N25+O25+P25=0,"",J25+K25+L25+M25+N25+O25+P25)</f>
        <v/>
      </c>
      <c r="R25" s="50">
        <f>IF(OR(I25="",I25=0),"",I25-Q25)</f>
        <v/>
      </c>
      <c r="S25" s="72">
        <f>IF(OR(I25="",I25=0),"",R25/I25)</f>
        <v/>
      </c>
      <c r="T25" s="73">
        <f>IF(S25="","",IF(S25&gt;=0.25,"◎ 優良",IF(S25&gt;=0.15,"○ 良好",IF(S25&gt;=0.05,"△ 要注意","× 赤字"))))</f>
        <v/>
      </c>
      <c r="U25" s="70" t="n"/>
      <c r="V25" s="70" t="n"/>
    </row>
    <row r="26" ht="22" customHeight="1">
      <c r="A26" s="74" t="n"/>
      <c r="B26" s="75" t="n"/>
      <c r="C26" s="74" t="n"/>
      <c r="D26" s="74" t="n"/>
      <c r="E26" s="76" t="n"/>
      <c r="F26" s="76" t="n"/>
      <c r="G26" s="76" t="n"/>
      <c r="H26" s="76" t="n"/>
      <c r="I26" s="77">
        <f>E26+F26+G26+H26</f>
        <v/>
      </c>
      <c r="J26" s="76" t="n"/>
      <c r="K26" s="76" t="n"/>
      <c r="L26" s="76" t="n"/>
      <c r="M26" s="76" t="n"/>
      <c r="N26" s="76" t="n"/>
      <c r="O26" s="76" t="n"/>
      <c r="P26" s="76" t="n"/>
      <c r="Q26" s="50">
        <f>IF(J26+K26+L26+M26+N26+O26+P26=0,"",J26+K26+L26+M26+N26+O26+P26)</f>
        <v/>
      </c>
      <c r="R26" s="50">
        <f>IF(OR(I26="",I26=0),"",I26-Q26)</f>
        <v/>
      </c>
      <c r="S26" s="72">
        <f>IF(OR(I26="",I26=0),"",R26/I26)</f>
        <v/>
      </c>
      <c r="T26" s="73">
        <f>IF(S26="","",IF(S26&gt;=0.25,"◎ 優良",IF(S26&gt;=0.15,"○ 良好",IF(S26&gt;=0.05,"△ 要注意","× 赤字"))))</f>
        <v/>
      </c>
      <c r="U26" s="76" t="n"/>
      <c r="V26" s="76" t="n"/>
    </row>
    <row r="27" ht="22" customHeight="1">
      <c r="A27" s="68" t="n"/>
      <c r="B27" s="69" t="n"/>
      <c r="C27" s="68" t="n"/>
      <c r="D27" s="68" t="n"/>
      <c r="E27" s="70" t="n"/>
      <c r="F27" s="70" t="n"/>
      <c r="G27" s="70" t="n"/>
      <c r="H27" s="70" t="n"/>
      <c r="I27" s="71">
        <f>E27+F27+G27+H27</f>
        <v/>
      </c>
      <c r="J27" s="70" t="n"/>
      <c r="K27" s="70" t="n"/>
      <c r="L27" s="70" t="n"/>
      <c r="M27" s="70" t="n"/>
      <c r="N27" s="70" t="n"/>
      <c r="O27" s="70" t="n"/>
      <c r="P27" s="70" t="n"/>
      <c r="Q27" s="50">
        <f>IF(J27+K27+L27+M27+N27+O27+P27=0,"",J27+K27+L27+M27+N27+O27+P27)</f>
        <v/>
      </c>
      <c r="R27" s="50">
        <f>IF(OR(I27="",I27=0),"",I27-Q27)</f>
        <v/>
      </c>
      <c r="S27" s="72">
        <f>IF(OR(I27="",I27=0),"",R27/I27)</f>
        <v/>
      </c>
      <c r="T27" s="73">
        <f>IF(S27="","",IF(S27&gt;=0.25,"◎ 優良",IF(S27&gt;=0.15,"○ 良好",IF(S27&gt;=0.05,"△ 要注意","× 赤字"))))</f>
        <v/>
      </c>
      <c r="U27" s="70" t="n"/>
      <c r="V27" s="70" t="n"/>
    </row>
    <row r="28" ht="22" customHeight="1">
      <c r="A28" s="74" t="n"/>
      <c r="B28" s="75" t="n"/>
      <c r="C28" s="74" t="n"/>
      <c r="D28" s="74" t="n"/>
      <c r="E28" s="76" t="n"/>
      <c r="F28" s="76" t="n"/>
      <c r="G28" s="76" t="n"/>
      <c r="H28" s="76" t="n"/>
      <c r="I28" s="77">
        <f>E28+F28+G28+H28</f>
        <v/>
      </c>
      <c r="J28" s="76" t="n"/>
      <c r="K28" s="76" t="n"/>
      <c r="L28" s="76" t="n"/>
      <c r="M28" s="76" t="n"/>
      <c r="N28" s="76" t="n"/>
      <c r="O28" s="76" t="n"/>
      <c r="P28" s="76" t="n"/>
      <c r="Q28" s="50">
        <f>IF(J28+K28+L28+M28+N28+O28+P28=0,"",J28+K28+L28+M28+N28+O28+P28)</f>
        <v/>
      </c>
      <c r="R28" s="50">
        <f>IF(OR(I28="",I28=0),"",I28-Q28)</f>
        <v/>
      </c>
      <c r="S28" s="72">
        <f>IF(OR(I28="",I28=0),"",R28/I28)</f>
        <v/>
      </c>
      <c r="T28" s="73">
        <f>IF(S28="","",IF(S28&gt;=0.25,"◎ 優良",IF(S28&gt;=0.15,"○ 良好",IF(S28&gt;=0.05,"△ 要注意","× 赤字"))))</f>
        <v/>
      </c>
      <c r="U28" s="76" t="n"/>
      <c r="V28" s="76" t="n"/>
    </row>
    <row r="29" ht="22" customHeight="1">
      <c r="A29" s="68" t="n"/>
      <c r="B29" s="69" t="n"/>
      <c r="C29" s="68" t="n"/>
      <c r="D29" s="68" t="n"/>
      <c r="E29" s="70" t="n"/>
      <c r="F29" s="70" t="n"/>
      <c r="G29" s="70" t="n"/>
      <c r="H29" s="70" t="n"/>
      <c r="I29" s="71">
        <f>E29+F29+G29+H29</f>
        <v/>
      </c>
      <c r="J29" s="70" t="n"/>
      <c r="K29" s="70" t="n"/>
      <c r="L29" s="70" t="n"/>
      <c r="M29" s="70" t="n"/>
      <c r="N29" s="70" t="n"/>
      <c r="O29" s="70" t="n"/>
      <c r="P29" s="70" t="n"/>
      <c r="Q29" s="50">
        <f>IF(J29+K29+L29+M29+N29+O29+P29=0,"",J29+K29+L29+M29+N29+O29+P29)</f>
        <v/>
      </c>
      <c r="R29" s="50">
        <f>IF(OR(I29="",I29=0),"",I29-Q29)</f>
        <v/>
      </c>
      <c r="S29" s="72">
        <f>IF(OR(I29="",I29=0),"",R29/I29)</f>
        <v/>
      </c>
      <c r="T29" s="73">
        <f>IF(S29="","",IF(S29&gt;=0.25,"◎ 優良",IF(S29&gt;=0.15,"○ 良好",IF(S29&gt;=0.05,"△ 要注意","× 赤字"))))</f>
        <v/>
      </c>
      <c r="U29" s="70" t="n"/>
      <c r="V29" s="70" t="n"/>
    </row>
    <row r="30" ht="22" customHeight="1">
      <c r="A30" s="74" t="n"/>
      <c r="B30" s="75" t="n"/>
      <c r="C30" s="74" t="n"/>
      <c r="D30" s="74" t="n"/>
      <c r="E30" s="76" t="n"/>
      <c r="F30" s="76" t="n"/>
      <c r="G30" s="76" t="n"/>
      <c r="H30" s="76" t="n"/>
      <c r="I30" s="77">
        <f>E30+F30+G30+H30</f>
        <v/>
      </c>
      <c r="J30" s="76" t="n"/>
      <c r="K30" s="76" t="n"/>
      <c r="L30" s="76" t="n"/>
      <c r="M30" s="76" t="n"/>
      <c r="N30" s="76" t="n"/>
      <c r="O30" s="76" t="n"/>
      <c r="P30" s="76" t="n"/>
      <c r="Q30" s="50">
        <f>IF(J30+K30+L30+M30+N30+O30+P30=0,"",J30+K30+L30+M30+N30+O30+P30)</f>
        <v/>
      </c>
      <c r="R30" s="50">
        <f>IF(OR(I30="",I30=0),"",I30-Q30)</f>
        <v/>
      </c>
      <c r="S30" s="72">
        <f>IF(OR(I30="",I30=0),"",R30/I30)</f>
        <v/>
      </c>
      <c r="T30" s="73">
        <f>IF(S30="","",IF(S30&gt;=0.25,"◎ 優良",IF(S30&gt;=0.15,"○ 良好",IF(S30&gt;=0.05,"△ 要注意","× 赤字"))))</f>
        <v/>
      </c>
      <c r="U30" s="76" t="n"/>
      <c r="V30" s="76" t="n"/>
    </row>
    <row r="31" ht="22" customHeight="1">
      <c r="A31" s="68" t="n"/>
      <c r="B31" s="69" t="n"/>
      <c r="C31" s="68" t="n"/>
      <c r="D31" s="68" t="n"/>
      <c r="E31" s="70" t="n"/>
      <c r="F31" s="70" t="n"/>
      <c r="G31" s="70" t="n"/>
      <c r="H31" s="70" t="n"/>
      <c r="I31" s="71">
        <f>E31+F31+G31+H31</f>
        <v/>
      </c>
      <c r="J31" s="70" t="n"/>
      <c r="K31" s="70" t="n"/>
      <c r="L31" s="70" t="n"/>
      <c r="M31" s="70" t="n"/>
      <c r="N31" s="70" t="n"/>
      <c r="O31" s="70" t="n"/>
      <c r="P31" s="70" t="n"/>
      <c r="Q31" s="50">
        <f>IF(J31+K31+L31+M31+N31+O31+P31=0,"",J31+K31+L31+M31+N31+O31+P31)</f>
        <v/>
      </c>
      <c r="R31" s="50">
        <f>IF(OR(I31="",I31=0),"",I31-Q31)</f>
        <v/>
      </c>
      <c r="S31" s="72">
        <f>IF(OR(I31="",I31=0),"",R31/I31)</f>
        <v/>
      </c>
      <c r="T31" s="73">
        <f>IF(S31="","",IF(S31&gt;=0.25,"◎ 優良",IF(S31&gt;=0.15,"○ 良好",IF(S31&gt;=0.05,"△ 要注意","× 赤字"))))</f>
        <v/>
      </c>
      <c r="U31" s="70" t="n"/>
      <c r="V31" s="70" t="n"/>
    </row>
    <row r="32" ht="22" customHeight="1">
      <c r="A32" s="74" t="n"/>
      <c r="B32" s="75" t="n"/>
      <c r="C32" s="74" t="n"/>
      <c r="D32" s="74" t="n"/>
      <c r="E32" s="76" t="n"/>
      <c r="F32" s="76" t="n"/>
      <c r="G32" s="76" t="n"/>
      <c r="H32" s="76" t="n"/>
      <c r="I32" s="77">
        <f>E32+F32+G32+H32</f>
        <v/>
      </c>
      <c r="J32" s="76" t="n"/>
      <c r="K32" s="76" t="n"/>
      <c r="L32" s="76" t="n"/>
      <c r="M32" s="76" t="n"/>
      <c r="N32" s="76" t="n"/>
      <c r="O32" s="76" t="n"/>
      <c r="P32" s="76" t="n"/>
      <c r="Q32" s="50">
        <f>IF(J32+K32+L32+M32+N32+O32+P32=0,"",J32+K32+L32+M32+N32+O32+P32)</f>
        <v/>
      </c>
      <c r="R32" s="50">
        <f>IF(OR(I32="",I32=0),"",I32-Q32)</f>
        <v/>
      </c>
      <c r="S32" s="72">
        <f>IF(OR(I32="",I32=0),"",R32/I32)</f>
        <v/>
      </c>
      <c r="T32" s="73">
        <f>IF(S32="","",IF(S32&gt;=0.25,"◎ 優良",IF(S32&gt;=0.15,"○ 良好",IF(S32&gt;=0.05,"△ 要注意","× 赤字"))))</f>
        <v/>
      </c>
      <c r="U32" s="76" t="n"/>
      <c r="V32" s="76" t="n"/>
    </row>
    <row r="33" ht="22" customHeight="1">
      <c r="A33" s="68" t="n"/>
      <c r="B33" s="69" t="n"/>
      <c r="C33" s="68" t="n"/>
      <c r="D33" s="68" t="n"/>
      <c r="E33" s="70" t="n"/>
      <c r="F33" s="70" t="n"/>
      <c r="G33" s="70" t="n"/>
      <c r="H33" s="70" t="n"/>
      <c r="I33" s="71">
        <f>E33+F33+G33+H33</f>
        <v/>
      </c>
      <c r="J33" s="70" t="n"/>
      <c r="K33" s="70" t="n"/>
      <c r="L33" s="70" t="n"/>
      <c r="M33" s="70" t="n"/>
      <c r="N33" s="70" t="n"/>
      <c r="O33" s="70" t="n"/>
      <c r="P33" s="70" t="n"/>
      <c r="Q33" s="50">
        <f>IF(J33+K33+L33+M33+N33+O33+P33=0,"",J33+K33+L33+M33+N33+O33+P33)</f>
        <v/>
      </c>
      <c r="R33" s="50">
        <f>IF(OR(I33="",I33=0),"",I33-Q33)</f>
        <v/>
      </c>
      <c r="S33" s="72">
        <f>IF(OR(I33="",I33=0),"",R33/I33)</f>
        <v/>
      </c>
      <c r="T33" s="73">
        <f>IF(S33="","",IF(S33&gt;=0.25,"◎ 優良",IF(S33&gt;=0.15,"○ 良好",IF(S33&gt;=0.05,"△ 要注意","× 赤字"))))</f>
        <v/>
      </c>
      <c r="U33" s="70" t="n"/>
      <c r="V33" s="70" t="n"/>
    </row>
    <row r="34" ht="22" customHeight="1">
      <c r="A34" s="74" t="n"/>
      <c r="B34" s="75" t="n"/>
      <c r="C34" s="74" t="n"/>
      <c r="D34" s="74" t="n"/>
      <c r="E34" s="76" t="n"/>
      <c r="F34" s="76" t="n"/>
      <c r="G34" s="76" t="n"/>
      <c r="H34" s="76" t="n"/>
      <c r="I34" s="77">
        <f>E34+F34+G34+H34</f>
        <v/>
      </c>
      <c r="J34" s="76" t="n"/>
      <c r="K34" s="76" t="n"/>
      <c r="L34" s="76" t="n"/>
      <c r="M34" s="76" t="n"/>
      <c r="N34" s="76" t="n"/>
      <c r="O34" s="76" t="n"/>
      <c r="P34" s="76" t="n"/>
      <c r="Q34" s="50">
        <f>IF(J34+K34+L34+M34+N34+O34+P34=0,"",J34+K34+L34+M34+N34+O34+P34)</f>
        <v/>
      </c>
      <c r="R34" s="50">
        <f>IF(OR(I34="",I34=0),"",I34-Q34)</f>
        <v/>
      </c>
      <c r="S34" s="72">
        <f>IF(OR(I34="",I34=0),"",R34/I34)</f>
        <v/>
      </c>
      <c r="T34" s="73">
        <f>IF(S34="","",IF(S34&gt;=0.25,"◎ 優良",IF(S34&gt;=0.15,"○ 良好",IF(S34&gt;=0.05,"△ 要注意","× 赤字"))))</f>
        <v/>
      </c>
      <c r="U34" s="76" t="n"/>
      <c r="V34" s="76" t="n"/>
    </row>
    <row r="35" ht="22" customHeight="1">
      <c r="A35" s="68" t="n"/>
      <c r="B35" s="69" t="n"/>
      <c r="C35" s="68" t="n"/>
      <c r="D35" s="68" t="n"/>
      <c r="E35" s="70" t="n"/>
      <c r="F35" s="70" t="n"/>
      <c r="G35" s="70" t="n"/>
      <c r="H35" s="70" t="n"/>
      <c r="I35" s="71">
        <f>E35+F35+G35+H35</f>
        <v/>
      </c>
      <c r="J35" s="70" t="n"/>
      <c r="K35" s="70" t="n"/>
      <c r="L35" s="70" t="n"/>
      <c r="M35" s="70" t="n"/>
      <c r="N35" s="70" t="n"/>
      <c r="O35" s="70" t="n"/>
      <c r="P35" s="70" t="n"/>
      <c r="Q35" s="50">
        <f>IF(J35+K35+L35+M35+N35+O35+P35=0,"",J35+K35+L35+M35+N35+O35+P35)</f>
        <v/>
      </c>
      <c r="R35" s="50">
        <f>IF(OR(I35="",I35=0),"",I35-Q35)</f>
        <v/>
      </c>
      <c r="S35" s="72">
        <f>IF(OR(I35="",I35=0),"",R35/I35)</f>
        <v/>
      </c>
      <c r="T35" s="73">
        <f>IF(S35="","",IF(S35&gt;=0.25,"◎ 優良",IF(S35&gt;=0.15,"○ 良好",IF(S35&gt;=0.05,"△ 要注意","× 赤字"))))</f>
        <v/>
      </c>
      <c r="U35" s="70" t="n"/>
      <c r="V35" s="70" t="n"/>
    </row>
    <row r="36" ht="22" customHeight="1">
      <c r="A36" s="74" t="n"/>
      <c r="B36" s="75" t="n"/>
      <c r="C36" s="74" t="n"/>
      <c r="D36" s="74" t="n"/>
      <c r="E36" s="76" t="n"/>
      <c r="F36" s="76" t="n"/>
      <c r="G36" s="76" t="n"/>
      <c r="H36" s="76" t="n"/>
      <c r="I36" s="77">
        <f>E36+F36+G36+H36</f>
        <v/>
      </c>
      <c r="J36" s="76" t="n"/>
      <c r="K36" s="76" t="n"/>
      <c r="L36" s="76" t="n"/>
      <c r="M36" s="76" t="n"/>
      <c r="N36" s="76" t="n"/>
      <c r="O36" s="76" t="n"/>
      <c r="P36" s="76" t="n"/>
      <c r="Q36" s="50">
        <f>IF(J36+K36+L36+M36+N36+O36+P36=0,"",J36+K36+L36+M36+N36+O36+P36)</f>
        <v/>
      </c>
      <c r="R36" s="50">
        <f>IF(OR(I36="",I36=0),"",I36-Q36)</f>
        <v/>
      </c>
      <c r="S36" s="72">
        <f>IF(OR(I36="",I36=0),"",R36/I36)</f>
        <v/>
      </c>
      <c r="T36" s="73">
        <f>IF(S36="","",IF(S36&gt;=0.25,"◎ 優良",IF(S36&gt;=0.15,"○ 良好",IF(S36&gt;=0.05,"△ 要注意","× 赤字"))))</f>
        <v/>
      </c>
      <c r="U36" s="76" t="n"/>
      <c r="V36" s="76" t="n"/>
    </row>
  </sheetData>
  <mergeCells count="28">
    <mergeCell ref="A2:V2"/>
    <mergeCell ref="E3:I3"/>
    <mergeCell ref="D4"/>
    <mergeCell ref="A4"/>
    <mergeCell ref="G4"/>
    <mergeCell ref="I4"/>
    <mergeCell ref="K4"/>
    <mergeCell ref="M4"/>
    <mergeCell ref="B4"/>
    <mergeCell ref="S4"/>
    <mergeCell ref="U4"/>
    <mergeCell ref="F4"/>
    <mergeCell ref="N4"/>
    <mergeCell ref="P4"/>
    <mergeCell ref="H4"/>
    <mergeCell ref="R4"/>
    <mergeCell ref="C4"/>
    <mergeCell ref="T4"/>
    <mergeCell ref="E4"/>
    <mergeCell ref="V4"/>
    <mergeCell ref="A1:V1"/>
    <mergeCell ref="R3:V3"/>
    <mergeCell ref="O4"/>
    <mergeCell ref="Q4"/>
    <mergeCell ref="J3:Q3"/>
    <mergeCell ref="J4"/>
    <mergeCell ref="A3:D3"/>
    <mergeCell ref="L4"/>
  </mergeCells>
  <conditionalFormatting sqref="T5:T36">
    <cfRule type="expression" priority="1" dxfId="0">
      <formula>T5="◎ 優良"</formula>
    </cfRule>
    <cfRule type="expression" priority="2" dxfId="1">
      <formula>T5="○ 良好"</formula>
    </cfRule>
    <cfRule type="expression" priority="3" dxfId="2">
      <formula>T5="△ 要注意"</formula>
    </cfRule>
    <cfRule type="expression" priority="4" dxfId="3">
      <formula>T5="× 赤字"</formula>
    </cfRule>
  </conditionalFormatting>
  <conditionalFormatting sqref="S5:S36">
    <cfRule type="colorScale" priority="5">
      <colorScale>
        <cfvo type="num" val="0"/>
        <cfvo type="num" val="0.15"/>
        <cfvo type="num" val="0.3"/>
        <color rgb="00FF6B6B"/>
        <color rgb="00FFD93D"/>
        <color rgb="006BCB77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07B00"/>
    <outlinePr summaryBelow="1" summaryRight="1"/>
    <pageSetUpPr/>
  </sheetPr>
  <dimension ref="A1:P30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5" customWidth="1" min="14" max="14"/>
    <col width="12" customWidth="1" min="15" max="15"/>
    <col width="15" customWidth="1" min="16" max="16"/>
  </cols>
  <sheetData>
    <row r="1" ht="36" customHeight="1">
      <c r="A1" s="1" t="inlineStr">
        <is>
          <t>売上原票　月次実績（科目別・税抜）　※VLOOKUPキー列=A列(YYYY-MM)</t>
        </is>
      </c>
    </row>
    <row r="2" ht="18" customHeight="1">
      <c r="A2" s="78" t="inlineStr">
        <is>
          <t>【使い方】 ③月次採算入力の売上欄は =VLOOKUP(集計月, ⑤売上原票!$A:$P, 列番号, 0) で自動参照しています。毎月データを追記してください。</t>
        </is>
      </c>
      <c r="B2" s="97" t="n"/>
      <c r="C2" s="97" t="n"/>
      <c r="D2" s="97" t="n"/>
      <c r="E2" s="97" t="n"/>
      <c r="F2" s="97" t="n"/>
      <c r="G2" s="97" t="n"/>
      <c r="H2" s="97" t="n"/>
      <c r="I2" s="97" t="n"/>
      <c r="J2" s="97" t="n"/>
      <c r="K2" s="97" t="n"/>
      <c r="L2" s="97" t="n"/>
      <c r="M2" s="97" t="n"/>
      <c r="N2" s="97" t="n"/>
      <c r="O2" s="97" t="n"/>
      <c r="P2" s="98" t="n"/>
    </row>
    <row r="3" ht="32" customHeight="1">
      <c r="A3" s="2" t="inlineStr">
        <is>
          <t>VLOOKUP
キー</t>
        </is>
      </c>
      <c r="B3" s="98" t="n"/>
      <c r="C3" s="3" t="inlineStr">
        <is>
          <t>科　目　別　売　上　(円・税抜)</t>
        </is>
      </c>
      <c r="D3" s="97" t="n"/>
      <c r="E3" s="97" t="n"/>
      <c r="F3" s="97" t="n"/>
      <c r="G3" s="97" t="n"/>
      <c r="H3" s="97" t="n"/>
      <c r="I3" s="97" t="n"/>
      <c r="J3" s="97" t="n"/>
      <c r="K3" s="97" t="n"/>
      <c r="L3" s="97" t="n"/>
      <c r="M3" s="98" t="n"/>
      <c r="N3" s="54" t="inlineStr">
        <is>
          <t>合　計</t>
        </is>
      </c>
      <c r="O3" s="97" t="n"/>
      <c r="P3" s="98" t="n"/>
    </row>
    <row r="4" ht="36" customHeight="1">
      <c r="A4" s="5" t="inlineStr">
        <is>
          <t>年月
(VLOOKUPKEY)</t>
        </is>
      </c>
      <c r="B4" s="5" t="inlineStr">
        <is>
          <t>R表記</t>
        </is>
      </c>
      <c r="C4" s="5" t="inlineStr">
        <is>
          <t>612-1
運送（本社）</t>
        </is>
      </c>
      <c r="D4" s="5" t="inlineStr">
        <is>
          <t>612-2
入札（公共）</t>
        </is>
      </c>
      <c r="E4" s="5" t="inlineStr">
        <is>
          <t>613-1
車輌</t>
        </is>
      </c>
      <c r="F4" s="5" t="inlineStr">
        <is>
          <t>613-2
KC</t>
        </is>
      </c>
      <c r="G4" s="5" t="inlineStr">
        <is>
          <t>614-1
コンテナ</t>
        </is>
      </c>
      <c r="H4" s="5" t="inlineStr">
        <is>
          <t>614-2
ENDO</t>
        </is>
      </c>
      <c r="I4" s="5" t="inlineStr">
        <is>
          <t>614-3
現金</t>
        </is>
      </c>
      <c r="J4" s="5" t="inlineStr">
        <is>
          <t>615-1
板橋</t>
        </is>
      </c>
      <c r="K4" s="5" t="inlineStr">
        <is>
          <t>615-2
新横浜</t>
        </is>
      </c>
      <c r="L4" s="5" t="inlineStr">
        <is>
          <t>615-3
現金2</t>
        </is>
      </c>
      <c r="M4" s="5" t="inlineStr">
        <is>
          <t>615-4
有価物</t>
        </is>
      </c>
      <c r="N4" s="5" t="inlineStr">
        <is>
          <t>合計
(税抜)</t>
        </is>
      </c>
      <c r="O4" s="5" t="inlineStr">
        <is>
          <t>消費税
(△)</t>
        </is>
      </c>
      <c r="P4" s="5" t="inlineStr">
        <is>
          <t>合計
(税込)</t>
        </is>
      </c>
    </row>
    <row r="5" ht="20" customHeight="1">
      <c r="A5" s="79" t="inlineStr">
        <is>
          <t>2024-07</t>
        </is>
      </c>
      <c r="B5" s="68" t="inlineStr">
        <is>
          <t>R6.7</t>
        </is>
      </c>
      <c r="C5" s="80" t="n">
        <v>13754437</v>
      </c>
      <c r="D5" s="80" t="n">
        <v>42726740</v>
      </c>
      <c r="E5" s="80" t="n">
        <v>777000</v>
      </c>
      <c r="F5" s="80" t="n">
        <v>40000</v>
      </c>
      <c r="G5" s="80" t="n">
        <v>504500</v>
      </c>
      <c r="H5" s="80" t="n">
        <v>527664</v>
      </c>
      <c r="I5" s="80" t="n">
        <v>261000</v>
      </c>
      <c r="J5" s="80" t="n">
        <v>25593317</v>
      </c>
      <c r="K5" s="80" t="n">
        <v>4417112</v>
      </c>
      <c r="L5" s="80" t="n">
        <v>36000</v>
      </c>
      <c r="M5" s="80" t="n">
        <v>138460</v>
      </c>
      <c r="N5" s="81" t="n">
        <v>88776230</v>
      </c>
      <c r="O5" s="80" t="n">
        <v>-80705664</v>
      </c>
      <c r="P5" s="81">
        <f>IF(N5&lt;&gt;0,N5+O5,"")</f>
        <v/>
      </c>
    </row>
    <row r="6" ht="20" customHeight="1">
      <c r="A6" s="82" t="inlineStr">
        <is>
          <t>2024-08</t>
        </is>
      </c>
      <c r="B6" s="74" t="inlineStr">
        <is>
          <t>R6.8</t>
        </is>
      </c>
      <c r="C6" s="83" t="n">
        <v>13060970</v>
      </c>
      <c r="D6" s="83" t="n">
        <v>36972090</v>
      </c>
      <c r="E6" s="83" t="n">
        <v>789000</v>
      </c>
      <c r="F6" s="83" t="n">
        <v>1000228</v>
      </c>
      <c r="G6" s="83" t="n">
        <v>507200</v>
      </c>
      <c r="H6" s="83" t="n">
        <v>518000</v>
      </c>
      <c r="I6" s="83" t="n"/>
      <c r="J6" s="83" t="n">
        <v>20527297</v>
      </c>
      <c r="K6" s="83" t="n">
        <v>4953790</v>
      </c>
      <c r="L6" s="83" t="n">
        <v>57000</v>
      </c>
      <c r="M6" s="83" t="n">
        <v>172726</v>
      </c>
      <c r="N6" s="84" t="n">
        <v>78558301</v>
      </c>
      <c r="O6" s="83" t="n">
        <v>-71416637</v>
      </c>
      <c r="P6" s="84">
        <f>IF(N6&lt;&gt;0,N6+O6,"")</f>
        <v/>
      </c>
    </row>
    <row r="7" ht="20" customHeight="1">
      <c r="A7" s="79" t="inlineStr">
        <is>
          <t>2024-09</t>
        </is>
      </c>
      <c r="B7" s="68" t="inlineStr">
        <is>
          <t>R6.9</t>
        </is>
      </c>
      <c r="C7" s="80" t="n">
        <v>13837910</v>
      </c>
      <c r="D7" s="80" t="n">
        <v>37268605</v>
      </c>
      <c r="E7" s="80" t="n">
        <v>1143000</v>
      </c>
      <c r="F7" s="80" t="n"/>
      <c r="G7" s="80" t="n">
        <v>513500</v>
      </c>
      <c r="H7" s="80" t="n">
        <v>480000</v>
      </c>
      <c r="I7" s="80" t="n"/>
      <c r="J7" s="80" t="n">
        <v>22121458</v>
      </c>
      <c r="K7" s="80" t="n">
        <v>4072534</v>
      </c>
      <c r="L7" s="80" t="n">
        <v>54000</v>
      </c>
      <c r="M7" s="80" t="n">
        <v>162126</v>
      </c>
      <c r="N7" s="81" t="n">
        <v>79653133</v>
      </c>
      <c r="O7" s="80" t="n">
        <v>-72411939</v>
      </c>
      <c r="P7" s="81">
        <f>IF(N7&lt;&gt;0,N7+O7,"")</f>
        <v/>
      </c>
    </row>
    <row r="8" ht="20" customHeight="1">
      <c r="A8" s="82" t="inlineStr">
        <is>
          <t>2024-10</t>
        </is>
      </c>
      <c r="B8" s="74" t="inlineStr">
        <is>
          <t>R6.10</t>
        </is>
      </c>
      <c r="C8" s="83" t="n">
        <v>14538480</v>
      </c>
      <c r="D8" s="83" t="n">
        <v>39318469</v>
      </c>
      <c r="E8" s="83" t="n">
        <v>2859000</v>
      </c>
      <c r="F8" s="83" t="n">
        <v>3879338</v>
      </c>
      <c r="G8" s="83" t="n">
        <v>519500</v>
      </c>
      <c r="H8" s="83" t="n">
        <v>665902</v>
      </c>
      <c r="I8" s="83" t="n">
        <v>45000</v>
      </c>
      <c r="J8" s="83" t="n">
        <v>20930409</v>
      </c>
      <c r="K8" s="83" t="n">
        <v>4513589</v>
      </c>
      <c r="L8" s="83" t="n">
        <v>106000</v>
      </c>
      <c r="M8" s="83" t="n">
        <v>132040</v>
      </c>
      <c r="N8" s="84" t="n">
        <v>87507727</v>
      </c>
      <c r="O8" s="83" t="n">
        <v>-79552479</v>
      </c>
      <c r="P8" s="84">
        <f>IF(N8&lt;&gt;0,N8+O8,"")</f>
        <v/>
      </c>
    </row>
    <row r="9" ht="20" customHeight="1">
      <c r="A9" s="79" t="inlineStr">
        <is>
          <t>2024-11</t>
        </is>
      </c>
      <c r="B9" s="68" t="inlineStr">
        <is>
          <t>R6.11</t>
        </is>
      </c>
      <c r="C9" s="80" t="n">
        <v>12832260</v>
      </c>
      <c r="D9" s="80" t="n">
        <v>40166406</v>
      </c>
      <c r="E9" s="80" t="n">
        <v>891000</v>
      </c>
      <c r="F9" s="80" t="n">
        <v>2729582</v>
      </c>
      <c r="G9" s="80" t="n">
        <v>552500</v>
      </c>
      <c r="H9" s="80" t="n">
        <v>962040</v>
      </c>
      <c r="I9" s="80" t="n"/>
      <c r="J9" s="80" t="n">
        <v>21039598</v>
      </c>
      <c r="K9" s="80" t="n">
        <v>4677613</v>
      </c>
      <c r="L9" s="80" t="n">
        <v>54000</v>
      </c>
      <c r="M9" s="80" t="n">
        <v>131610</v>
      </c>
      <c r="N9" s="81" t="n">
        <v>84036609</v>
      </c>
      <c r="O9" s="80" t="n">
        <v>-76396917</v>
      </c>
      <c r="P9" s="81">
        <f>IF(N9&lt;&gt;0,N9+O9,"")</f>
        <v/>
      </c>
    </row>
    <row r="10" ht="20" customHeight="1">
      <c r="A10" s="82" t="inlineStr">
        <is>
          <t>2024-12</t>
        </is>
      </c>
      <c r="B10" s="74" t="inlineStr">
        <is>
          <t>R6.12</t>
        </is>
      </c>
      <c r="C10" s="83" t="n">
        <v>13385794</v>
      </c>
      <c r="D10" s="83" t="n">
        <v>36230090</v>
      </c>
      <c r="E10" s="83" t="n">
        <v>885000</v>
      </c>
      <c r="F10" s="83" t="n">
        <v>3927473</v>
      </c>
      <c r="G10" s="83" t="n">
        <v>543500</v>
      </c>
      <c r="H10" s="83" t="n">
        <v>247700</v>
      </c>
      <c r="I10" s="83" t="n">
        <v>928500</v>
      </c>
      <c r="J10" s="83" t="n">
        <v>21774932</v>
      </c>
      <c r="K10" s="83" t="n">
        <v>4842835</v>
      </c>
      <c r="L10" s="83" t="n">
        <v>27000</v>
      </c>
      <c r="M10" s="83" t="n">
        <v>212926</v>
      </c>
      <c r="N10" s="84" t="n">
        <v>83005750</v>
      </c>
      <c r="O10" s="83" t="n">
        <v>-75459773</v>
      </c>
      <c r="P10" s="84">
        <f>IF(N10&lt;&gt;0,N10+O10,"")</f>
        <v/>
      </c>
    </row>
    <row r="11" ht="20" customHeight="1">
      <c r="A11" s="79" t="inlineStr">
        <is>
          <t>2025-01</t>
        </is>
      </c>
      <c r="B11" s="68" t="inlineStr">
        <is>
          <t>R7.1</t>
        </is>
      </c>
      <c r="C11" s="80" t="n">
        <v>11619926</v>
      </c>
      <c r="D11" s="80" t="n">
        <v>37239620</v>
      </c>
      <c r="E11" s="80" t="n"/>
      <c r="F11" s="80" t="n">
        <v>1249028</v>
      </c>
      <c r="G11" s="80" t="n">
        <v>534500</v>
      </c>
      <c r="H11" s="80" t="n">
        <v>300000</v>
      </c>
      <c r="I11" s="80" t="n">
        <v>70000</v>
      </c>
      <c r="J11" s="80" t="n">
        <v>19408606</v>
      </c>
      <c r="K11" s="80" t="n">
        <v>4149715</v>
      </c>
      <c r="L11" s="80" t="n">
        <v>18000</v>
      </c>
      <c r="M11" s="80" t="n">
        <v>133330</v>
      </c>
      <c r="N11" s="81" t="n">
        <v>74722725</v>
      </c>
      <c r="O11" s="80" t="n">
        <v>-67929750</v>
      </c>
      <c r="P11" s="81">
        <f>IF(N11&lt;&gt;0,N11+O11,"")</f>
        <v/>
      </c>
    </row>
    <row r="12" ht="20" customHeight="1">
      <c r="A12" s="82" t="inlineStr">
        <is>
          <t>2025-02</t>
        </is>
      </c>
      <c r="B12" s="74" t="inlineStr">
        <is>
          <t>R7.2</t>
        </is>
      </c>
      <c r="C12" s="83" t="n">
        <v>12256849</v>
      </c>
      <c r="D12" s="83" t="n">
        <v>35273064</v>
      </c>
      <c r="E12" s="83" t="n">
        <v>716000</v>
      </c>
      <c r="F12" s="83" t="n"/>
      <c r="G12" s="83" t="n">
        <v>534500</v>
      </c>
      <c r="H12" s="83" t="n">
        <v>150400</v>
      </c>
      <c r="I12" s="83" t="n"/>
      <c r="J12" s="83" t="n">
        <v>18823147</v>
      </c>
      <c r="K12" s="83" t="n">
        <v>3791480</v>
      </c>
      <c r="L12" s="83" t="n">
        <v>75864</v>
      </c>
      <c r="M12" s="83" t="n">
        <v>163880</v>
      </c>
      <c r="N12" s="84" t="n">
        <v>71785184</v>
      </c>
      <c r="O12" s="83" t="n">
        <v>-65259258</v>
      </c>
      <c r="P12" s="84">
        <f>IF(N12&lt;&gt;0,N12+O12,"")</f>
        <v/>
      </c>
    </row>
    <row r="13" ht="20" customHeight="1">
      <c r="A13" s="79" t="inlineStr">
        <is>
          <t>2025-03</t>
        </is>
      </c>
      <c r="B13" s="68" t="inlineStr">
        <is>
          <t>R7.3</t>
        </is>
      </c>
      <c r="C13" s="80" t="n">
        <v>12036342</v>
      </c>
      <c r="D13" s="80" t="n">
        <v>39891431</v>
      </c>
      <c r="E13" s="80" t="n"/>
      <c r="F13" s="80" t="n">
        <v>4399519</v>
      </c>
      <c r="G13" s="80" t="n">
        <v>534500</v>
      </c>
      <c r="H13" s="80" t="n">
        <v>35728</v>
      </c>
      <c r="I13" s="80" t="n">
        <v>177600</v>
      </c>
      <c r="J13" s="80" t="n">
        <v>21429591</v>
      </c>
      <c r="K13" s="80" t="n">
        <v>5604911</v>
      </c>
      <c r="L13" s="80" t="n">
        <v>73000</v>
      </c>
      <c r="M13" s="80" t="n">
        <v>167470</v>
      </c>
      <c r="N13" s="81" t="n">
        <v>84350092</v>
      </c>
      <c r="O13" s="80" t="n">
        <v>-76681902</v>
      </c>
      <c r="P13" s="81">
        <f>IF(N13&lt;&gt;0,N13+O13,"")</f>
        <v/>
      </c>
    </row>
    <row r="14" ht="20" customHeight="1">
      <c r="A14" s="82" t="inlineStr">
        <is>
          <t>2025-04</t>
        </is>
      </c>
      <c r="B14" s="74" t="inlineStr">
        <is>
          <t>R7.4</t>
        </is>
      </c>
      <c r="C14" s="83" t="n">
        <v>13732489</v>
      </c>
      <c r="D14" s="83" t="n">
        <v>42565460</v>
      </c>
      <c r="E14" s="83" t="n">
        <v>320000</v>
      </c>
      <c r="F14" s="83" t="n"/>
      <c r="G14" s="83" t="n">
        <v>579000</v>
      </c>
      <c r="H14" s="83" t="n">
        <v>20000</v>
      </c>
      <c r="I14" s="83" t="n">
        <v>385190</v>
      </c>
      <c r="J14" s="83" t="n">
        <v>20293634</v>
      </c>
      <c r="K14" s="83" t="n">
        <v>4392253</v>
      </c>
      <c r="L14" s="83" t="n">
        <v>54000</v>
      </c>
      <c r="M14" s="83" t="n">
        <v>126695</v>
      </c>
      <c r="N14" s="84" t="n">
        <v>82468721</v>
      </c>
      <c r="O14" s="83" t="n">
        <v>-74971565</v>
      </c>
      <c r="P14" s="84">
        <f>IF(N14&lt;&gt;0,N14+O14,"")</f>
        <v/>
      </c>
    </row>
    <row r="15" ht="20" customHeight="1">
      <c r="A15" s="79" t="inlineStr">
        <is>
          <t>2025-05</t>
        </is>
      </c>
      <c r="B15" s="68" t="inlineStr">
        <is>
          <t>R7.5</t>
        </is>
      </c>
      <c r="C15" s="80" t="n">
        <v>12433945</v>
      </c>
      <c r="D15" s="80" t="n">
        <v>42621987</v>
      </c>
      <c r="E15" s="80" t="n">
        <v>24000</v>
      </c>
      <c r="F15" s="80" t="n"/>
      <c r="G15" s="80" t="n">
        <v>399500</v>
      </c>
      <c r="H15" s="80" t="n">
        <v>375209</v>
      </c>
      <c r="I15" s="80" t="n">
        <v>4439900</v>
      </c>
      <c r="J15" s="80" t="n">
        <v>20536694</v>
      </c>
      <c r="K15" s="80" t="n">
        <v>4686122</v>
      </c>
      <c r="L15" s="80" t="n">
        <v>49068</v>
      </c>
      <c r="M15" s="80" t="n">
        <v>116600</v>
      </c>
      <c r="N15" s="81" t="n">
        <v>85683025</v>
      </c>
      <c r="O15" s="80" t="n">
        <v>-77893659</v>
      </c>
      <c r="P15" s="81">
        <f>IF(N15&lt;&gt;0,N15+O15,"")</f>
        <v/>
      </c>
    </row>
    <row r="16" ht="20" customHeight="1">
      <c r="A16" s="82" t="inlineStr">
        <is>
          <t>2025-06</t>
        </is>
      </c>
      <c r="B16" s="74" t="inlineStr">
        <is>
          <t>R7.6</t>
        </is>
      </c>
      <c r="C16" s="83" t="n">
        <v>12725923</v>
      </c>
      <c r="D16" s="83" t="n">
        <v>42039492</v>
      </c>
      <c r="E16" s="83" t="n">
        <v>560000</v>
      </c>
      <c r="F16" s="83" t="n">
        <v>6678437</v>
      </c>
      <c r="G16" s="83" t="n">
        <v>639500</v>
      </c>
      <c r="H16" s="83" t="n">
        <v>66155</v>
      </c>
      <c r="I16" s="83" t="n">
        <v>811380</v>
      </c>
      <c r="J16" s="83" t="n">
        <v>21382460</v>
      </c>
      <c r="K16" s="83" t="n">
        <v>4686956</v>
      </c>
      <c r="L16" s="83" t="n">
        <v>282934</v>
      </c>
      <c r="M16" s="83" t="n">
        <v>233890</v>
      </c>
      <c r="N16" s="84" t="n">
        <v>90107127</v>
      </c>
      <c r="O16" s="83" t="n">
        <v>-81915570</v>
      </c>
      <c r="P16" s="84">
        <f>IF(N16&lt;&gt;0,N16+O16,"")</f>
        <v/>
      </c>
    </row>
    <row r="17" ht="20" customHeight="1">
      <c r="A17" s="79" t="inlineStr">
        <is>
          <t>2025-07</t>
        </is>
      </c>
      <c r="B17" s="68" t="inlineStr">
        <is>
          <t>R7.7</t>
        </is>
      </c>
      <c r="C17" s="80" t="n">
        <v>14033460</v>
      </c>
      <c r="D17" s="80" t="n">
        <v>49551795</v>
      </c>
      <c r="E17" s="80" t="n">
        <v>70400</v>
      </c>
      <c r="F17" s="80" t="n"/>
      <c r="G17" s="80" t="n">
        <v>439450</v>
      </c>
      <c r="H17" s="80" t="n">
        <v>522775</v>
      </c>
      <c r="I17" s="80" t="n">
        <v>3465</v>
      </c>
      <c r="J17" s="80" t="n">
        <v>24309231</v>
      </c>
      <c r="K17" s="80" t="n">
        <v>5799867</v>
      </c>
      <c r="L17" s="80" t="n">
        <v>19800</v>
      </c>
      <c r="M17" s="80" t="n">
        <v>299751</v>
      </c>
      <c r="N17" s="81" t="n">
        <v>95049994</v>
      </c>
      <c r="O17" s="80" t="n">
        <v>-86409085</v>
      </c>
      <c r="P17" s="81">
        <f>IF(N17&lt;&gt;0,N17+O17,"")</f>
        <v/>
      </c>
    </row>
    <row r="18" ht="20" customHeight="1">
      <c r="A18" s="82" t="inlineStr">
        <is>
          <t>2025-08</t>
        </is>
      </c>
      <c r="B18" s="74" t="inlineStr">
        <is>
          <t>R7.8</t>
        </is>
      </c>
      <c r="C18" s="83" t="n">
        <v>12775187</v>
      </c>
      <c r="D18" s="83" t="n">
        <v>45672694</v>
      </c>
      <c r="E18" s="83" t="n">
        <v>1859000</v>
      </c>
      <c r="F18" s="83" t="n">
        <v>6057720</v>
      </c>
      <c r="G18" s="83" t="n">
        <v>703450</v>
      </c>
      <c r="H18" s="83" t="n">
        <v>995236</v>
      </c>
      <c r="I18" s="83" t="n">
        <v>500</v>
      </c>
      <c r="J18" s="83" t="n">
        <v>21710565</v>
      </c>
      <c r="K18" s="83" t="n">
        <v>6235942</v>
      </c>
      <c r="L18" s="83" t="n">
        <v>85140</v>
      </c>
      <c r="M18" s="83" t="n">
        <v>297500</v>
      </c>
      <c r="N18" s="84" t="n">
        <v>96392934</v>
      </c>
      <c r="O18" s="83" t="n">
        <v>-87629940</v>
      </c>
      <c r="P18" s="84">
        <f>IF(N18&lt;&gt;0,N18+O18,"")</f>
        <v/>
      </c>
    </row>
    <row r="19" ht="20" customHeight="1">
      <c r="A19" s="85" t="inlineStr"/>
      <c r="B19" s="68" t="inlineStr"/>
      <c r="C19" s="80" t="n"/>
      <c r="D19" s="80" t="n"/>
      <c r="E19" s="80" t="n"/>
      <c r="F19" s="80" t="n"/>
      <c r="G19" s="80" t="n"/>
      <c r="H19" s="80" t="n"/>
      <c r="I19" s="80" t="n"/>
      <c r="J19" s="80" t="n"/>
      <c r="K19" s="80" t="n"/>
      <c r="L19" s="80" t="n"/>
      <c r="M19" s="80" t="n"/>
      <c r="N19" s="81">
        <f>IF(C19+D19+E19+F19+G19+H19+I19+J19+K19+L19+M19=0,"",C19+D19+E19+F19+G19+H19+I19+J19+K19+L19+M19)</f>
        <v/>
      </c>
      <c r="O19" s="80">
        <f>IF(N19="","",ROUND(-N19/11,0))</f>
        <v/>
      </c>
      <c r="P19" s="81">
        <f>IF(N19="","",N19+O19)</f>
        <v/>
      </c>
    </row>
    <row r="20" ht="20" customHeight="1">
      <c r="A20" s="86" t="inlineStr"/>
      <c r="B20" s="74" t="inlineStr"/>
      <c r="C20" s="83" t="n"/>
      <c r="D20" s="83" t="n"/>
      <c r="E20" s="83" t="n"/>
      <c r="F20" s="83" t="n"/>
      <c r="G20" s="83" t="n"/>
      <c r="H20" s="83" t="n"/>
      <c r="I20" s="83" t="n"/>
      <c r="J20" s="83" t="n"/>
      <c r="K20" s="83" t="n"/>
      <c r="L20" s="83" t="n"/>
      <c r="M20" s="83" t="n"/>
      <c r="N20" s="84">
        <f>IF(C20+D20+E20+F20+G20+H20+I20+J20+K20+L20+M20=0,"",C20+D20+E20+F20+G20+H20+I20+J20+K20+L20+M20)</f>
        <v/>
      </c>
      <c r="O20" s="83">
        <f>IF(N20="","",ROUND(-N20/11,0))</f>
        <v/>
      </c>
      <c r="P20" s="84">
        <f>IF(N20="","",N20+O20)</f>
        <v/>
      </c>
    </row>
    <row r="21" ht="20" customHeight="1">
      <c r="A21" s="85" t="inlineStr"/>
      <c r="B21" s="68" t="inlineStr"/>
      <c r="C21" s="80" t="n"/>
      <c r="D21" s="80" t="n"/>
      <c r="E21" s="80" t="n"/>
      <c r="F21" s="80" t="n"/>
      <c r="G21" s="80" t="n"/>
      <c r="H21" s="80" t="n"/>
      <c r="I21" s="80" t="n"/>
      <c r="J21" s="80" t="n"/>
      <c r="K21" s="80" t="n"/>
      <c r="L21" s="80" t="n"/>
      <c r="M21" s="80" t="n"/>
      <c r="N21" s="81">
        <f>IF(C21+D21+E21+F21+G21+H21+I21+J21+K21+L21+M21=0,"",C21+D21+E21+F21+G21+H21+I21+J21+K21+L21+M21)</f>
        <v/>
      </c>
      <c r="O21" s="80">
        <f>IF(N21="","",ROUND(-N21/11,0))</f>
        <v/>
      </c>
      <c r="P21" s="81">
        <f>IF(N21="","",N21+O21)</f>
        <v/>
      </c>
    </row>
    <row r="22" ht="20" customHeight="1">
      <c r="A22" s="86" t="inlineStr"/>
      <c r="B22" s="74" t="inlineStr"/>
      <c r="C22" s="83" t="n"/>
      <c r="D22" s="83" t="n"/>
      <c r="E22" s="83" t="n"/>
      <c r="F22" s="83" t="n"/>
      <c r="G22" s="83" t="n"/>
      <c r="H22" s="83" t="n"/>
      <c r="I22" s="83" t="n"/>
      <c r="J22" s="83" t="n"/>
      <c r="K22" s="83" t="n"/>
      <c r="L22" s="83" t="n"/>
      <c r="M22" s="83" t="n"/>
      <c r="N22" s="84">
        <f>IF(C22+D22+E22+F22+G22+H22+I22+J22+K22+L22+M22=0,"",C22+D22+E22+F22+G22+H22+I22+J22+K22+L22+M22)</f>
        <v/>
      </c>
      <c r="O22" s="83">
        <f>IF(N22="","",ROUND(-N22/11,0))</f>
        <v/>
      </c>
      <c r="P22" s="84">
        <f>IF(N22="","",N22+O22)</f>
        <v/>
      </c>
    </row>
    <row r="23" ht="20" customHeight="1">
      <c r="A23" s="85" t="inlineStr"/>
      <c r="B23" s="68" t="inlineStr"/>
      <c r="C23" s="80" t="n"/>
      <c r="D23" s="80" t="n"/>
      <c r="E23" s="80" t="n"/>
      <c r="F23" s="80" t="n"/>
      <c r="G23" s="80" t="n"/>
      <c r="H23" s="80" t="n"/>
      <c r="I23" s="80" t="n"/>
      <c r="J23" s="80" t="n"/>
      <c r="K23" s="80" t="n"/>
      <c r="L23" s="80" t="n"/>
      <c r="M23" s="80" t="n"/>
      <c r="N23" s="81">
        <f>IF(C23+D23+E23+F23+G23+H23+I23+J23+K23+L23+M23=0,"",C23+D23+E23+F23+G23+H23+I23+J23+K23+L23+M23)</f>
        <v/>
      </c>
      <c r="O23" s="80">
        <f>IF(N23="","",ROUND(-N23/11,0))</f>
        <v/>
      </c>
      <c r="P23" s="81">
        <f>IF(N23="","",N23+O23)</f>
        <v/>
      </c>
    </row>
    <row r="24" ht="20" customHeight="1">
      <c r="A24" s="86" t="inlineStr"/>
      <c r="B24" s="74" t="inlineStr"/>
      <c r="C24" s="83" t="n"/>
      <c r="D24" s="83" t="n"/>
      <c r="E24" s="83" t="n"/>
      <c r="F24" s="83" t="n"/>
      <c r="G24" s="83" t="n"/>
      <c r="H24" s="83" t="n"/>
      <c r="I24" s="83" t="n"/>
      <c r="J24" s="83" t="n"/>
      <c r="K24" s="83" t="n"/>
      <c r="L24" s="83" t="n"/>
      <c r="M24" s="83" t="n"/>
      <c r="N24" s="84">
        <f>IF(C24+D24+E24+F24+G24+H24+I24+J24+K24+L24+M24=0,"",C24+D24+E24+F24+G24+H24+I24+J24+K24+L24+M24)</f>
        <v/>
      </c>
      <c r="O24" s="83">
        <f>IF(N24="","",ROUND(-N24/11,0))</f>
        <v/>
      </c>
      <c r="P24" s="84">
        <f>IF(N24="","",N24+O24)</f>
        <v/>
      </c>
    </row>
    <row r="25" ht="20" customHeight="1">
      <c r="A25" s="85" t="inlineStr"/>
      <c r="B25" s="68" t="inlineStr"/>
      <c r="C25" s="80" t="n"/>
      <c r="D25" s="80" t="n"/>
      <c r="E25" s="80" t="n"/>
      <c r="F25" s="80" t="n"/>
      <c r="G25" s="80" t="n"/>
      <c r="H25" s="80" t="n"/>
      <c r="I25" s="80" t="n"/>
      <c r="J25" s="80" t="n"/>
      <c r="K25" s="80" t="n"/>
      <c r="L25" s="80" t="n"/>
      <c r="M25" s="80" t="n"/>
      <c r="N25" s="81">
        <f>IF(C25+D25+E25+F25+G25+H25+I25+J25+K25+L25+M25=0,"",C25+D25+E25+F25+G25+H25+I25+J25+K25+L25+M25)</f>
        <v/>
      </c>
      <c r="O25" s="80">
        <f>IF(N25="","",ROUND(-N25/11,0))</f>
        <v/>
      </c>
      <c r="P25" s="81">
        <f>IF(N25="","",N25+O25)</f>
        <v/>
      </c>
    </row>
    <row r="26" ht="20" customHeight="1">
      <c r="A26" s="86" t="inlineStr"/>
      <c r="B26" s="74" t="inlineStr"/>
      <c r="C26" s="83" t="n"/>
      <c r="D26" s="83" t="n"/>
      <c r="E26" s="83" t="n"/>
      <c r="F26" s="83" t="n"/>
      <c r="G26" s="83" t="n"/>
      <c r="H26" s="83" t="n"/>
      <c r="I26" s="83" t="n"/>
      <c r="J26" s="83" t="n"/>
      <c r="K26" s="83" t="n"/>
      <c r="L26" s="83" t="n"/>
      <c r="M26" s="83" t="n"/>
      <c r="N26" s="84">
        <f>IF(C26+D26+E26+F26+G26+H26+I26+J26+K26+L26+M26=0,"",C26+D26+E26+F26+G26+H26+I26+J26+K26+L26+M26)</f>
        <v/>
      </c>
      <c r="O26" s="83">
        <f>IF(N26="","",ROUND(-N26/11,0))</f>
        <v/>
      </c>
      <c r="P26" s="84">
        <f>IF(N26="","",N26+O26)</f>
        <v/>
      </c>
    </row>
    <row r="27" ht="20" customHeight="1">
      <c r="A27" s="85" t="inlineStr"/>
      <c r="B27" s="68" t="inlineStr"/>
      <c r="C27" s="80" t="n"/>
      <c r="D27" s="80" t="n"/>
      <c r="E27" s="80" t="n"/>
      <c r="F27" s="80" t="n"/>
      <c r="G27" s="80" t="n"/>
      <c r="H27" s="80" t="n"/>
      <c r="I27" s="80" t="n"/>
      <c r="J27" s="80" t="n"/>
      <c r="K27" s="80" t="n"/>
      <c r="L27" s="80" t="n"/>
      <c r="M27" s="80" t="n"/>
      <c r="N27" s="81">
        <f>IF(C27+D27+E27+F27+G27+H27+I27+J27+K27+L27+M27=0,"",C27+D27+E27+F27+G27+H27+I27+J27+K27+L27+M27)</f>
        <v/>
      </c>
      <c r="O27" s="80">
        <f>IF(N27="","",ROUND(-N27/11,0))</f>
        <v/>
      </c>
      <c r="P27" s="81">
        <f>IF(N27="","",N27+O27)</f>
        <v/>
      </c>
    </row>
    <row r="28" ht="20" customHeight="1">
      <c r="A28" s="86" t="inlineStr"/>
      <c r="B28" s="74" t="inlineStr"/>
      <c r="C28" s="83" t="n"/>
      <c r="D28" s="83" t="n"/>
      <c r="E28" s="83" t="n"/>
      <c r="F28" s="83" t="n"/>
      <c r="G28" s="83" t="n"/>
      <c r="H28" s="83" t="n"/>
      <c r="I28" s="83" t="n"/>
      <c r="J28" s="83" t="n"/>
      <c r="K28" s="83" t="n"/>
      <c r="L28" s="83" t="n"/>
      <c r="M28" s="83" t="n"/>
      <c r="N28" s="84">
        <f>IF(C28+D28+E28+F28+G28+H28+I28+J28+K28+L28+M28=0,"",C28+D28+E28+F28+G28+H28+I28+J28+K28+L28+M28)</f>
        <v/>
      </c>
      <c r="O28" s="83">
        <f>IF(N28="","",ROUND(-N28/11,0))</f>
        <v/>
      </c>
      <c r="P28" s="84">
        <f>IF(N28="","",N28+O28)</f>
        <v/>
      </c>
    </row>
    <row r="29" ht="20" customHeight="1">
      <c r="A29" s="85" t="inlineStr"/>
      <c r="B29" s="68" t="inlineStr"/>
      <c r="C29" s="80" t="n"/>
      <c r="D29" s="80" t="n"/>
      <c r="E29" s="80" t="n"/>
      <c r="F29" s="80" t="n"/>
      <c r="G29" s="80" t="n"/>
      <c r="H29" s="80" t="n"/>
      <c r="I29" s="80" t="n"/>
      <c r="J29" s="80" t="n"/>
      <c r="K29" s="80" t="n"/>
      <c r="L29" s="80" t="n"/>
      <c r="M29" s="80" t="n"/>
      <c r="N29" s="81">
        <f>IF(C29+D29+E29+F29+G29+H29+I29+J29+K29+L29+M29=0,"",C29+D29+E29+F29+G29+H29+I29+J29+K29+L29+M29)</f>
        <v/>
      </c>
      <c r="O29" s="80">
        <f>IF(N29="","",ROUND(-N29/11,0))</f>
        <v/>
      </c>
      <c r="P29" s="81">
        <f>IF(N29="","",N29+O29)</f>
        <v/>
      </c>
    </row>
    <row r="30" ht="20" customHeight="1">
      <c r="A30" s="86" t="inlineStr"/>
      <c r="B30" s="74" t="inlineStr"/>
      <c r="C30" s="83" t="n"/>
      <c r="D30" s="83" t="n"/>
      <c r="E30" s="83" t="n"/>
      <c r="F30" s="83" t="n"/>
      <c r="G30" s="83" t="n"/>
      <c r="H30" s="83" t="n"/>
      <c r="I30" s="83" t="n"/>
      <c r="J30" s="83" t="n"/>
      <c r="K30" s="83" t="n"/>
      <c r="L30" s="83" t="n"/>
      <c r="M30" s="83" t="n"/>
      <c r="N30" s="84">
        <f>IF(C30+D30+E30+F30+G30+H30+I30+J30+K30+L30+M30=0,"",C30+D30+E30+F30+G30+H30+I30+J30+K30+L30+M30)</f>
        <v/>
      </c>
      <c r="O30" s="83">
        <f>IF(N30="","",ROUND(-N30/11,0))</f>
        <v/>
      </c>
      <c r="P30" s="84">
        <f>IF(N30="","",N30+O30)</f>
        <v/>
      </c>
    </row>
  </sheetData>
  <mergeCells count="5">
    <mergeCell ref="C3:M3"/>
    <mergeCell ref="A1:P1"/>
    <mergeCell ref="A3:B3"/>
    <mergeCell ref="N3:P3"/>
    <mergeCell ref="A2:P2"/>
  </mergeCells>
  <conditionalFormatting sqref="N5:N30">
    <cfRule type="colorScale" priority="1">
      <colorScale>
        <cfvo type="min"/>
        <cfvo type="max"/>
        <color rgb="00FFF9C4"/>
        <color rgb="001A5FC8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A6B2E"/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3" customWidth="1" min="7" max="7"/>
    <col width="16" customWidth="1" min="8" max="8"/>
    <col width="16" customWidth="1" min="9" max="9"/>
  </cols>
  <sheetData>
    <row r="1" ht="36" customHeight="1">
      <c r="A1" s="1" t="inlineStr">
        <is>
          <t>科目-案件マッピング設定　※配分率(%)を調整することで③採算入力の売上が変わります</t>
        </is>
      </c>
    </row>
    <row r="2" ht="22" customHeight="1">
      <c r="A2" s="87" t="inlineStr">
        <is>
          <t>★ C001/C002/C003 の合計が100%になるよう配分を設定してください（KCのみ別管理で0%可）</t>
        </is>
      </c>
      <c r="B2" s="97" t="n"/>
      <c r="C2" s="97" t="n"/>
      <c r="D2" s="97" t="n"/>
      <c r="E2" s="97" t="n"/>
      <c r="F2" s="97" t="n"/>
      <c r="G2" s="97" t="n"/>
      <c r="H2" s="97" t="n"/>
      <c r="I2" s="98" t="n"/>
    </row>
    <row r="3" ht="22" customHeight="1">
      <c r="A3" s="2" t="inlineStr">
        <is>
          <t>科目情報</t>
        </is>
      </c>
      <c r="B3" s="97" t="n"/>
      <c r="C3" s="98" t="n"/>
      <c r="D3" s="54" t="inlineStr">
        <is>
          <t>案件別配分率（%）</t>
        </is>
      </c>
      <c r="E3" s="97" t="n"/>
      <c r="F3" s="98" t="n"/>
      <c r="G3" s="3" t="inlineStr">
        <is>
          <t>確認</t>
        </is>
      </c>
      <c r="H3" s="97" t="n"/>
      <c r="I3" s="98" t="n"/>
    </row>
    <row r="4" ht="36" customHeight="1">
      <c r="A4" s="5" t="inlineStr">
        <is>
          <t>科目コード</t>
        </is>
      </c>
      <c r="B4" s="5" t="inlineStr">
        <is>
          <t>科目名</t>
        </is>
      </c>
      <c r="C4" s="5" t="inlineStr">
        <is>
          <t>性質</t>
        </is>
      </c>
      <c r="D4" s="5" t="inlineStr">
        <is>
          <t>C001
東急グループ%</t>
        </is>
      </c>
      <c r="E4" s="5" t="inlineStr">
        <is>
          <t>C002
都営地下鉄%</t>
        </is>
      </c>
      <c r="F4" s="5" t="inlineStr">
        <is>
          <t>C003
一般事業者%</t>
        </is>
      </c>
      <c r="G4" s="5" t="inlineStr">
        <is>
          <t>合計%
(100が正常)</t>
        </is>
      </c>
      <c r="H4" s="5" t="inlineStr">
        <is>
          <t>直近月売上
(参照)</t>
        </is>
      </c>
      <c r="I4" s="5" t="inlineStr">
        <is>
          <t>直近月各案件
貢献額(参照)</t>
        </is>
      </c>
    </row>
    <row r="5" ht="24" customHeight="1">
      <c r="A5" s="79" t="inlineStr">
        <is>
          <t>612-1</t>
        </is>
      </c>
      <c r="B5" s="88" t="inlineStr">
        <is>
          <t>運送（本社）</t>
        </is>
      </c>
      <c r="C5" s="68" t="inlineStr">
        <is>
          <t>民間運送</t>
        </is>
      </c>
      <c r="D5" s="89" t="n">
        <v>0</v>
      </c>
      <c r="E5" s="90" t="n">
        <v>0</v>
      </c>
      <c r="F5" s="91" t="n">
        <v>100</v>
      </c>
      <c r="G5" s="92">
        <f>D5+E5+F5</f>
        <v/>
      </c>
      <c r="H5" s="93">
        <f>IFERROR(VLOOKUP(MAX(⑤売上原票!$A$5:$A$100),⑤売上原票!$A:$P,3,0),"-")</f>
        <v/>
      </c>
      <c r="I5" s="93">
        <f>IF(H5="-","-",H5*(D5+E5+F5)/100)</f>
        <v/>
      </c>
    </row>
    <row r="6" ht="24" customHeight="1">
      <c r="A6" s="82" t="inlineStr">
        <is>
          <t>612-2</t>
        </is>
      </c>
      <c r="B6" s="94" t="inlineStr">
        <is>
          <t>入札（公共）</t>
        </is>
      </c>
      <c r="C6" s="74" t="inlineStr">
        <is>
          <t>公共入札</t>
        </is>
      </c>
      <c r="D6" s="89" t="n">
        <v>0</v>
      </c>
      <c r="E6" s="90" t="n">
        <v>100</v>
      </c>
      <c r="F6" s="91" t="n">
        <v>0</v>
      </c>
      <c r="G6" s="92">
        <f>D6+E6+F6</f>
        <v/>
      </c>
      <c r="H6" s="95">
        <f>IFERROR(VLOOKUP(MAX(⑤売上原票!$A$5:$A$100),⑤売上原票!$A:$P,4,0),"-")</f>
        <v/>
      </c>
      <c r="I6" s="95">
        <f>IF(H6="-","-",H6*(D6+E6+F6)/100)</f>
        <v/>
      </c>
    </row>
    <row r="7" ht="24" customHeight="1">
      <c r="A7" s="79" t="inlineStr">
        <is>
          <t>613-1</t>
        </is>
      </c>
      <c r="B7" s="88" t="inlineStr">
        <is>
          <t>車輌</t>
        </is>
      </c>
      <c r="C7" s="68" t="inlineStr">
        <is>
          <t>車輌</t>
        </is>
      </c>
      <c r="D7" s="89" t="n">
        <v>20</v>
      </c>
      <c r="E7" s="90" t="n">
        <v>10</v>
      </c>
      <c r="F7" s="91" t="n">
        <v>70</v>
      </c>
      <c r="G7" s="92">
        <f>D7+E7+F7</f>
        <v/>
      </c>
      <c r="H7" s="93">
        <f>IFERROR(VLOOKUP(MAX(⑤売上原票!$A$5:$A$100),⑤売上原票!$A:$P,5,0),"-")</f>
        <v/>
      </c>
      <c r="I7" s="93">
        <f>IF(H7="-","-",H7*(D7+E7+F7)/100)</f>
        <v/>
      </c>
    </row>
    <row r="8" ht="24" customHeight="1">
      <c r="A8" s="82" t="inlineStr">
        <is>
          <t>613-2</t>
        </is>
      </c>
      <c r="B8" s="94" t="inlineStr">
        <is>
          <t>KC</t>
        </is>
      </c>
      <c r="C8" s="74" t="inlineStr">
        <is>
          <t>KC売上</t>
        </is>
      </c>
      <c r="D8" s="89" t="n">
        <v>0</v>
      </c>
      <c r="E8" s="90" t="n">
        <v>0</v>
      </c>
      <c r="F8" s="91" t="n">
        <v>0</v>
      </c>
      <c r="G8" s="92">
        <f>D8+E8+F8</f>
        <v/>
      </c>
      <c r="H8" s="95">
        <f>IFERROR(VLOOKUP(MAX(⑤売上原票!$A$5:$A$100),⑤売上原票!$A:$P,6,0),"-")</f>
        <v/>
      </c>
      <c r="I8" s="95">
        <f>IF(H8="-","-",H8*(D8+E8+F8)/100)</f>
        <v/>
      </c>
    </row>
    <row r="9" ht="24" customHeight="1">
      <c r="A9" s="79" t="inlineStr">
        <is>
          <t>614-1</t>
        </is>
      </c>
      <c r="B9" s="88" t="inlineStr">
        <is>
          <t>コンテナ</t>
        </is>
      </c>
      <c r="C9" s="68" t="inlineStr">
        <is>
          <t>コンテナ</t>
        </is>
      </c>
      <c r="D9" s="89" t="n">
        <v>0</v>
      </c>
      <c r="E9" s="90" t="n">
        <v>0</v>
      </c>
      <c r="F9" s="91" t="n">
        <v>100</v>
      </c>
      <c r="G9" s="92">
        <f>D9+E9+F9</f>
        <v/>
      </c>
      <c r="H9" s="93">
        <f>IFERROR(VLOOKUP(MAX(⑤売上原票!$A$5:$A$100),⑤売上原票!$A:$P,7,0),"-")</f>
        <v/>
      </c>
      <c r="I9" s="93">
        <f>IF(H9="-","-",H9*(D9+E9+F9)/100)</f>
        <v/>
      </c>
    </row>
    <row r="10" ht="24" customHeight="1">
      <c r="A10" s="82" t="inlineStr">
        <is>
          <t>614-2</t>
        </is>
      </c>
      <c r="B10" s="94" t="inlineStr">
        <is>
          <t>ENDO</t>
        </is>
      </c>
      <c r="C10" s="74" t="inlineStr">
        <is>
          <t>ENDO</t>
        </is>
      </c>
      <c r="D10" s="89" t="n">
        <v>0</v>
      </c>
      <c r="E10" s="90" t="n">
        <v>0</v>
      </c>
      <c r="F10" s="91" t="n">
        <v>100</v>
      </c>
      <c r="G10" s="92">
        <f>D10+E10+F10</f>
        <v/>
      </c>
      <c r="H10" s="95">
        <f>IFERROR(VLOOKUP(MAX(⑤売上原票!$A$5:$A$100),⑤売上原票!$A:$P,8,0),"-")</f>
        <v/>
      </c>
      <c r="I10" s="95">
        <f>IF(H10="-","-",H10*(D10+E10+F10)/100)</f>
        <v/>
      </c>
    </row>
    <row r="11" ht="24" customHeight="1">
      <c r="A11" s="79" t="inlineStr">
        <is>
          <t>614-3</t>
        </is>
      </c>
      <c r="B11" s="88" t="inlineStr">
        <is>
          <t>現金</t>
        </is>
      </c>
      <c r="C11" s="68" t="inlineStr">
        <is>
          <t>現金</t>
        </is>
      </c>
      <c r="D11" s="89" t="n">
        <v>0</v>
      </c>
      <c r="E11" s="90" t="n">
        <v>0</v>
      </c>
      <c r="F11" s="91" t="n">
        <v>100</v>
      </c>
      <c r="G11" s="92">
        <f>D11+E11+F11</f>
        <v/>
      </c>
      <c r="H11" s="93">
        <f>IFERROR(VLOOKUP(MAX(⑤売上原票!$A$5:$A$100),⑤売上原票!$A:$P,9,0),"-")</f>
        <v/>
      </c>
      <c r="I11" s="93">
        <f>IF(H11="-","-",H11*(D11+E11+F11)/100)</f>
        <v/>
      </c>
    </row>
    <row r="12" ht="24" customHeight="1">
      <c r="A12" s="82" t="inlineStr">
        <is>
          <t>615-1</t>
        </is>
      </c>
      <c r="B12" s="94" t="inlineStr">
        <is>
          <t>板橋</t>
        </is>
      </c>
      <c r="C12" s="74" t="inlineStr">
        <is>
          <t>板橋営業所</t>
        </is>
      </c>
      <c r="D12" s="89" t="n">
        <v>60</v>
      </c>
      <c r="E12" s="90" t="n">
        <v>0</v>
      </c>
      <c r="F12" s="91" t="n">
        <v>40</v>
      </c>
      <c r="G12" s="92">
        <f>D12+E12+F12</f>
        <v/>
      </c>
      <c r="H12" s="95">
        <f>IFERROR(VLOOKUP(MAX(⑤売上原票!$A$5:$A$100),⑤売上原票!$A:$P,10,0),"-")</f>
        <v/>
      </c>
      <c r="I12" s="95">
        <f>IF(H12="-","-",H12*(D12+E12+F12)/100)</f>
        <v/>
      </c>
    </row>
    <row r="13" ht="24" customHeight="1">
      <c r="A13" s="79" t="inlineStr">
        <is>
          <t>615-2</t>
        </is>
      </c>
      <c r="B13" s="88" t="inlineStr">
        <is>
          <t>新横浜</t>
        </is>
      </c>
      <c r="C13" s="68" t="inlineStr">
        <is>
          <t>新横浜営業所</t>
        </is>
      </c>
      <c r="D13" s="89" t="n">
        <v>0</v>
      </c>
      <c r="E13" s="90" t="n">
        <v>0</v>
      </c>
      <c r="F13" s="91" t="n">
        <v>100</v>
      </c>
      <c r="G13" s="92">
        <f>D13+E13+F13</f>
        <v/>
      </c>
      <c r="H13" s="93">
        <f>IFERROR(VLOOKUP(MAX(⑤売上原票!$A$5:$A$100),⑤売上原票!$A:$P,11,0),"-")</f>
        <v/>
      </c>
      <c r="I13" s="93">
        <f>IF(H13="-","-",H13*(D13+E13+F13)/100)</f>
        <v/>
      </c>
    </row>
    <row r="14" ht="24" customHeight="1">
      <c r="A14" s="82" t="inlineStr">
        <is>
          <t>615-3</t>
        </is>
      </c>
      <c r="B14" s="94" t="inlineStr">
        <is>
          <t>現金2</t>
        </is>
      </c>
      <c r="C14" s="74" t="inlineStr">
        <is>
          <t>現金2</t>
        </is>
      </c>
      <c r="D14" s="89" t="n">
        <v>0</v>
      </c>
      <c r="E14" s="90" t="n">
        <v>0</v>
      </c>
      <c r="F14" s="91" t="n">
        <v>100</v>
      </c>
      <c r="G14" s="92">
        <f>D14+E14+F14</f>
        <v/>
      </c>
      <c r="H14" s="95">
        <f>IFERROR(VLOOKUP(MAX(⑤売上原票!$A$5:$A$100),⑤売上原票!$A:$P,12,0),"-")</f>
        <v/>
      </c>
      <c r="I14" s="95">
        <f>IF(H14="-","-",H14*(D14+E14+F14)/100)</f>
        <v/>
      </c>
    </row>
    <row r="15" ht="24" customHeight="1">
      <c r="A15" s="79" t="inlineStr">
        <is>
          <t>615-4</t>
        </is>
      </c>
      <c r="B15" s="88" t="inlineStr">
        <is>
          <t>有価物</t>
        </is>
      </c>
      <c r="C15" s="68" t="inlineStr">
        <is>
          <t>有価物</t>
        </is>
      </c>
      <c r="D15" s="89" t="n">
        <v>0</v>
      </c>
      <c r="E15" s="90" t="n">
        <v>0</v>
      </c>
      <c r="F15" s="91" t="n">
        <v>100</v>
      </c>
      <c r="G15" s="92">
        <f>D15+E15+F15</f>
        <v/>
      </c>
      <c r="H15" s="93">
        <f>IFERROR(VLOOKUP(MAX(⑤売上原票!$A$5:$A$100),⑤売上原票!$A:$P,13,0),"-")</f>
        <v/>
      </c>
      <c r="I15" s="93">
        <f>IF(H15="-","-",H15*(D15+E15+F15)/100)</f>
        <v/>
      </c>
    </row>
    <row r="16" ht="26" customHeight="1">
      <c r="A16" s="96" t="inlineStr">
        <is>
          <t>合計</t>
        </is>
      </c>
      <c r="B16" s="97" t="n"/>
      <c r="C16" s="98" t="n"/>
      <c r="D16" s="99">
        <f>SUM(D5:D15)</f>
        <v/>
      </c>
      <c r="E16" s="99">
        <f>SUM(E5:E15)</f>
        <v/>
      </c>
      <c r="F16" s="99">
        <f>SUM(F5:F15)</f>
        <v/>
      </c>
      <c r="G16" s="96" t="inlineStr"/>
      <c r="H16" s="100">
        <f>SUM(H5:H15)</f>
        <v/>
      </c>
      <c r="I16" s="100">
        <f>SUM(I5:I15)</f>
        <v/>
      </c>
    </row>
    <row r="18" ht="18" customHeight="1">
      <c r="A18" s="78" t="inlineStr">
        <is>
          <t>【配分の考え方の例】　615-1(板橋)：東急グループの拠点は板橋営業所担当のため東急60%・一般40%と設定。実際の売上構成に合わせて調整してください。</t>
        </is>
      </c>
      <c r="B18" s="97" t="n"/>
      <c r="C18" s="97" t="n"/>
      <c r="D18" s="97" t="n"/>
      <c r="E18" s="97" t="n"/>
      <c r="F18" s="97" t="n"/>
      <c r="G18" s="97" t="n"/>
      <c r="H18" s="97" t="n"/>
      <c r="I18" s="98" t="n"/>
    </row>
  </sheetData>
  <mergeCells count="7">
    <mergeCell ref="A2:I2"/>
    <mergeCell ref="A1:I1"/>
    <mergeCell ref="A18:I18"/>
    <mergeCell ref="D3:F3"/>
    <mergeCell ref="A3:C3"/>
    <mergeCell ref="G3:I3"/>
    <mergeCell ref="A16:C16"/>
  </mergeCells>
  <conditionalFormatting sqref="G5">
    <cfRule type="expression" priority="1" dxfId="3">
      <formula>G5&lt;&gt;100</formula>
    </cfRule>
  </conditionalFormatting>
  <conditionalFormatting sqref="G6">
    <cfRule type="expression" priority="2" dxfId="3">
      <formula>G6&lt;&gt;100</formula>
    </cfRule>
  </conditionalFormatting>
  <conditionalFormatting sqref="G7">
    <cfRule type="expression" priority="3" dxfId="3">
      <formula>G7&lt;&gt;100</formula>
    </cfRule>
  </conditionalFormatting>
  <conditionalFormatting sqref="G8">
    <cfRule type="expression" priority="4" dxfId="3">
      <formula>G8&lt;&gt;100</formula>
    </cfRule>
  </conditionalFormatting>
  <conditionalFormatting sqref="G9">
    <cfRule type="expression" priority="5" dxfId="3">
      <formula>G9&lt;&gt;100</formula>
    </cfRule>
  </conditionalFormatting>
  <conditionalFormatting sqref="G10">
    <cfRule type="expression" priority="6" dxfId="3">
      <formula>G10&lt;&gt;100</formula>
    </cfRule>
  </conditionalFormatting>
  <conditionalFormatting sqref="G11">
    <cfRule type="expression" priority="7" dxfId="3">
      <formula>G11&lt;&gt;100</formula>
    </cfRule>
  </conditionalFormatting>
  <conditionalFormatting sqref="G12">
    <cfRule type="expression" priority="8" dxfId="3">
      <formula>G12&lt;&gt;100</formula>
    </cfRule>
  </conditionalFormatting>
  <conditionalFormatting sqref="G13">
    <cfRule type="expression" priority="9" dxfId="3">
      <formula>G13&lt;&gt;100</formula>
    </cfRule>
  </conditionalFormatting>
  <conditionalFormatting sqref="G14">
    <cfRule type="expression" priority="10" dxfId="3">
      <formula>G14&lt;&gt;100</formula>
    </cfRule>
  </conditionalFormatting>
  <conditionalFormatting sqref="G15">
    <cfRule type="expression" priority="11" dxfId="3">
      <formula>G15&lt;&gt;100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B2D8E"/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4" customWidth="1" min="3" max="3"/>
    <col width="16" customWidth="1" min="4" max="4"/>
    <col width="14" customWidth="1" min="5" max="5"/>
    <col width="16" customWidth="1" min="6" max="6"/>
  </cols>
  <sheetData>
    <row r="1" ht="36" customHeight="1">
      <c r="A1" s="1" t="inlineStr">
        <is>
          <t>ドライバー別回収量サマリー</t>
        </is>
      </c>
    </row>
    <row r="2" ht="22" customHeight="1">
      <c r="A2" s="5" t="inlineStr">
        <is>
          <t>ドライバー名</t>
        </is>
      </c>
      <c r="B2" s="5" t="inlineStr">
        <is>
          <t>担当拠点数</t>
        </is>
      </c>
      <c r="C2" s="5" t="inlineStr">
        <is>
          <t>週間回収量(kg)</t>
        </is>
      </c>
      <c r="D2" s="5" t="inlineStr">
        <is>
          <t>月間回収量(kg推算)</t>
        </is>
      </c>
      <c r="E2" s="5" t="inlineStr">
        <is>
          <t>1拠点あたり(kg)</t>
        </is>
      </c>
      <c r="F2" s="5" t="inlineStr">
        <is>
          <t>備考</t>
        </is>
      </c>
    </row>
    <row r="3" ht="22" customHeight="1">
      <c r="A3" s="88" t="inlineStr">
        <is>
          <t>長谷川</t>
        </is>
      </c>
      <c r="B3" s="93" t="n">
        <v>152</v>
      </c>
      <c r="C3" s="93" t="n">
        <v>12616</v>
      </c>
      <c r="D3" s="93" t="n">
        <v>50464</v>
      </c>
      <c r="E3" s="93" t="n">
        <v>83</v>
      </c>
      <c r="F3" s="69" t="inlineStr"/>
    </row>
    <row r="4" ht="22" customHeight="1">
      <c r="A4" s="94" t="inlineStr">
        <is>
          <t>長野</t>
        </is>
      </c>
      <c r="B4" s="95" t="n">
        <v>96</v>
      </c>
      <c r="C4" s="95" t="n">
        <v>7850</v>
      </c>
      <c r="D4" s="95" t="n">
        <v>31400</v>
      </c>
      <c r="E4" s="95" t="n">
        <v>81.8</v>
      </c>
      <c r="F4" s="75" t="inlineStr"/>
    </row>
    <row r="5" ht="22" customHeight="1">
      <c r="A5" s="88" t="inlineStr">
        <is>
          <t>千葉</t>
        </is>
      </c>
      <c r="B5" s="93" t="n">
        <v>242</v>
      </c>
      <c r="C5" s="93" t="n">
        <v>7472</v>
      </c>
      <c r="D5" s="93" t="n">
        <v>29888</v>
      </c>
      <c r="E5" s="93" t="n">
        <v>30.9</v>
      </c>
      <c r="F5" s="69" t="inlineStr"/>
    </row>
    <row r="6" ht="22" customHeight="1">
      <c r="A6" s="94" t="inlineStr">
        <is>
          <t>岡田</t>
        </is>
      </c>
      <c r="B6" s="95" t="n">
        <v>60</v>
      </c>
      <c r="C6" s="95" t="n">
        <v>4128</v>
      </c>
      <c r="D6" s="95" t="n">
        <v>16512</v>
      </c>
      <c r="E6" s="95" t="n">
        <v>68.8</v>
      </c>
      <c r="F6" s="75" t="inlineStr"/>
    </row>
    <row r="7" ht="22" customHeight="1">
      <c r="A7" s="88" t="inlineStr">
        <is>
          <t>白</t>
        </is>
      </c>
      <c r="B7" s="93" t="n">
        <v>16</v>
      </c>
      <c r="C7" s="93" t="n">
        <v>4120</v>
      </c>
      <c r="D7" s="93" t="n">
        <v>16480</v>
      </c>
      <c r="E7" s="93" t="n">
        <v>257.5</v>
      </c>
      <c r="F7" s="69" t="inlineStr"/>
    </row>
    <row r="8" ht="22" customHeight="1">
      <c r="A8" s="94" t="inlineStr">
        <is>
          <t>藤内</t>
        </is>
      </c>
      <c r="B8" s="95" t="n">
        <v>29</v>
      </c>
      <c r="C8" s="95" t="n">
        <v>3775</v>
      </c>
      <c r="D8" s="95" t="n">
        <v>15100</v>
      </c>
      <c r="E8" s="95" t="n">
        <v>130.2</v>
      </c>
      <c r="F8" s="75" t="inlineStr"/>
    </row>
    <row r="9" ht="22" customHeight="1">
      <c r="A9" s="88" t="inlineStr">
        <is>
          <t>中條</t>
        </is>
      </c>
      <c r="B9" s="93" t="n">
        <v>186</v>
      </c>
      <c r="C9" s="93" t="n">
        <v>3114</v>
      </c>
      <c r="D9" s="93" t="n">
        <v>12456</v>
      </c>
      <c r="E9" s="93" t="n">
        <v>16.7</v>
      </c>
      <c r="F9" s="69" t="inlineStr"/>
    </row>
    <row r="10" ht="22" customHeight="1">
      <c r="A10" s="94" t="inlineStr">
        <is>
          <t>宮原</t>
        </is>
      </c>
      <c r="B10" s="95" t="n">
        <v>72</v>
      </c>
      <c r="C10" s="95" t="n">
        <v>2692</v>
      </c>
      <c r="D10" s="95" t="n">
        <v>10768</v>
      </c>
      <c r="E10" s="95" t="n">
        <v>37.4</v>
      </c>
      <c r="F10" s="75" t="inlineStr"/>
    </row>
    <row r="11" ht="22" customHeight="1">
      <c r="A11" s="88" t="inlineStr">
        <is>
          <t>大迫</t>
        </is>
      </c>
      <c r="B11" s="93" t="n">
        <v>32</v>
      </c>
      <c r="C11" s="93" t="n">
        <v>2620</v>
      </c>
      <c r="D11" s="93" t="n">
        <v>10480</v>
      </c>
      <c r="E11" s="93" t="n">
        <v>81.90000000000001</v>
      </c>
      <c r="F11" s="69" t="inlineStr"/>
    </row>
    <row r="12" ht="22" customHeight="1">
      <c r="A12" s="94" t="inlineStr">
        <is>
          <t>鈴木</t>
        </is>
      </c>
      <c r="B12" s="95" t="n">
        <v>9</v>
      </c>
      <c r="C12" s="95" t="n">
        <v>2401</v>
      </c>
      <c r="D12" s="95" t="n">
        <v>9604</v>
      </c>
      <c r="E12" s="95" t="n">
        <v>266.8</v>
      </c>
      <c r="F12" s="75" t="inlineStr"/>
    </row>
    <row r="13" ht="22" customHeight="1">
      <c r="A13" s="88" t="inlineStr">
        <is>
          <t>和田・荻野</t>
        </is>
      </c>
      <c r="B13" s="93" t="n">
        <v>45</v>
      </c>
      <c r="C13" s="93" t="n">
        <v>771</v>
      </c>
      <c r="D13" s="93" t="n">
        <v>3084</v>
      </c>
      <c r="E13" s="93" t="n">
        <v>17.1</v>
      </c>
      <c r="F13" s="69" t="inlineStr"/>
    </row>
    <row r="14" ht="22" customHeight="1">
      <c r="A14" s="94" t="inlineStr">
        <is>
          <t>宮原・玉山</t>
        </is>
      </c>
      <c r="B14" s="95" t="n">
        <v>17</v>
      </c>
      <c r="C14" s="95" t="n">
        <v>504</v>
      </c>
      <c r="D14" s="95" t="n">
        <v>2016</v>
      </c>
      <c r="E14" s="95" t="n">
        <v>29.6</v>
      </c>
      <c r="F14" s="75" t="inlineStr"/>
    </row>
    <row r="15" ht="22" customHeight="1">
      <c r="A15" s="88" t="inlineStr">
        <is>
          <t>渡辺・柳沼</t>
        </is>
      </c>
      <c r="B15" s="93" t="n">
        <v>20</v>
      </c>
      <c r="C15" s="93" t="n">
        <v>400</v>
      </c>
      <c r="D15" s="93" t="n">
        <v>1600</v>
      </c>
      <c r="E15" s="93" t="n">
        <v>20</v>
      </c>
      <c r="F15" s="69" t="inlineStr"/>
    </row>
    <row r="16" ht="22" customHeight="1">
      <c r="A16" s="94" t="inlineStr">
        <is>
          <t>山口</t>
        </is>
      </c>
      <c r="B16" s="95" t="n">
        <v>4</v>
      </c>
      <c r="C16" s="95" t="n">
        <v>340</v>
      </c>
      <c r="D16" s="95" t="n">
        <v>1360</v>
      </c>
      <c r="E16" s="95" t="n">
        <v>85</v>
      </c>
      <c r="F16" s="75" t="inlineStr"/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6B00"/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sheetData>
    <row r="1" ht="36" customHeight="1">
      <c r="A1" s="1" t="inlineStr">
        <is>
          <t>採算ダッシュボード</t>
        </is>
      </c>
    </row>
    <row r="3">
      <c r="A3" s="105" t="inlineStr">
        <is>
          <t>③月次採算入力の実績が蓄積されると、ここに集計が表示されます。現状は③シートをご参照ください。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5657A"/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32" customWidth="1" min="4" max="4"/>
    <col width="16" customWidth="1" min="5" max="5"/>
  </cols>
  <sheetData>
    <row r="1" ht="36" customHeight="1">
      <c r="A1" s="1" t="inlineStr">
        <is>
          <t>品目×袋サイズ 重量換算・CO₂係数テーブル</t>
        </is>
      </c>
    </row>
    <row r="2" ht="28" customHeight="1">
      <c r="A2" s="5" t="inlineStr">
        <is>
          <t>品目</t>
        </is>
      </c>
      <c r="B2" s="5" t="inlineStr">
        <is>
          <t>容器・サイズ</t>
        </is>
      </c>
      <c r="C2" s="5" t="inlineStr">
        <is>
          <t>1単位あたり重量(kg)</t>
        </is>
      </c>
      <c r="D2" s="5" t="inlineStr">
        <is>
          <t>備考</t>
        </is>
      </c>
      <c r="E2" s="5" t="inlineStr">
        <is>
          <t>CO₂排出係数</t>
        </is>
      </c>
    </row>
    <row r="3" ht="20" customHeight="1">
      <c r="A3" s="69" t="inlineStr">
        <is>
          <t>品目</t>
        </is>
      </c>
      <c r="B3" s="69" t="inlineStr">
        <is>
          <t>容器・サイズ</t>
        </is>
      </c>
      <c r="C3" s="101" t="inlineStr">
        <is>
          <t>1単位あたり重量(kg)</t>
        </is>
      </c>
      <c r="D3" s="69" t="inlineStr">
        <is>
          <t>備考</t>
        </is>
      </c>
      <c r="E3" s="102" t="inlineStr">
        <is>
          <t>CO₂排出係数(t-CO₂/t)</t>
        </is>
      </c>
    </row>
    <row r="4" ht="20" customHeight="1">
      <c r="A4" s="75" t="inlineStr">
        <is>
          <t>可燃ごみ</t>
        </is>
      </c>
      <c r="B4" s="75" t="inlineStr">
        <is>
          <t>45Lポリ袋</t>
        </is>
      </c>
      <c r="C4" s="103" t="n">
        <v>6</v>
      </c>
      <c r="D4" s="75" t="inlineStr">
        <is>
          <t>飲食店の生ごみ含む場合は7-8kg</t>
        </is>
      </c>
      <c r="E4" s="104" t="n">
        <v>0.000352</v>
      </c>
    </row>
    <row r="5" ht="20" customHeight="1">
      <c r="A5" s="69" t="inlineStr">
        <is>
          <t>可燃ごみ</t>
        </is>
      </c>
      <c r="B5" s="69" t="inlineStr">
        <is>
          <t>70Lポリ袋</t>
        </is>
      </c>
      <c r="C5" s="101" t="n">
        <v>10</v>
      </c>
      <c r="D5" s="69" t="n"/>
      <c r="E5" s="102" t="n">
        <v>0.000352</v>
      </c>
    </row>
    <row r="6" ht="20" customHeight="1">
      <c r="A6" s="75" t="inlineStr">
        <is>
          <t>可燃ごみ</t>
        </is>
      </c>
      <c r="B6" s="75" t="inlineStr">
        <is>
          <t>90Lポリ袋</t>
        </is>
      </c>
      <c r="C6" s="103" t="n">
        <v>13</v>
      </c>
      <c r="D6" s="75" t="n"/>
      <c r="E6" s="104" t="n">
        <v>0.000352</v>
      </c>
    </row>
    <row r="7" ht="20" customHeight="1">
      <c r="A7" s="69" t="inlineStr">
        <is>
          <t>可燃ごみ</t>
        </is>
      </c>
      <c r="B7" s="69" t="inlineStr">
        <is>
          <t>コンテナ（240L）</t>
        </is>
      </c>
      <c r="C7" s="101" t="n">
        <v>35</v>
      </c>
      <c r="D7" s="69" t="inlineStr">
        <is>
          <t>駅構内の大型容器</t>
        </is>
      </c>
      <c r="E7" s="102" t="n">
        <v>0.000352</v>
      </c>
    </row>
    <row r="8" ht="20" customHeight="1">
      <c r="A8" s="75" t="inlineStr">
        <is>
          <t>不燃ごみ</t>
        </is>
      </c>
      <c r="B8" s="75" t="inlineStr">
        <is>
          <t>45Lポリ袋</t>
        </is>
      </c>
      <c r="C8" s="103" t="n">
        <v>8</v>
      </c>
      <c r="D8" s="75" t="inlineStr">
        <is>
          <t>陶器・ガラス含む場合は重め</t>
        </is>
      </c>
      <c r="E8" s="104" t="n">
        <v>2.31e-05</v>
      </c>
    </row>
    <row r="9" ht="20" customHeight="1">
      <c r="A9" s="69" t="inlineStr">
        <is>
          <t>不燃ごみ</t>
        </is>
      </c>
      <c r="B9" s="69" t="inlineStr">
        <is>
          <t>70Lポリ袋</t>
        </is>
      </c>
      <c r="C9" s="101" t="n">
        <v>13</v>
      </c>
      <c r="D9" s="69" t="n"/>
      <c r="E9" s="102" t="n">
        <v>2.31e-05</v>
      </c>
    </row>
    <row r="10" ht="20" customHeight="1">
      <c r="A10" s="75" t="inlineStr">
        <is>
          <t>段ボール</t>
        </is>
      </c>
      <c r="B10" s="75" t="inlineStr">
        <is>
          <t>束（50cm角）</t>
        </is>
      </c>
      <c r="C10" s="103" t="n">
        <v>4</v>
      </c>
      <c r="D10" s="75" t="inlineStr">
        <is>
          <t>厚み10cm程度</t>
        </is>
      </c>
      <c r="E10" s="104" t="n">
        <v>3.69e-05</v>
      </c>
    </row>
    <row r="11" ht="20" customHeight="1">
      <c r="A11" s="69" t="inlineStr">
        <is>
          <t>段ボール</t>
        </is>
      </c>
      <c r="B11" s="69" t="inlineStr">
        <is>
          <t>束（50cm角・大）</t>
        </is>
      </c>
      <c r="C11" s="101" t="n">
        <v>8</v>
      </c>
      <c r="D11" s="69" t="inlineStr">
        <is>
          <t>厚み20cm以上</t>
        </is>
      </c>
      <c r="E11" s="102" t="n">
        <v>3.69e-05</v>
      </c>
    </row>
    <row r="12" ht="20" customHeight="1">
      <c r="A12" s="75" t="inlineStr">
        <is>
          <t>瓶缶</t>
        </is>
      </c>
      <c r="B12" s="75" t="inlineStr">
        <is>
          <t>45Lポリ袋</t>
        </is>
      </c>
      <c r="C12" s="103" t="n">
        <v>12</v>
      </c>
      <c r="D12" s="75" t="inlineStr">
        <is>
          <t>瓶が多いと15kg程度</t>
        </is>
      </c>
      <c r="E12" s="104" t="n">
        <v>2.31e-05</v>
      </c>
    </row>
    <row r="13" ht="20" customHeight="1">
      <c r="A13" s="69" t="inlineStr">
        <is>
          <t>瓶缶</t>
        </is>
      </c>
      <c r="B13" s="69" t="inlineStr">
        <is>
          <t>コンテナ（20L）</t>
        </is>
      </c>
      <c r="C13" s="101" t="n">
        <v>15</v>
      </c>
      <c r="D13" s="69" t="inlineStr">
        <is>
          <t>金属缶中心</t>
        </is>
      </c>
      <c r="E13" s="102" t="n">
        <v>2.31e-05</v>
      </c>
    </row>
    <row r="14" ht="20" customHeight="1">
      <c r="A14" s="75" t="inlineStr">
        <is>
          <t>資源（紙類）</t>
        </is>
      </c>
      <c r="B14" s="75" t="inlineStr">
        <is>
          <t>45Lポリ袋</t>
        </is>
      </c>
      <c r="C14" s="103" t="n">
        <v>5</v>
      </c>
      <c r="D14" s="75" t="inlineStr">
        <is>
          <t>新聞・雑誌</t>
        </is>
      </c>
      <c r="E14" s="104" t="n">
        <v>3.69e-05</v>
      </c>
    </row>
    <row r="15" ht="20" customHeight="1">
      <c r="A15" s="69" t="inlineStr">
        <is>
          <t>資源（紙類）</t>
        </is>
      </c>
      <c r="B15" s="69" t="inlineStr">
        <is>
          <t>束（紐結束）</t>
        </is>
      </c>
      <c r="C15" s="101" t="n">
        <v>6</v>
      </c>
      <c r="D15" s="69" t="inlineStr">
        <is>
          <t>段ボール以外の紙類</t>
        </is>
      </c>
      <c r="E15" s="102" t="n">
        <v>3.69e-05</v>
      </c>
    </row>
    <row r="16" ht="20" customHeight="1">
      <c r="A16" s="75" t="inlineStr">
        <is>
          <t>ペットボトル</t>
        </is>
      </c>
      <c r="B16" s="75" t="inlineStr">
        <is>
          <t>45Lポリ袋</t>
        </is>
      </c>
      <c r="C16" s="103" t="n">
        <v>3</v>
      </c>
      <c r="D16" s="75" t="inlineStr">
        <is>
          <t>圧縮なし</t>
        </is>
      </c>
      <c r="E16" s="104" t="n">
        <v>0.000183</v>
      </c>
    </row>
    <row r="17" ht="20" customHeight="1">
      <c r="A17" s="69" t="inlineStr">
        <is>
          <t>汚泥</t>
        </is>
      </c>
      <c r="B17" s="69" t="inlineStr">
        <is>
          <t>ドラム缶(200L)</t>
        </is>
      </c>
      <c r="C17" s="101" t="n">
        <v>200</v>
      </c>
      <c r="D17" s="69" t="inlineStr">
        <is>
          <t>産廃・液状</t>
        </is>
      </c>
      <c r="E17" s="102" t="n">
        <v>2.31e-05</v>
      </c>
    </row>
    <row r="18" ht="20" customHeight="1">
      <c r="A18" s="75" t="inlineStr">
        <is>
          <t>廃プラスチック</t>
        </is>
      </c>
      <c r="B18" s="75" t="inlineStr">
        <is>
          <t>45Lポリ袋</t>
        </is>
      </c>
      <c r="C18" s="103" t="n">
        <v>4</v>
      </c>
      <c r="D18" s="75" t="n"/>
      <c r="E18" s="104" t="n">
        <v>0.00272</v>
      </c>
    </row>
    <row r="19" ht="20" customHeight="1">
      <c r="A19" s="69" t="inlineStr">
        <is>
          <t>木くず</t>
        </is>
      </c>
      <c r="B19" s="69" t="inlineStr">
        <is>
          <t>フレコンバッグ</t>
        </is>
      </c>
      <c r="C19" s="101" t="n">
        <v>300</v>
      </c>
      <c r="D19" s="69" t="inlineStr">
        <is>
          <t>産廃</t>
        </is>
      </c>
      <c r="E19" s="102" t="n">
        <v>0.000352</v>
      </c>
    </row>
    <row r="23" ht="20" customHeight="1">
      <c r="A23" s="69" t="inlineStr">
        <is>
          <t>・上記の重量は目安です。拠点の特性に応じて実測値で補正してください。</t>
        </is>
      </c>
      <c r="B23" s="69" t="n"/>
      <c r="C23" s="101" t="n"/>
      <c r="D23" s="69" t="n"/>
      <c r="E23" s="102" t="n"/>
    </row>
    <row r="24" ht="20" customHeight="1">
      <c r="A24" s="75" t="inlineStr">
        <is>
          <t>・CO₂排出係数は環境省「サプライチェーンを通じた温室効果ガス排出量算定に関する排出原単位データベース」より引用</t>
        </is>
      </c>
      <c r="B24" s="75" t="n"/>
      <c r="C24" s="103" t="n"/>
      <c r="D24" s="75" t="n"/>
      <c r="E24" s="104" t="n"/>
    </row>
    <row r="25" ht="20" customHeight="1">
      <c r="A25" s="69" t="inlineStr">
        <is>
          <t>・台秤を設置した拠点では、換算値ではなく実測値を優先して使用してください。</t>
        </is>
      </c>
      <c r="B25" s="69" t="n"/>
      <c r="C25" s="101" t="n"/>
      <c r="D25" s="69" t="n"/>
      <c r="E25" s="10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2026-05-29T03:01:05Z</dcterms:created>
  <dcterms:modified xmlns:dcterms="http://purl.org/dc/terms/" xmlns:xsi="http://www.w3.org/2001/XMLSchema-instance" xsi:type="dcterms:W3CDTF">2026-05-29T03:01:21Z</dcterms:modified>
</cp:coreProperties>
</file>