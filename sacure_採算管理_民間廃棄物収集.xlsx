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マスタ" sheetId="1" state="visible" r:id="rId1"/>
    <sheet xmlns:r="http://schemas.openxmlformats.org/officeDocument/2006/relationships" name="月次採算入力" sheetId="2" state="visible" r:id="rId2"/>
    <sheet xmlns:r="http://schemas.openxmlformats.org/officeDocument/2006/relationships" name="月次集計" sheetId="3" state="visible" r:id="rId3"/>
    <sheet xmlns:r="http://schemas.openxmlformats.org/officeDocument/2006/relationships" name="採算ダッシュボード" sheetId="4" state="visible" r:id="rId4"/>
    <sheet xmlns:r="http://schemas.openxmlformats.org/officeDocument/2006/relationships" name="使い方ガイ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%"/>
    <numFmt numFmtId="167" formatCode="+0.0%;-0.0%;0.0%"/>
  </numFmts>
  <fonts count="19">
    <font>
      <name val="Calibri"/>
      <family val="2"/>
      <color theme="1"/>
      <sz val="11"/>
      <scheme val="minor"/>
    </font>
    <font>
      <name val="Yu Gothic UI"/>
      <b val="1"/>
      <color rgb="00FFFFFF"/>
      <sz val="16"/>
    </font>
    <font>
      <name val="Yu Gothic UI"/>
      <b val="1"/>
      <color rgb="00FFFFFF"/>
      <sz val="10"/>
    </font>
    <font>
      <name val="Yu Gothic UI"/>
      <color rgb="000D2B5E"/>
      <sz val="10"/>
    </font>
    <font>
      <name val="Yu Gothic UI"/>
      <color rgb="0055657A"/>
      <sz val="9"/>
    </font>
    <font>
      <name val="Yu Gothic UI"/>
      <b val="1"/>
      <color rgb="00FFFFFF"/>
      <sz val="15"/>
    </font>
    <font>
      <name val="Yu Gothic UI"/>
      <b val="1"/>
      <color rgb="00FFFFFF"/>
      <sz val="9"/>
    </font>
    <font>
      <name val="Yu Gothic UI"/>
      <b val="1"/>
      <color rgb="000D2B5E"/>
      <sz val="10"/>
    </font>
    <font>
      <name val="Yu Gothic UI"/>
      <color rgb="000D2B5E"/>
      <sz val="11"/>
    </font>
    <font>
      <name val="Yu Gothic UI"/>
      <b val="1"/>
      <color rgb="000D2B5E"/>
      <sz val="11"/>
    </font>
    <font>
      <name val="Yu Gothic UI"/>
      <b val="1"/>
      <color rgb="00FFFFFF"/>
      <sz val="11"/>
    </font>
    <font>
      <name val="Yu Gothic UI"/>
      <b val="1"/>
      <color rgb="000D2B5E"/>
      <sz val="12"/>
    </font>
    <font>
      <name val="Yu Gothic UI"/>
      <b val="1"/>
      <color rgb="00145A32"/>
      <sz val="11"/>
    </font>
    <font>
      <name val="Yu Gothic UI"/>
      <color rgb="000D2B5E"/>
      <sz val="12"/>
    </font>
    <font>
      <name val="Yu Gothic UI"/>
      <i val="1"/>
      <color rgb="0055657A"/>
      <sz val="9"/>
    </font>
    <font>
      <name val="Yu Gothic UI"/>
      <b val="1"/>
      <color rgb="00FFFFFF"/>
      <sz val="12"/>
    </font>
    <font>
      <name val="Yu Gothic UI"/>
      <b val="1"/>
      <color rgb="001A6B2E"/>
      <sz val="11"/>
    </font>
    <font>
      <name val="Yu Gothic UI"/>
      <b val="1"/>
      <color rgb="00856404"/>
      <sz val="11"/>
    </font>
    <font>
      <name val="Yu Gothic UI"/>
      <b val="1"/>
      <color rgb="008B0000"/>
      <sz val="11"/>
    </font>
  </fonts>
  <fills count="18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1A5FC8"/>
      </patternFill>
    </fill>
    <fill>
      <patternFill patternType="solid">
        <fgColor rgb="00FFFFFF"/>
      </patternFill>
    </fill>
    <fill>
      <patternFill patternType="solid">
        <fgColor rgb="00F2F6FC"/>
      </patternFill>
    </fill>
    <fill>
      <patternFill patternType="solid">
        <fgColor rgb="0055657A"/>
      </patternFill>
    </fill>
    <fill>
      <patternFill patternType="solid">
        <fgColor rgb="001565A8"/>
      </patternFill>
    </fill>
    <fill>
      <patternFill patternType="solid">
        <fgColor rgb="007B3F00"/>
      </patternFill>
    </fill>
    <fill>
      <patternFill patternType="solid">
        <fgColor rgb="001A6B2E"/>
      </patternFill>
    </fill>
    <fill>
      <patternFill patternType="solid">
        <fgColor rgb="00D0E8FF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FD700"/>
      </patternFill>
    </fill>
    <fill>
      <patternFill patternType="solid">
        <fgColor rgb="00C8F7D4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5D5E8"/>
      </left>
      <right style="thin">
        <color rgb="00C5D5E8"/>
      </right>
      <top style="thin">
        <color rgb="00C5D5E8"/>
      </top>
      <bottom style="thin">
        <color rgb="00C5D5E8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3" fontId="3" fillId="10" borderId="1" applyAlignment="1" pivotButton="0" quotePrefix="0" xfId="0">
      <alignment horizontal="right" vertical="center"/>
    </xf>
    <xf numFmtId="3" fontId="7" fillId="10" borderId="1" applyAlignment="1" pivotButton="0" quotePrefix="0" xfId="0">
      <alignment horizontal="right" vertical="center"/>
    </xf>
    <xf numFmtId="3" fontId="3" fillId="11" borderId="1" applyAlignment="1" pivotButton="0" quotePrefix="0" xfId="0">
      <alignment horizontal="right" vertical="center"/>
    </xf>
    <xf numFmtId="3" fontId="7" fillId="11" borderId="1" applyAlignment="1" pivotButton="0" quotePrefix="0" xfId="0">
      <alignment horizontal="right" vertical="center"/>
    </xf>
    <xf numFmtId="3" fontId="7" fillId="12" borderId="1" applyAlignment="1" pivotButton="0" quotePrefix="0" xfId="0">
      <alignment horizontal="right" vertical="center"/>
    </xf>
    <xf numFmtId="166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166" fontId="7" fillId="12" borderId="1" applyAlignment="1" pivotButton="0" quotePrefix="0" xfId="0">
      <alignment horizontal="right" vertical="center"/>
    </xf>
    <xf numFmtId="49" fontId="7" fillId="1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167" fontId="3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3" fontId="10" fillId="2" borderId="1" applyAlignment="1" pivotButton="0" quotePrefix="0" xfId="0">
      <alignment horizontal="right" vertical="center"/>
    </xf>
    <xf numFmtId="166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0" fontId="12" fillId="1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11" fillId="16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18" fillId="17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b val="1"/>
        <color rgb="00145A32"/>
      </font>
      <fill>
        <patternFill patternType="solid">
          <fgColor rgb="00C8F7D4"/>
        </patternFill>
      </fill>
    </dxf>
    <dxf>
      <font>
        <b val="1"/>
        <color rgb="001A6B2E"/>
      </font>
      <fill>
        <patternFill patternType="solid">
          <fgColor rgb="00D4EDDA"/>
        </patternFill>
      </fill>
    </dxf>
    <dxf>
      <font>
        <b val="1"/>
        <color rgb="00856404"/>
      </font>
      <fill>
        <patternFill patternType="solid">
          <fgColor rgb="00FFF3CD"/>
        </patternFill>
      </fill>
    </dxf>
    <dxf>
      <font>
        <b val="1"/>
        <color rgb="008B0000"/>
      </font>
      <fill>
        <patternFill patternType="solid">
          <f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 売上 / 原価 / 粗利益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'月次集計'!C2</f>
            </strRef>
          </tx>
          <spPr>
            <a:solidFill xmlns:a="http://schemas.openxmlformats.org/drawingml/2006/main">
              <a:srgbClr val="1A5FC8"/>
            </a:solidFill>
            <a:ln xmlns:a="http://schemas.openxmlformats.org/drawingml/2006/main">
              <a:prstDash val="solid"/>
            </a:ln>
          </spPr>
          <cat>
            <numRef>
              <f>'月次集計'!$A$3:$A$8</f>
            </numRef>
          </cat>
          <val>
            <numRef>
              <f>'月次集計'!$C$3:$C$8</f>
            </numRef>
          </val>
        </ser>
        <ser>
          <idx val="1"/>
          <order val="1"/>
          <tx>
            <strRef>
              <f>'月次集計'!D2</f>
            </strRef>
          </tx>
          <spPr>
            <a:solidFill xmlns:a="http://schemas.openxmlformats.org/drawingml/2006/main">
              <a:srgbClr val="D4A800"/>
            </a:solidFill>
            <a:ln xmlns:a="http://schemas.openxmlformats.org/drawingml/2006/main">
              <a:prstDash val="solid"/>
            </a:ln>
          </spPr>
          <cat>
            <numRef>
              <f>'月次集計'!$A$3:$A$8</f>
            </numRef>
          </cat>
          <val>
            <numRef>
              <f>'月次集計'!$D$3:$D$8</f>
            </numRef>
          </val>
        </ser>
        <ser>
          <idx val="2"/>
          <order val="2"/>
          <tx>
            <strRef>
              <f>'月次集計'!E2</f>
            </strRef>
          </tx>
          <spPr>
            <a:solidFill xmlns:a="http://schemas.openxmlformats.org/drawingml/2006/main">
              <a:srgbClr val="2EB872"/>
            </a:solidFill>
            <a:ln xmlns:a="http://schemas.openxmlformats.org/drawingml/2006/main">
              <a:prstDash val="solid"/>
            </a:ln>
          </spPr>
          <cat>
            <numRef>
              <f>'月次集計'!$A$3:$A$8</f>
            </numRef>
          </cat>
          <val>
            <numRef>
              <f>'月次集計'!$E$3:$E$8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案件別 売上構成</a:t>
            </a:r>
          </a:p>
        </rich>
      </tx>
    </title>
    <plotArea>
      <pieChart>
        <varyColors val="1"/>
        <ser>
          <idx val="0"/>
          <order val="0"/>
          <tx>
            <strRef>
              <f>'採算ダッシュボード'!B13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'採算ダッシュボード'!$A$14:$A$18</f>
            </numRef>
          </cat>
          <val>
            <numRef>
              <f>'採算ダッシュボード'!$B$14:$B$18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D2B5E"/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22" customWidth="1" min="10" max="10"/>
    <col width="18" customWidth="1" min="11" max="11"/>
  </cols>
  <sheetData>
    <row r="1" ht="36" customHeight="1">
      <c r="A1" s="1" t="inlineStr">
        <is>
          <t>民間廃棄物収集受託案件　案件マスタ</t>
        </is>
      </c>
    </row>
    <row r="2" ht="22" customHeight="1">
      <c r="A2" s="2" t="inlineStr">
        <is>
          <t>案件ID</t>
        </is>
      </c>
      <c r="B2" s="2" t="inlineStr">
        <is>
          <t>取引先名</t>
        </is>
      </c>
      <c r="C2" s="2" t="inlineStr">
        <is>
          <t>業種</t>
        </is>
      </c>
      <c r="D2" s="2" t="inlineStr">
        <is>
          <t>エリア</t>
        </is>
      </c>
      <c r="E2" s="2" t="inlineStr">
        <is>
          <t>担当者</t>
        </is>
      </c>
      <c r="F2" s="2" t="inlineStr">
        <is>
          <t>契約開始日</t>
        </is>
      </c>
      <c r="G2" s="2" t="inlineStr">
        <is>
          <t>契約終了日</t>
        </is>
      </c>
      <c r="H2" s="2" t="inlineStr">
        <is>
          <t>回収頻度</t>
        </is>
      </c>
      <c r="I2" s="2" t="inlineStr">
        <is>
          <t>ステータス</t>
        </is>
      </c>
      <c r="J2" s="2" t="inlineStr">
        <is>
          <t>廃棄物種別</t>
        </is>
      </c>
      <c r="K2" s="2" t="inlineStr">
        <is>
          <t>備考</t>
        </is>
      </c>
    </row>
    <row r="3" ht="20" customHeight="1">
      <c r="A3" s="3" t="inlineStr">
        <is>
          <t>A001</t>
        </is>
      </c>
      <c r="B3" s="4" t="inlineStr">
        <is>
          <t>吉野家フーズ㈱</t>
        </is>
      </c>
      <c r="C3" s="3" t="inlineStr">
        <is>
          <t>飲食</t>
        </is>
      </c>
      <c r="D3" s="3" t="inlineStr">
        <is>
          <t>大田区</t>
        </is>
      </c>
      <c r="E3" s="3" t="inlineStr">
        <is>
          <t>山田 太郎</t>
        </is>
      </c>
      <c r="F3" s="5" t="n">
        <v>45383</v>
      </c>
      <c r="G3" s="3" t="inlineStr"/>
      <c r="H3" s="3" t="inlineStr">
        <is>
          <t>週2回</t>
        </is>
      </c>
      <c r="I3" s="3" t="inlineStr">
        <is>
          <t>稼働中</t>
        </is>
      </c>
      <c r="J3" s="4" t="inlineStr">
        <is>
          <t>一般廃棄物（食品残渣）</t>
        </is>
      </c>
      <c r="K3" s="4" t="inlineStr"/>
    </row>
    <row r="4" ht="20" customHeight="1">
      <c r="A4" s="6" t="inlineStr">
        <is>
          <t>A002</t>
        </is>
      </c>
      <c r="B4" s="7" t="inlineStr">
        <is>
          <t>東急㈱ 渋谷エリア</t>
        </is>
      </c>
      <c r="C4" s="6" t="inlineStr">
        <is>
          <t>物流</t>
        </is>
      </c>
      <c r="D4" s="6" t="inlineStr">
        <is>
          <t>渋谷区</t>
        </is>
      </c>
      <c r="E4" s="6" t="inlineStr">
        <is>
          <t>山田 太郎</t>
        </is>
      </c>
      <c r="F4" s="8" t="n">
        <v>45444</v>
      </c>
      <c r="G4" s="6" t="inlineStr"/>
      <c r="H4" s="6" t="inlineStr">
        <is>
          <t>月4回</t>
        </is>
      </c>
      <c r="I4" s="6" t="inlineStr">
        <is>
          <t>稼働中</t>
        </is>
      </c>
      <c r="J4" s="7" t="inlineStr">
        <is>
          <t>産業廃棄物（紙くず・木くず）</t>
        </is>
      </c>
      <c r="K4" s="7" t="inlineStr"/>
    </row>
    <row r="5" ht="20" customHeight="1">
      <c r="A5" s="3" t="inlineStr">
        <is>
          <t>A003</t>
        </is>
      </c>
      <c r="B5" s="4" t="inlineStr">
        <is>
          <t>ファミリーマート㈱</t>
        </is>
      </c>
      <c r="C5" s="3" t="inlineStr">
        <is>
          <t>小売</t>
        </is>
      </c>
      <c r="D5" s="3" t="inlineStr">
        <is>
          <t>練馬区</t>
        </is>
      </c>
      <c r="E5" s="3" t="inlineStr">
        <is>
          <t>佐藤 花子</t>
        </is>
      </c>
      <c r="F5" s="5" t="n">
        <v>45200</v>
      </c>
      <c r="G5" s="3" t="inlineStr"/>
      <c r="H5" s="3" t="inlineStr">
        <is>
          <t>週3回</t>
        </is>
      </c>
      <c r="I5" s="3" t="inlineStr">
        <is>
          <t>稼働中</t>
        </is>
      </c>
      <c r="J5" s="4" t="inlineStr">
        <is>
          <t>一般廃棄物（食品廃棄物）</t>
        </is>
      </c>
      <c r="K5" s="4" t="inlineStr"/>
    </row>
    <row r="6" ht="20" customHeight="1">
      <c r="A6" s="6" t="inlineStr">
        <is>
          <t>A004</t>
        </is>
      </c>
      <c r="B6" s="7" t="inlineStr">
        <is>
          <t>永谷園HD㈱</t>
        </is>
      </c>
      <c r="C6" s="6" t="inlineStr">
        <is>
          <t>製造</t>
        </is>
      </c>
      <c r="D6" s="6" t="inlineStr">
        <is>
          <t>品川区</t>
        </is>
      </c>
      <c r="E6" s="6" t="inlineStr">
        <is>
          <t>佐藤 花子</t>
        </is>
      </c>
      <c r="F6" s="8" t="n">
        <v>45658</v>
      </c>
      <c r="G6" s="6" t="inlineStr"/>
      <c r="H6" s="6" t="inlineStr">
        <is>
          <t>週1回</t>
        </is>
      </c>
      <c r="I6" s="6" t="inlineStr">
        <is>
          <t>稼働中</t>
        </is>
      </c>
      <c r="J6" s="7" t="inlineStr">
        <is>
          <t>産業廃棄物（食料残渣）</t>
        </is>
      </c>
      <c r="K6" s="7" t="inlineStr"/>
    </row>
    <row r="7" ht="20" customHeight="1">
      <c r="A7" s="3" t="inlineStr">
        <is>
          <t>A005</t>
        </is>
      </c>
      <c r="B7" s="4" t="inlineStr">
        <is>
          <t>明治大学</t>
        </is>
      </c>
      <c r="C7" s="3" t="inlineStr">
        <is>
          <t>教育</t>
        </is>
      </c>
      <c r="D7" s="3" t="inlineStr">
        <is>
          <t>千代田区</t>
        </is>
      </c>
      <c r="E7" s="3" t="inlineStr">
        <is>
          <t>鈴木 次郎</t>
        </is>
      </c>
      <c r="F7" s="5" t="n">
        <v>45536</v>
      </c>
      <c r="G7" s="5" t="n">
        <v>46112</v>
      </c>
      <c r="H7" s="3" t="inlineStr">
        <is>
          <t>月2回</t>
        </is>
      </c>
      <c r="I7" s="3" t="inlineStr">
        <is>
          <t>稼働中</t>
        </is>
      </c>
      <c r="J7" s="4" t="inlineStr">
        <is>
          <t>一般廃棄物（古紙・段ボール）</t>
        </is>
      </c>
      <c r="K7" s="4" t="inlineStr">
        <is>
          <t>年度契約</t>
        </is>
      </c>
    </row>
    <row r="8" ht="20" customHeight="1">
      <c r="A8" s="6" t="inlineStr">
        <is>
          <t>A006</t>
        </is>
      </c>
      <c r="B8" s="7" t="inlineStr">
        <is>
          <t>川崎市 環境局</t>
        </is>
      </c>
      <c r="C8" s="6" t="inlineStr">
        <is>
          <t>行政</t>
        </is>
      </c>
      <c r="D8" s="6" t="inlineStr">
        <is>
          <t>川崎市</t>
        </is>
      </c>
      <c r="E8" s="6" t="inlineStr">
        <is>
          <t>鈴木 次郎</t>
        </is>
      </c>
      <c r="F8" s="8" t="n">
        <v>45748</v>
      </c>
      <c r="G8" s="6" t="inlineStr"/>
      <c r="H8" s="6" t="inlineStr">
        <is>
          <t>週5回</t>
        </is>
      </c>
      <c r="I8" s="6" t="inlineStr">
        <is>
          <t>稼働中</t>
        </is>
      </c>
      <c r="J8" s="7" t="inlineStr">
        <is>
          <t>一般廃棄物（可燃）</t>
        </is>
      </c>
      <c r="K8" s="7" t="inlineStr">
        <is>
          <t>行政委託</t>
        </is>
      </c>
    </row>
    <row r="9" ht="20" customHeight="1">
      <c r="A9" s="3" t="inlineStr">
        <is>
          <t>A007</t>
        </is>
      </c>
      <c r="B9" s="4" t="inlineStr">
        <is>
          <t>白洋舍㈱</t>
        </is>
      </c>
      <c r="C9" s="3" t="inlineStr">
        <is>
          <t>サービス</t>
        </is>
      </c>
      <c r="D9" s="3" t="inlineStr">
        <is>
          <t>大田区</t>
        </is>
      </c>
      <c r="E9" s="3" t="inlineStr">
        <is>
          <t>田中 美紀</t>
        </is>
      </c>
      <c r="F9" s="5" t="n">
        <v>45597</v>
      </c>
      <c r="G9" s="3" t="inlineStr"/>
      <c r="H9" s="3" t="inlineStr">
        <is>
          <t>週2回</t>
        </is>
      </c>
      <c r="I9" s="3" t="inlineStr">
        <is>
          <t>稼働中</t>
        </is>
      </c>
      <c r="J9" s="4" t="inlineStr">
        <is>
          <t>産業廃棄物（繊維くず）</t>
        </is>
      </c>
      <c r="K9" s="4" t="inlineStr"/>
    </row>
    <row r="10" ht="20" customHeight="1">
      <c r="A10" s="6" t="inlineStr">
        <is>
          <t>A008</t>
        </is>
      </c>
      <c r="B10" s="7" t="inlineStr">
        <is>
          <t>レバテック㈱</t>
        </is>
      </c>
      <c r="C10" s="6" t="inlineStr">
        <is>
          <t>IT</t>
        </is>
      </c>
      <c r="D10" s="6" t="inlineStr">
        <is>
          <t>渋谷区</t>
        </is>
      </c>
      <c r="E10" s="6" t="inlineStr">
        <is>
          <t>田中 美紀</t>
        </is>
      </c>
      <c r="F10" s="8" t="n">
        <v>45717</v>
      </c>
      <c r="G10" s="6" t="inlineStr"/>
      <c r="H10" s="6" t="inlineStr">
        <is>
          <t>月1回</t>
        </is>
      </c>
      <c r="I10" s="6" t="inlineStr">
        <is>
          <t>稼働中</t>
        </is>
      </c>
      <c r="J10" s="7" t="inlineStr">
        <is>
          <t>産業廃棄物（廃プラ・金属）</t>
        </is>
      </c>
      <c r="K10" s="7" t="inlineStr"/>
    </row>
    <row r="11" ht="20" customHeight="1">
      <c r="A11" s="3" t="inlineStr">
        <is>
          <t>A009</t>
        </is>
      </c>
      <c r="B11" s="4" t="inlineStr">
        <is>
          <t>カヤック㈱</t>
        </is>
      </c>
      <c r="C11" s="3" t="inlineStr">
        <is>
          <t>IT</t>
        </is>
      </c>
      <c r="D11" s="3" t="inlineStr">
        <is>
          <t>神奈川</t>
        </is>
      </c>
      <c r="E11" s="3" t="inlineStr">
        <is>
          <t>田中 美紀</t>
        </is>
      </c>
      <c r="F11" s="5" t="n">
        <v>45474</v>
      </c>
      <c r="G11" s="3" t="inlineStr"/>
      <c r="H11" s="3" t="inlineStr">
        <is>
          <t>月2回</t>
        </is>
      </c>
      <c r="I11" s="3" t="inlineStr">
        <is>
          <t>稼働中</t>
        </is>
      </c>
      <c r="J11" s="4" t="inlineStr">
        <is>
          <t>一般廃棄物（オフィス系）</t>
        </is>
      </c>
      <c r="K11" s="4" t="inlineStr"/>
    </row>
    <row r="12" ht="20" customHeight="1">
      <c r="A12" s="6" t="inlineStr">
        <is>
          <t>A010</t>
        </is>
      </c>
      <c r="B12" s="7" t="inlineStr">
        <is>
          <t>河合塾</t>
        </is>
      </c>
      <c r="C12" s="6" t="inlineStr">
        <is>
          <t>教育</t>
        </is>
      </c>
      <c r="D12" s="6" t="inlineStr">
        <is>
          <t>大田区</t>
        </is>
      </c>
      <c r="E12" s="6" t="inlineStr">
        <is>
          <t>山田 太郎</t>
        </is>
      </c>
      <c r="F12" s="8" t="n">
        <v>45505</v>
      </c>
      <c r="G12" s="6" t="inlineStr"/>
      <c r="H12" s="6" t="inlineStr">
        <is>
          <t>月3回</t>
        </is>
      </c>
      <c r="I12" s="6" t="inlineStr">
        <is>
          <t>稼働中</t>
        </is>
      </c>
      <c r="J12" s="7" t="inlineStr">
        <is>
          <t>一般廃棄物（紙くず）</t>
        </is>
      </c>
      <c r="K12" s="7" t="inlineStr"/>
    </row>
    <row r="13" ht="20" customHeight="1">
      <c r="A13" s="9" t="inlineStr">
        <is>
          <t>※ 月次採算入力シートにも案件IDを使用してください</t>
        </is>
      </c>
    </row>
  </sheetData>
  <mergeCells count="1">
    <mergeCell ref="A1:K1"/>
  </mergeCells>
  <dataValidations count="1">
    <dataValidation sqref="I3 I4 I5 I6 I7 I8 I9 I10 I11 I12" showDropDown="0" showInputMessage="0" showErrorMessage="0" allowBlank="1" type="list">
      <formula1>"稼働中,交渉中,一時停止,終了"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A8"/>
    <outlinePr summaryBelow="1" summaryRight="1"/>
    <pageSetUpPr/>
  </sheetPr>
  <dimension ref="A1:S4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1" customWidth="1" min="9" max="9"/>
    <col width="10" customWidth="1" min="10" max="10"/>
    <col width="11" customWidth="1" min="11" max="11"/>
    <col width="11" customWidth="1" min="12" max="12"/>
    <col width="12" customWidth="1" min="13" max="13"/>
    <col width="11" customWidth="1" min="14" max="14"/>
    <col width="12" customWidth="1" min="15" max="15"/>
    <col width="12" customWidth="1" min="16" max="16"/>
    <col width="10" customWidth="1" min="17" max="17"/>
    <col width="10" customWidth="1" min="18" max="18"/>
    <col width="16" customWidth="1" min="19" max="19"/>
  </cols>
  <sheetData>
    <row r="1" ht="34" customHeight="1">
      <c r="A1" s="10" t="inlineStr">
        <is>
          <t>月次採算入力シート　（案件別・月別）</t>
        </is>
      </c>
    </row>
    <row r="2" ht="22" customHeight="1">
      <c r="A2" s="11" t="inlineStr">
        <is>
          <t>案件情報</t>
        </is>
      </c>
      <c r="D2" s="12" t="inlineStr">
        <is>
          <t>集計月</t>
        </is>
      </c>
      <c r="E2" s="13" t="inlineStr">
        <is>
          <t>売　上</t>
        </is>
      </c>
      <c r="I2" s="14" t="inlineStr">
        <is>
          <t>原　価</t>
        </is>
      </c>
      <c r="P2" s="15" t="inlineStr">
        <is>
          <t>採　算</t>
        </is>
      </c>
    </row>
    <row r="3" ht="22" customHeight="1">
      <c r="A3" s="16" t="inlineStr">
        <is>
          <t>案件ID</t>
        </is>
      </c>
      <c r="B3" s="16" t="inlineStr">
        <is>
          <t>取引先名</t>
        </is>
      </c>
      <c r="C3" s="16" t="inlineStr">
        <is>
          <t>担当者</t>
        </is>
      </c>
      <c r="D3" s="17" t="inlineStr">
        <is>
          <t>集計年月</t>
        </is>
      </c>
      <c r="E3" s="18" t="inlineStr">
        <is>
          <t>基本料金</t>
        </is>
      </c>
      <c r="F3" s="18" t="inlineStr">
        <is>
          <t>スポット料金</t>
        </is>
      </c>
      <c r="G3" s="18" t="inlineStr">
        <is>
          <t>その他売上</t>
        </is>
      </c>
      <c r="H3" s="18" t="inlineStr">
        <is>
          <t>売上合計</t>
        </is>
      </c>
      <c r="I3" s="19" t="inlineStr">
        <is>
          <t>人件費</t>
        </is>
      </c>
      <c r="J3" s="19" t="inlineStr">
        <is>
          <t>燃料費</t>
        </is>
      </c>
      <c r="K3" s="19" t="inlineStr">
        <is>
          <t>車両維持費</t>
        </is>
      </c>
      <c r="L3" s="19" t="inlineStr">
        <is>
          <t>中間処理費</t>
        </is>
      </c>
      <c r="M3" s="19" t="inlineStr">
        <is>
          <t>搬入・運搬費</t>
        </is>
      </c>
      <c r="N3" s="19" t="inlineStr">
        <is>
          <t>その他原価</t>
        </is>
      </c>
      <c r="O3" s="19" t="inlineStr">
        <is>
          <t>原価合計</t>
        </is>
      </c>
      <c r="P3" s="20" t="inlineStr">
        <is>
          <t>粗利益</t>
        </is>
      </c>
      <c r="Q3" s="20" t="inlineStr">
        <is>
          <t>粗利率</t>
        </is>
      </c>
      <c r="R3" s="20" t="inlineStr">
        <is>
          <t>採算判定</t>
        </is>
      </c>
      <c r="S3" s="20" t="inlineStr">
        <is>
          <t>備考</t>
        </is>
      </c>
    </row>
    <row r="4">
      <c r="A4" s="6" t="inlineStr">
        <is>
          <t>A001</t>
        </is>
      </c>
      <c r="B4" s="7" t="inlineStr">
        <is>
          <t>吉野家フーズ㈱</t>
        </is>
      </c>
      <c r="C4" s="6" t="inlineStr">
        <is>
          <t>山田 太郎</t>
        </is>
      </c>
      <c r="D4" s="6" t="inlineStr">
        <is>
          <t>2026-04</t>
        </is>
      </c>
      <c r="E4" s="21" t="n">
        <v>185000</v>
      </c>
      <c r="F4" s="21" t="n">
        <v>12000</v>
      </c>
      <c r="G4" s="21" t="n">
        <v>0</v>
      </c>
      <c r="H4" s="22">
        <f>E4+F4+G4</f>
        <v/>
      </c>
      <c r="I4" s="23" t="n">
        <v>42000</v>
      </c>
      <c r="J4" s="23" t="n">
        <v>18000</v>
      </c>
      <c r="K4" s="23" t="n">
        <v>8000</v>
      </c>
      <c r="L4" s="23" t="n">
        <v>35000</v>
      </c>
      <c r="M4" s="23" t="n">
        <v>0</v>
      </c>
      <c r="N4" s="23" t="n">
        <v>5000</v>
      </c>
      <c r="O4" s="24">
        <f>I4+J4+K4+L4+M4+N4</f>
        <v/>
      </c>
      <c r="P4" s="25">
        <f>H4-O4</f>
        <v/>
      </c>
      <c r="Q4" s="26">
        <f>IF(H4&lt;&gt;0,P4/H4,0)</f>
        <v/>
      </c>
      <c r="R4" s="27">
        <f>IF(Q4&gt;=0.2,"◎ 良好",IF(Q4&gt;=0.1,"○ 適正",IF(Q4&gt;=0,"△ 要注意","× 赤字")))</f>
        <v/>
      </c>
      <c r="S4" s="7" t="inlineStr"/>
    </row>
    <row r="5">
      <c r="A5" s="3" t="inlineStr">
        <is>
          <t>A001</t>
        </is>
      </c>
      <c r="B5" s="4" t="inlineStr">
        <is>
          <t>吉野家フーズ㈱</t>
        </is>
      </c>
      <c r="C5" s="3" t="inlineStr">
        <is>
          <t>山田 太郎</t>
        </is>
      </c>
      <c r="D5" s="3" t="inlineStr">
        <is>
          <t>2026-05</t>
        </is>
      </c>
      <c r="E5" s="21" t="n">
        <v>185000</v>
      </c>
      <c r="F5" s="21" t="n">
        <v>8000</v>
      </c>
      <c r="G5" s="21" t="n">
        <v>0</v>
      </c>
      <c r="H5" s="22">
        <f>E5+F5+G5</f>
        <v/>
      </c>
      <c r="I5" s="23" t="n">
        <v>42000</v>
      </c>
      <c r="J5" s="23" t="n">
        <v>16000</v>
      </c>
      <c r="K5" s="23" t="n">
        <v>8000</v>
      </c>
      <c r="L5" s="23" t="n">
        <v>33000</v>
      </c>
      <c r="M5" s="23" t="n">
        <v>0</v>
      </c>
      <c r="N5" s="23" t="n">
        <v>4000</v>
      </c>
      <c r="O5" s="24">
        <f>I5+J5+K5+L5+M5+N5</f>
        <v/>
      </c>
      <c r="P5" s="25">
        <f>H5-O5</f>
        <v/>
      </c>
      <c r="Q5" s="26">
        <f>IF(H5&lt;&gt;0,P5/H5,0)</f>
        <v/>
      </c>
      <c r="R5" s="27">
        <f>IF(Q5&gt;=0.2,"◎ 良好",IF(Q5&gt;=0.1,"○ 適正",IF(Q5&gt;=0,"△ 要注意","× 赤字")))</f>
        <v/>
      </c>
      <c r="S5" s="4" t="inlineStr"/>
    </row>
    <row r="6">
      <c r="A6" s="6" t="inlineStr">
        <is>
          <t>A002</t>
        </is>
      </c>
      <c r="B6" s="7" t="inlineStr">
        <is>
          <t>東急㈱</t>
        </is>
      </c>
      <c r="C6" s="6" t="inlineStr">
        <is>
          <t>山田 太郎</t>
        </is>
      </c>
      <c r="D6" s="6" t="inlineStr">
        <is>
          <t>2026-04</t>
        </is>
      </c>
      <c r="E6" s="21" t="n">
        <v>320000</v>
      </c>
      <c r="F6" s="21" t="n">
        <v>45000</v>
      </c>
      <c r="G6" s="21" t="n">
        <v>0</v>
      </c>
      <c r="H6" s="22">
        <f>E6+F6+G6</f>
        <v/>
      </c>
      <c r="I6" s="23" t="n">
        <v>78000</v>
      </c>
      <c r="J6" s="23" t="n">
        <v>32000</v>
      </c>
      <c r="K6" s="23" t="n">
        <v>14000</v>
      </c>
      <c r="L6" s="23" t="n">
        <v>68000</v>
      </c>
      <c r="M6" s="23" t="n">
        <v>12000</v>
      </c>
      <c r="N6" s="23" t="n">
        <v>8000</v>
      </c>
      <c r="O6" s="24">
        <f>I6+J6+K6+L6+M6+N6</f>
        <v/>
      </c>
      <c r="P6" s="25">
        <f>H6-O6</f>
        <v/>
      </c>
      <c r="Q6" s="26">
        <f>IF(H6&lt;&gt;0,P6/H6,0)</f>
        <v/>
      </c>
      <c r="R6" s="27">
        <f>IF(Q6&gt;=0.2,"◎ 良好",IF(Q6&gt;=0.1,"○ 適正",IF(Q6&gt;=0,"△ 要注意","× 赤字")))</f>
        <v/>
      </c>
      <c r="S6" s="7" t="inlineStr"/>
    </row>
    <row r="7">
      <c r="A7" s="3" t="inlineStr">
        <is>
          <t>A003</t>
        </is>
      </c>
      <c r="B7" s="4" t="inlineStr">
        <is>
          <t>ファミリーマート㈱</t>
        </is>
      </c>
      <c r="C7" s="3" t="inlineStr">
        <is>
          <t>佐藤 花子</t>
        </is>
      </c>
      <c r="D7" s="3" t="inlineStr">
        <is>
          <t>2026-04</t>
        </is>
      </c>
      <c r="E7" s="21" t="n">
        <v>210000</v>
      </c>
      <c r="F7" s="21" t="n">
        <v>0</v>
      </c>
      <c r="G7" s="21" t="n">
        <v>0</v>
      </c>
      <c r="H7" s="22">
        <f>E7+F7+G7</f>
        <v/>
      </c>
      <c r="I7" s="23" t="n">
        <v>55000</v>
      </c>
      <c r="J7" s="23" t="n">
        <v>22000</v>
      </c>
      <c r="K7" s="23" t="n">
        <v>10000</v>
      </c>
      <c r="L7" s="23" t="n">
        <v>48000</v>
      </c>
      <c r="M7" s="23" t="n">
        <v>0</v>
      </c>
      <c r="N7" s="23" t="n">
        <v>6000</v>
      </c>
      <c r="O7" s="24">
        <f>I7+J7+K7+L7+M7+N7</f>
        <v/>
      </c>
      <c r="P7" s="25">
        <f>H7-O7</f>
        <v/>
      </c>
      <c r="Q7" s="26">
        <f>IF(H7&lt;&gt;0,P7/H7,0)</f>
        <v/>
      </c>
      <c r="R7" s="27">
        <f>IF(Q7&gt;=0.2,"◎ 良好",IF(Q7&gt;=0.1,"○ 適正",IF(Q7&gt;=0,"△ 要注意","× 赤字")))</f>
        <v/>
      </c>
      <c r="S7" s="4" t="inlineStr"/>
    </row>
    <row r="8">
      <c r="A8" s="6" t="inlineStr">
        <is>
          <t>A004</t>
        </is>
      </c>
      <c r="B8" s="7" t="inlineStr">
        <is>
          <t>永谷園HD㈱</t>
        </is>
      </c>
      <c r="C8" s="6" t="inlineStr">
        <is>
          <t>佐藤 花子</t>
        </is>
      </c>
      <c r="D8" s="6" t="inlineStr">
        <is>
          <t>2026-04</t>
        </is>
      </c>
      <c r="E8" s="21" t="n">
        <v>95000</v>
      </c>
      <c r="F8" s="21" t="n">
        <v>5000</v>
      </c>
      <c r="G8" s="21" t="n">
        <v>0</v>
      </c>
      <c r="H8" s="22">
        <f>E8+F8+G8</f>
        <v/>
      </c>
      <c r="I8" s="23" t="n">
        <v>28000</v>
      </c>
      <c r="J8" s="23" t="n">
        <v>11000</v>
      </c>
      <c r="K8" s="23" t="n">
        <v>6000</v>
      </c>
      <c r="L8" s="23" t="n">
        <v>22000</v>
      </c>
      <c r="M8" s="23" t="n">
        <v>0</v>
      </c>
      <c r="N8" s="23" t="n">
        <v>3000</v>
      </c>
      <c r="O8" s="24">
        <f>I8+J8+K8+L8+M8+N8</f>
        <v/>
      </c>
      <c r="P8" s="25">
        <f>H8-O8</f>
        <v/>
      </c>
      <c r="Q8" s="26">
        <f>IF(H8&lt;&gt;0,P8/H8,0)</f>
        <v/>
      </c>
      <c r="R8" s="27">
        <f>IF(Q8&gt;=0.2,"◎ 良好",IF(Q8&gt;=0.1,"○ 適正",IF(Q8&gt;=0,"△ 要注意","× 赤字")))</f>
        <v/>
      </c>
      <c r="S8" s="7" t="inlineStr"/>
    </row>
    <row r="9">
      <c r="A9" s="3" t="inlineStr">
        <is>
          <t>A006</t>
        </is>
      </c>
      <c r="B9" s="4" t="inlineStr">
        <is>
          <t>川崎市 環境局</t>
        </is>
      </c>
      <c r="C9" s="3" t="inlineStr">
        <is>
          <t>鈴木 次郎</t>
        </is>
      </c>
      <c r="D9" s="3" t="inlineStr">
        <is>
          <t>2026-04</t>
        </is>
      </c>
      <c r="E9" s="21" t="n">
        <v>580000</v>
      </c>
      <c r="F9" s="21" t="n">
        <v>0</v>
      </c>
      <c r="G9" s="21" t="n">
        <v>0</v>
      </c>
      <c r="H9" s="22">
        <f>E9+F9+G9</f>
        <v/>
      </c>
      <c r="I9" s="23" t="n">
        <v>145000</v>
      </c>
      <c r="J9" s="23" t="n">
        <v>62000</v>
      </c>
      <c r="K9" s="23" t="n">
        <v>28000</v>
      </c>
      <c r="L9" s="23" t="n">
        <v>95000</v>
      </c>
      <c r="M9" s="23" t="n">
        <v>0</v>
      </c>
      <c r="N9" s="23" t="n">
        <v>15000</v>
      </c>
      <c r="O9" s="24">
        <f>I9+J9+K9+L9+M9+N9</f>
        <v/>
      </c>
      <c r="P9" s="25">
        <f>H9-O9</f>
        <v/>
      </c>
      <c r="Q9" s="26">
        <f>IF(H9&lt;&gt;0,P9/H9,0)</f>
        <v/>
      </c>
      <c r="R9" s="27">
        <f>IF(Q9&gt;=0.2,"◎ 良好",IF(Q9&gt;=0.1,"○ 適正",IF(Q9&gt;=0,"△ 要注意","× 赤字")))</f>
        <v/>
      </c>
      <c r="S9" s="4" t="inlineStr"/>
    </row>
    <row r="10">
      <c r="A10" s="6" t="inlineStr">
        <is>
          <t>A007</t>
        </is>
      </c>
      <c r="B10" s="7" t="inlineStr">
        <is>
          <t>白洋舎㈱</t>
        </is>
      </c>
      <c r="C10" s="6" t="inlineStr">
        <is>
          <t>田中 美紀</t>
        </is>
      </c>
      <c r="D10" s="6" t="inlineStr">
        <is>
          <t>2026-04</t>
        </is>
      </c>
      <c r="E10" s="21" t="n">
        <v>148000</v>
      </c>
      <c r="F10" s="21" t="n">
        <v>18000</v>
      </c>
      <c r="G10" s="21" t="n">
        <v>0</v>
      </c>
      <c r="H10" s="22">
        <f>E10+F10+G10</f>
        <v/>
      </c>
      <c r="I10" s="23" t="n">
        <v>38000</v>
      </c>
      <c r="J10" s="23" t="n">
        <v>15000</v>
      </c>
      <c r="K10" s="23" t="n">
        <v>7000</v>
      </c>
      <c r="L10" s="23" t="n">
        <v>31000</v>
      </c>
      <c r="M10" s="23" t="n">
        <v>5000</v>
      </c>
      <c r="N10" s="23" t="n">
        <v>4000</v>
      </c>
      <c r="O10" s="24">
        <f>I10+J10+K10+L10+M10+N10</f>
        <v/>
      </c>
      <c r="P10" s="25">
        <f>H10-O10</f>
        <v/>
      </c>
      <c r="Q10" s="26">
        <f>IF(H10&lt;&gt;0,P10/H10,0)</f>
        <v/>
      </c>
      <c r="R10" s="27">
        <f>IF(Q10&gt;=0.2,"◎ 良好",IF(Q10&gt;=0.1,"○ 適正",IF(Q10&gt;=0,"△ 要注意","× 赤字")))</f>
        <v/>
      </c>
      <c r="S10" s="7" t="inlineStr"/>
    </row>
    <row r="11">
      <c r="A11" s="3" t="n"/>
      <c r="B11" s="4" t="n"/>
      <c r="C11" s="3" t="n"/>
      <c r="D11" s="3" t="n"/>
      <c r="E11" s="28" t="n"/>
      <c r="F11" s="28" t="n"/>
      <c r="G11" s="28" t="n"/>
      <c r="H11" s="22">
        <f>IF(E11+F11+G11=0,"",E11+F11+G11)</f>
        <v/>
      </c>
      <c r="I11" s="28" t="n"/>
      <c r="J11" s="28" t="n"/>
      <c r="K11" s="28" t="n"/>
      <c r="L11" s="28" t="n"/>
      <c r="M11" s="28" t="n"/>
      <c r="N11" s="28" t="n"/>
      <c r="O11" s="24">
        <f>IF(I11+J11+K11+L11+M11+N11=0,"",I11+J11+K11+L11+M11+N11)</f>
        <v/>
      </c>
      <c r="P11" s="25">
        <f>IF(OR(H11="",H11=0),"",H11-O11)</f>
        <v/>
      </c>
      <c r="Q11" s="29">
        <f>IF(OR(H11="",H11=0),"",P11/H11)</f>
        <v/>
      </c>
      <c r="R11" s="30">
        <f>IF(Q11="","",IF(Q11&gt;=0.2,"◎ 良好",IF(Q11&gt;=0.1,"○ 適正",IF(Q11&gt;=0,"△ 要注意","× 赤字"))))</f>
        <v/>
      </c>
      <c r="S11" s="28" t="n"/>
    </row>
    <row r="12">
      <c r="A12" s="6" t="n"/>
      <c r="B12" s="7" t="n"/>
      <c r="C12" s="6" t="n"/>
      <c r="D12" s="6" t="n"/>
      <c r="E12" s="31" t="n"/>
      <c r="F12" s="31" t="n"/>
      <c r="G12" s="31" t="n"/>
      <c r="H12" s="22">
        <f>IF(E12+F12+G12=0,"",E12+F12+G12)</f>
        <v/>
      </c>
      <c r="I12" s="31" t="n"/>
      <c r="J12" s="31" t="n"/>
      <c r="K12" s="31" t="n"/>
      <c r="L12" s="31" t="n"/>
      <c r="M12" s="31" t="n"/>
      <c r="N12" s="31" t="n"/>
      <c r="O12" s="24">
        <f>IF(I12+J12+K12+L12+M12+N12=0,"",I12+J12+K12+L12+M12+N12)</f>
        <v/>
      </c>
      <c r="P12" s="25">
        <f>IF(OR(H12="",H12=0),"",H12-O12)</f>
        <v/>
      </c>
      <c r="Q12" s="29">
        <f>IF(OR(H12="",H12=0),"",P12/H12)</f>
        <v/>
      </c>
      <c r="R12" s="30">
        <f>IF(Q12="","",IF(Q12&gt;=0.2,"◎ 良好",IF(Q12&gt;=0.1,"○ 適正",IF(Q12&gt;=0,"△ 要注意","× 赤字"))))</f>
        <v/>
      </c>
      <c r="S12" s="31" t="n"/>
    </row>
    <row r="13">
      <c r="A13" s="3" t="n"/>
      <c r="B13" s="4" t="n"/>
      <c r="C13" s="3" t="n"/>
      <c r="D13" s="3" t="n"/>
      <c r="E13" s="28" t="n"/>
      <c r="F13" s="28" t="n"/>
      <c r="G13" s="28" t="n"/>
      <c r="H13" s="22">
        <f>IF(E13+F13+G13=0,"",E13+F13+G13)</f>
        <v/>
      </c>
      <c r="I13" s="28" t="n"/>
      <c r="J13" s="28" t="n"/>
      <c r="K13" s="28" t="n"/>
      <c r="L13" s="28" t="n"/>
      <c r="M13" s="28" t="n"/>
      <c r="N13" s="28" t="n"/>
      <c r="O13" s="24">
        <f>IF(I13+J13+K13+L13+M13+N13=0,"",I13+J13+K13+L13+M13+N13)</f>
        <v/>
      </c>
      <c r="P13" s="25">
        <f>IF(OR(H13="",H13=0),"",H13-O13)</f>
        <v/>
      </c>
      <c r="Q13" s="29">
        <f>IF(OR(H13="",H13=0),"",P13/H13)</f>
        <v/>
      </c>
      <c r="R13" s="30">
        <f>IF(Q13="","",IF(Q13&gt;=0.2,"◎ 良好",IF(Q13&gt;=0.1,"○ 適正",IF(Q13&gt;=0,"△ 要注意","× 赤字"))))</f>
        <v/>
      </c>
      <c r="S13" s="28" t="n"/>
    </row>
    <row r="14">
      <c r="A14" s="6" t="n"/>
      <c r="B14" s="7" t="n"/>
      <c r="C14" s="6" t="n"/>
      <c r="D14" s="6" t="n"/>
      <c r="E14" s="31" t="n"/>
      <c r="F14" s="31" t="n"/>
      <c r="G14" s="31" t="n"/>
      <c r="H14" s="22">
        <f>IF(E14+F14+G14=0,"",E14+F14+G14)</f>
        <v/>
      </c>
      <c r="I14" s="31" t="n"/>
      <c r="J14" s="31" t="n"/>
      <c r="K14" s="31" t="n"/>
      <c r="L14" s="31" t="n"/>
      <c r="M14" s="31" t="n"/>
      <c r="N14" s="31" t="n"/>
      <c r="O14" s="24">
        <f>IF(I14+J14+K14+L14+M14+N14=0,"",I14+J14+K14+L14+M14+N14)</f>
        <v/>
      </c>
      <c r="P14" s="25">
        <f>IF(OR(H14="",H14=0),"",H14-O14)</f>
        <v/>
      </c>
      <c r="Q14" s="29">
        <f>IF(OR(H14="",H14=0),"",P14/H14)</f>
        <v/>
      </c>
      <c r="R14" s="30">
        <f>IF(Q14="","",IF(Q14&gt;=0.2,"◎ 良好",IF(Q14&gt;=0.1,"○ 適正",IF(Q14&gt;=0,"△ 要注意","× 赤字"))))</f>
        <v/>
      </c>
      <c r="S14" s="31" t="n"/>
    </row>
    <row r="15">
      <c r="A15" s="3" t="n"/>
      <c r="B15" s="4" t="n"/>
      <c r="C15" s="3" t="n"/>
      <c r="D15" s="3" t="n"/>
      <c r="E15" s="28" t="n"/>
      <c r="F15" s="28" t="n"/>
      <c r="G15" s="28" t="n"/>
      <c r="H15" s="22">
        <f>IF(E15+F15+G15=0,"",E15+F15+G15)</f>
        <v/>
      </c>
      <c r="I15" s="28" t="n"/>
      <c r="J15" s="28" t="n"/>
      <c r="K15" s="28" t="n"/>
      <c r="L15" s="28" t="n"/>
      <c r="M15" s="28" t="n"/>
      <c r="N15" s="28" t="n"/>
      <c r="O15" s="24">
        <f>IF(I15+J15+K15+L15+M15+N15=0,"",I15+J15+K15+L15+M15+N15)</f>
        <v/>
      </c>
      <c r="P15" s="25">
        <f>IF(OR(H15="",H15=0),"",H15-O15)</f>
        <v/>
      </c>
      <c r="Q15" s="29">
        <f>IF(OR(H15="",H15=0),"",P15/H15)</f>
        <v/>
      </c>
      <c r="R15" s="30">
        <f>IF(Q15="","",IF(Q15&gt;=0.2,"◎ 良好",IF(Q15&gt;=0.1,"○ 適正",IF(Q15&gt;=0,"△ 要注意","× 赤字"))))</f>
        <v/>
      </c>
      <c r="S15" s="28" t="n"/>
    </row>
    <row r="16">
      <c r="A16" s="6" t="n"/>
      <c r="B16" s="7" t="n"/>
      <c r="C16" s="6" t="n"/>
      <c r="D16" s="6" t="n"/>
      <c r="E16" s="31" t="n"/>
      <c r="F16" s="31" t="n"/>
      <c r="G16" s="31" t="n"/>
      <c r="H16" s="22">
        <f>IF(E16+F16+G16=0,"",E16+F16+G16)</f>
        <v/>
      </c>
      <c r="I16" s="31" t="n"/>
      <c r="J16" s="31" t="n"/>
      <c r="K16" s="31" t="n"/>
      <c r="L16" s="31" t="n"/>
      <c r="M16" s="31" t="n"/>
      <c r="N16" s="31" t="n"/>
      <c r="O16" s="24">
        <f>IF(I16+J16+K16+L16+M16+N16=0,"",I16+J16+K16+L16+M16+N16)</f>
        <v/>
      </c>
      <c r="P16" s="25">
        <f>IF(OR(H16="",H16=0),"",H16-O16)</f>
        <v/>
      </c>
      <c r="Q16" s="29">
        <f>IF(OR(H16="",H16=0),"",P16/H16)</f>
        <v/>
      </c>
      <c r="R16" s="30">
        <f>IF(Q16="","",IF(Q16&gt;=0.2,"◎ 良好",IF(Q16&gt;=0.1,"○ 適正",IF(Q16&gt;=0,"△ 要注意","× 赤字"))))</f>
        <v/>
      </c>
      <c r="S16" s="31" t="n"/>
    </row>
    <row r="17">
      <c r="A17" s="3" t="n"/>
      <c r="B17" s="4" t="n"/>
      <c r="C17" s="3" t="n"/>
      <c r="D17" s="3" t="n"/>
      <c r="E17" s="28" t="n"/>
      <c r="F17" s="28" t="n"/>
      <c r="G17" s="28" t="n"/>
      <c r="H17" s="22">
        <f>IF(E17+F17+G17=0,"",E17+F17+G17)</f>
        <v/>
      </c>
      <c r="I17" s="28" t="n"/>
      <c r="J17" s="28" t="n"/>
      <c r="K17" s="28" t="n"/>
      <c r="L17" s="28" t="n"/>
      <c r="M17" s="28" t="n"/>
      <c r="N17" s="28" t="n"/>
      <c r="O17" s="24">
        <f>IF(I17+J17+K17+L17+M17+N17=0,"",I17+J17+K17+L17+M17+N17)</f>
        <v/>
      </c>
      <c r="P17" s="25">
        <f>IF(OR(H17="",H17=0),"",H17-O17)</f>
        <v/>
      </c>
      <c r="Q17" s="29">
        <f>IF(OR(H17="",H17=0),"",P17/H17)</f>
        <v/>
      </c>
      <c r="R17" s="30">
        <f>IF(Q17="","",IF(Q17&gt;=0.2,"◎ 良好",IF(Q17&gt;=0.1,"○ 適正",IF(Q17&gt;=0,"△ 要注意","× 赤字"))))</f>
        <v/>
      </c>
      <c r="S17" s="28" t="n"/>
    </row>
    <row r="18">
      <c r="A18" s="6" t="n"/>
      <c r="B18" s="7" t="n"/>
      <c r="C18" s="6" t="n"/>
      <c r="D18" s="6" t="n"/>
      <c r="E18" s="31" t="n"/>
      <c r="F18" s="31" t="n"/>
      <c r="G18" s="31" t="n"/>
      <c r="H18" s="22">
        <f>IF(E18+F18+G18=0,"",E18+F18+G18)</f>
        <v/>
      </c>
      <c r="I18" s="31" t="n"/>
      <c r="J18" s="31" t="n"/>
      <c r="K18" s="31" t="n"/>
      <c r="L18" s="31" t="n"/>
      <c r="M18" s="31" t="n"/>
      <c r="N18" s="31" t="n"/>
      <c r="O18" s="24">
        <f>IF(I18+J18+K18+L18+M18+N18=0,"",I18+J18+K18+L18+M18+N18)</f>
        <v/>
      </c>
      <c r="P18" s="25">
        <f>IF(OR(H18="",H18=0),"",H18-O18)</f>
        <v/>
      </c>
      <c r="Q18" s="29">
        <f>IF(OR(H18="",H18=0),"",P18/H18)</f>
        <v/>
      </c>
      <c r="R18" s="30">
        <f>IF(Q18="","",IF(Q18&gt;=0.2,"◎ 良好",IF(Q18&gt;=0.1,"○ 適正",IF(Q18&gt;=0,"△ 要注意","× 赤字"))))</f>
        <v/>
      </c>
      <c r="S18" s="31" t="n"/>
    </row>
    <row r="19">
      <c r="A19" s="3" t="n"/>
      <c r="B19" s="4" t="n"/>
      <c r="C19" s="3" t="n"/>
      <c r="D19" s="3" t="n"/>
      <c r="E19" s="28" t="n"/>
      <c r="F19" s="28" t="n"/>
      <c r="G19" s="28" t="n"/>
      <c r="H19" s="22">
        <f>IF(E19+F19+G19=0,"",E19+F19+G19)</f>
        <v/>
      </c>
      <c r="I19" s="28" t="n"/>
      <c r="J19" s="28" t="n"/>
      <c r="K19" s="28" t="n"/>
      <c r="L19" s="28" t="n"/>
      <c r="M19" s="28" t="n"/>
      <c r="N19" s="28" t="n"/>
      <c r="O19" s="24">
        <f>IF(I19+J19+K19+L19+M19+N19=0,"",I19+J19+K19+L19+M19+N19)</f>
        <v/>
      </c>
      <c r="P19" s="25">
        <f>IF(OR(H19="",H19=0),"",H19-O19)</f>
        <v/>
      </c>
      <c r="Q19" s="29">
        <f>IF(OR(H19="",H19=0),"",P19/H19)</f>
        <v/>
      </c>
      <c r="R19" s="30">
        <f>IF(Q19="","",IF(Q19&gt;=0.2,"◎ 良好",IF(Q19&gt;=0.1,"○ 適正",IF(Q19&gt;=0,"△ 要注意","× 赤字"))))</f>
        <v/>
      </c>
      <c r="S19" s="28" t="n"/>
    </row>
    <row r="20">
      <c r="A20" s="6" t="n"/>
      <c r="B20" s="7" t="n"/>
      <c r="C20" s="6" t="n"/>
      <c r="D20" s="6" t="n"/>
      <c r="E20" s="31" t="n"/>
      <c r="F20" s="31" t="n"/>
      <c r="G20" s="31" t="n"/>
      <c r="H20" s="22">
        <f>IF(E20+F20+G20=0,"",E20+F20+G20)</f>
        <v/>
      </c>
      <c r="I20" s="31" t="n"/>
      <c r="J20" s="31" t="n"/>
      <c r="K20" s="31" t="n"/>
      <c r="L20" s="31" t="n"/>
      <c r="M20" s="31" t="n"/>
      <c r="N20" s="31" t="n"/>
      <c r="O20" s="24">
        <f>IF(I20+J20+K20+L20+M20+N20=0,"",I20+J20+K20+L20+M20+N20)</f>
        <v/>
      </c>
      <c r="P20" s="25">
        <f>IF(OR(H20="",H20=0),"",H20-O20)</f>
        <v/>
      </c>
      <c r="Q20" s="29">
        <f>IF(OR(H20="",H20=0),"",P20/H20)</f>
        <v/>
      </c>
      <c r="R20" s="30">
        <f>IF(Q20="","",IF(Q20&gt;=0.2,"◎ 良好",IF(Q20&gt;=0.1,"○ 適正",IF(Q20&gt;=0,"△ 要注意","× 赤字"))))</f>
        <v/>
      </c>
      <c r="S20" s="31" t="n"/>
    </row>
    <row r="21">
      <c r="A21" s="3" t="n"/>
      <c r="B21" s="4" t="n"/>
      <c r="C21" s="3" t="n"/>
      <c r="D21" s="3" t="n"/>
      <c r="E21" s="28" t="n"/>
      <c r="F21" s="28" t="n"/>
      <c r="G21" s="28" t="n"/>
      <c r="H21" s="22">
        <f>IF(E21+F21+G21=0,"",E21+F21+G21)</f>
        <v/>
      </c>
      <c r="I21" s="28" t="n"/>
      <c r="J21" s="28" t="n"/>
      <c r="K21" s="28" t="n"/>
      <c r="L21" s="28" t="n"/>
      <c r="M21" s="28" t="n"/>
      <c r="N21" s="28" t="n"/>
      <c r="O21" s="24">
        <f>IF(I21+J21+K21+L21+M21+N21=0,"",I21+J21+K21+L21+M21+N21)</f>
        <v/>
      </c>
      <c r="P21" s="25">
        <f>IF(OR(H21="",H21=0),"",H21-O21)</f>
        <v/>
      </c>
      <c r="Q21" s="29">
        <f>IF(OR(H21="",H21=0),"",P21/H21)</f>
        <v/>
      </c>
      <c r="R21" s="30">
        <f>IF(Q21="","",IF(Q21&gt;=0.2,"◎ 良好",IF(Q21&gt;=0.1,"○ 適正",IF(Q21&gt;=0,"△ 要注意","× 赤字"))))</f>
        <v/>
      </c>
      <c r="S21" s="28" t="n"/>
    </row>
    <row r="22">
      <c r="A22" s="6" t="n"/>
      <c r="B22" s="7" t="n"/>
      <c r="C22" s="6" t="n"/>
      <c r="D22" s="6" t="n"/>
      <c r="E22" s="31" t="n"/>
      <c r="F22" s="31" t="n"/>
      <c r="G22" s="31" t="n"/>
      <c r="H22" s="22">
        <f>IF(E22+F22+G22=0,"",E22+F22+G22)</f>
        <v/>
      </c>
      <c r="I22" s="31" t="n"/>
      <c r="J22" s="31" t="n"/>
      <c r="K22" s="31" t="n"/>
      <c r="L22" s="31" t="n"/>
      <c r="M22" s="31" t="n"/>
      <c r="N22" s="31" t="n"/>
      <c r="O22" s="24">
        <f>IF(I22+J22+K22+L22+M22+N22=0,"",I22+J22+K22+L22+M22+N22)</f>
        <v/>
      </c>
      <c r="P22" s="25">
        <f>IF(OR(H22="",H22=0),"",H22-O22)</f>
        <v/>
      </c>
      <c r="Q22" s="29">
        <f>IF(OR(H22="",H22=0),"",P22/H22)</f>
        <v/>
      </c>
      <c r="R22" s="30">
        <f>IF(Q22="","",IF(Q22&gt;=0.2,"◎ 良好",IF(Q22&gt;=0.1,"○ 適正",IF(Q22&gt;=0,"△ 要注意","× 赤字"))))</f>
        <v/>
      </c>
      <c r="S22" s="31" t="n"/>
    </row>
    <row r="23">
      <c r="A23" s="3" t="n"/>
      <c r="B23" s="4" t="n"/>
      <c r="C23" s="3" t="n"/>
      <c r="D23" s="3" t="n"/>
      <c r="E23" s="28" t="n"/>
      <c r="F23" s="28" t="n"/>
      <c r="G23" s="28" t="n"/>
      <c r="H23" s="22">
        <f>IF(E23+F23+G23=0,"",E23+F23+G23)</f>
        <v/>
      </c>
      <c r="I23" s="28" t="n"/>
      <c r="J23" s="28" t="n"/>
      <c r="K23" s="28" t="n"/>
      <c r="L23" s="28" t="n"/>
      <c r="M23" s="28" t="n"/>
      <c r="N23" s="28" t="n"/>
      <c r="O23" s="24">
        <f>IF(I23+J23+K23+L23+M23+N23=0,"",I23+J23+K23+L23+M23+N23)</f>
        <v/>
      </c>
      <c r="P23" s="25">
        <f>IF(OR(H23="",H23=0),"",H23-O23)</f>
        <v/>
      </c>
      <c r="Q23" s="29">
        <f>IF(OR(H23="",H23=0),"",P23/H23)</f>
        <v/>
      </c>
      <c r="R23" s="30">
        <f>IF(Q23="","",IF(Q23&gt;=0.2,"◎ 良好",IF(Q23&gt;=0.1,"○ 適正",IF(Q23&gt;=0,"△ 要注意","× 赤字"))))</f>
        <v/>
      </c>
      <c r="S23" s="28" t="n"/>
    </row>
    <row r="24">
      <c r="A24" s="6" t="n"/>
      <c r="B24" s="7" t="n"/>
      <c r="C24" s="6" t="n"/>
      <c r="D24" s="6" t="n"/>
      <c r="E24" s="31" t="n"/>
      <c r="F24" s="31" t="n"/>
      <c r="G24" s="31" t="n"/>
      <c r="H24" s="22">
        <f>IF(E24+F24+G24=0,"",E24+F24+G24)</f>
        <v/>
      </c>
      <c r="I24" s="31" t="n"/>
      <c r="J24" s="31" t="n"/>
      <c r="K24" s="31" t="n"/>
      <c r="L24" s="31" t="n"/>
      <c r="M24" s="31" t="n"/>
      <c r="N24" s="31" t="n"/>
      <c r="O24" s="24">
        <f>IF(I24+J24+K24+L24+M24+N24=0,"",I24+J24+K24+L24+M24+N24)</f>
        <v/>
      </c>
      <c r="P24" s="25">
        <f>IF(OR(H24="",H24=0),"",H24-O24)</f>
        <v/>
      </c>
      <c r="Q24" s="29">
        <f>IF(OR(H24="",H24=0),"",P24/H24)</f>
        <v/>
      </c>
      <c r="R24" s="30">
        <f>IF(Q24="","",IF(Q24&gt;=0.2,"◎ 良好",IF(Q24&gt;=0.1,"○ 適正",IF(Q24&gt;=0,"△ 要注意","× 赤字"))))</f>
        <v/>
      </c>
      <c r="S24" s="31" t="n"/>
    </row>
    <row r="25">
      <c r="A25" s="3" t="n"/>
      <c r="B25" s="4" t="n"/>
      <c r="C25" s="3" t="n"/>
      <c r="D25" s="3" t="n"/>
      <c r="E25" s="28" t="n"/>
      <c r="F25" s="28" t="n"/>
      <c r="G25" s="28" t="n"/>
      <c r="H25" s="22">
        <f>IF(E25+F25+G25=0,"",E25+F25+G25)</f>
        <v/>
      </c>
      <c r="I25" s="28" t="n"/>
      <c r="J25" s="28" t="n"/>
      <c r="K25" s="28" t="n"/>
      <c r="L25" s="28" t="n"/>
      <c r="M25" s="28" t="n"/>
      <c r="N25" s="28" t="n"/>
      <c r="O25" s="24">
        <f>IF(I25+J25+K25+L25+M25+N25=0,"",I25+J25+K25+L25+M25+N25)</f>
        <v/>
      </c>
      <c r="P25" s="25">
        <f>IF(OR(H25="",H25=0),"",H25-O25)</f>
        <v/>
      </c>
      <c r="Q25" s="29">
        <f>IF(OR(H25="",H25=0),"",P25/H25)</f>
        <v/>
      </c>
      <c r="R25" s="30">
        <f>IF(Q25="","",IF(Q25&gt;=0.2,"◎ 良好",IF(Q25&gt;=0.1,"○ 適正",IF(Q25&gt;=0,"△ 要注意","× 赤字"))))</f>
        <v/>
      </c>
      <c r="S25" s="28" t="n"/>
    </row>
    <row r="26">
      <c r="A26" s="6" t="n"/>
      <c r="B26" s="7" t="n"/>
      <c r="C26" s="6" t="n"/>
      <c r="D26" s="6" t="n"/>
      <c r="E26" s="31" t="n"/>
      <c r="F26" s="31" t="n"/>
      <c r="G26" s="31" t="n"/>
      <c r="H26" s="22">
        <f>IF(E26+F26+G26=0,"",E26+F26+G26)</f>
        <v/>
      </c>
      <c r="I26" s="31" t="n"/>
      <c r="J26" s="31" t="n"/>
      <c r="K26" s="31" t="n"/>
      <c r="L26" s="31" t="n"/>
      <c r="M26" s="31" t="n"/>
      <c r="N26" s="31" t="n"/>
      <c r="O26" s="24">
        <f>IF(I26+J26+K26+L26+M26+N26=0,"",I26+J26+K26+L26+M26+N26)</f>
        <v/>
      </c>
      <c r="P26" s="25">
        <f>IF(OR(H26="",H26=0),"",H26-O26)</f>
        <v/>
      </c>
      <c r="Q26" s="29">
        <f>IF(OR(H26="",H26=0),"",P26/H26)</f>
        <v/>
      </c>
      <c r="R26" s="30">
        <f>IF(Q26="","",IF(Q26&gt;=0.2,"◎ 良好",IF(Q26&gt;=0.1,"○ 適正",IF(Q26&gt;=0,"△ 要注意","× 赤字"))))</f>
        <v/>
      </c>
      <c r="S26" s="31" t="n"/>
    </row>
    <row r="27">
      <c r="A27" s="3" t="n"/>
      <c r="B27" s="4" t="n"/>
      <c r="C27" s="3" t="n"/>
      <c r="D27" s="3" t="n"/>
      <c r="E27" s="28" t="n"/>
      <c r="F27" s="28" t="n"/>
      <c r="G27" s="28" t="n"/>
      <c r="H27" s="22">
        <f>IF(E27+F27+G27=0,"",E27+F27+G27)</f>
        <v/>
      </c>
      <c r="I27" s="28" t="n"/>
      <c r="J27" s="28" t="n"/>
      <c r="K27" s="28" t="n"/>
      <c r="L27" s="28" t="n"/>
      <c r="M27" s="28" t="n"/>
      <c r="N27" s="28" t="n"/>
      <c r="O27" s="24">
        <f>IF(I27+J27+K27+L27+M27+N27=0,"",I27+J27+K27+L27+M27+N27)</f>
        <v/>
      </c>
      <c r="P27" s="25">
        <f>IF(OR(H27="",H27=0),"",H27-O27)</f>
        <v/>
      </c>
      <c r="Q27" s="29">
        <f>IF(OR(H27="",H27=0),"",P27/H27)</f>
        <v/>
      </c>
      <c r="R27" s="30">
        <f>IF(Q27="","",IF(Q27&gt;=0.2,"◎ 良好",IF(Q27&gt;=0.1,"○ 適正",IF(Q27&gt;=0,"△ 要注意","× 赤字"))))</f>
        <v/>
      </c>
      <c r="S27" s="28" t="n"/>
    </row>
    <row r="28">
      <c r="A28" s="6" t="n"/>
      <c r="B28" s="7" t="n"/>
      <c r="C28" s="6" t="n"/>
      <c r="D28" s="6" t="n"/>
      <c r="E28" s="31" t="n"/>
      <c r="F28" s="31" t="n"/>
      <c r="G28" s="31" t="n"/>
      <c r="H28" s="22">
        <f>IF(E28+F28+G28=0,"",E28+F28+G28)</f>
        <v/>
      </c>
      <c r="I28" s="31" t="n"/>
      <c r="J28" s="31" t="n"/>
      <c r="K28" s="31" t="n"/>
      <c r="L28" s="31" t="n"/>
      <c r="M28" s="31" t="n"/>
      <c r="N28" s="31" t="n"/>
      <c r="O28" s="24">
        <f>IF(I28+J28+K28+L28+M28+N28=0,"",I28+J28+K28+L28+M28+N28)</f>
        <v/>
      </c>
      <c r="P28" s="25">
        <f>IF(OR(H28="",H28=0),"",H28-O28)</f>
        <v/>
      </c>
      <c r="Q28" s="29">
        <f>IF(OR(H28="",H28=0),"",P28/H28)</f>
        <v/>
      </c>
      <c r="R28" s="30">
        <f>IF(Q28="","",IF(Q28&gt;=0.2,"◎ 良好",IF(Q28&gt;=0.1,"○ 適正",IF(Q28&gt;=0,"△ 要注意","× 赤字"))))</f>
        <v/>
      </c>
      <c r="S28" s="31" t="n"/>
    </row>
    <row r="29">
      <c r="A29" s="3" t="n"/>
      <c r="B29" s="4" t="n"/>
      <c r="C29" s="3" t="n"/>
      <c r="D29" s="3" t="n"/>
      <c r="E29" s="28" t="n"/>
      <c r="F29" s="28" t="n"/>
      <c r="G29" s="28" t="n"/>
      <c r="H29" s="22">
        <f>IF(E29+F29+G29=0,"",E29+F29+G29)</f>
        <v/>
      </c>
      <c r="I29" s="28" t="n"/>
      <c r="J29" s="28" t="n"/>
      <c r="K29" s="28" t="n"/>
      <c r="L29" s="28" t="n"/>
      <c r="M29" s="28" t="n"/>
      <c r="N29" s="28" t="n"/>
      <c r="O29" s="24">
        <f>IF(I29+J29+K29+L29+M29+N29=0,"",I29+J29+K29+L29+M29+N29)</f>
        <v/>
      </c>
      <c r="P29" s="25">
        <f>IF(OR(H29="",H29=0),"",H29-O29)</f>
        <v/>
      </c>
      <c r="Q29" s="29">
        <f>IF(OR(H29="",H29=0),"",P29/H29)</f>
        <v/>
      </c>
      <c r="R29" s="30">
        <f>IF(Q29="","",IF(Q29&gt;=0.2,"◎ 良好",IF(Q29&gt;=0.1,"○ 適正",IF(Q29&gt;=0,"△ 要注意","× 赤字"))))</f>
        <v/>
      </c>
      <c r="S29" s="28" t="n"/>
    </row>
    <row r="30">
      <c r="A30" s="6" t="n"/>
      <c r="B30" s="7" t="n"/>
      <c r="C30" s="6" t="n"/>
      <c r="D30" s="6" t="n"/>
      <c r="E30" s="31" t="n"/>
      <c r="F30" s="31" t="n"/>
      <c r="G30" s="31" t="n"/>
      <c r="H30" s="22">
        <f>IF(E30+F30+G30=0,"",E30+F30+G30)</f>
        <v/>
      </c>
      <c r="I30" s="31" t="n"/>
      <c r="J30" s="31" t="n"/>
      <c r="K30" s="31" t="n"/>
      <c r="L30" s="31" t="n"/>
      <c r="M30" s="31" t="n"/>
      <c r="N30" s="31" t="n"/>
      <c r="O30" s="24">
        <f>IF(I30+J30+K30+L30+M30+N30=0,"",I30+J30+K30+L30+M30+N30)</f>
        <v/>
      </c>
      <c r="P30" s="25">
        <f>IF(OR(H30="",H30=0),"",H30-O30)</f>
        <v/>
      </c>
      <c r="Q30" s="29">
        <f>IF(OR(H30="",H30=0),"",P30/H30)</f>
        <v/>
      </c>
      <c r="R30" s="30">
        <f>IF(Q30="","",IF(Q30&gt;=0.2,"◎ 良好",IF(Q30&gt;=0.1,"○ 適正",IF(Q30&gt;=0,"△ 要注意","× 赤字"))))</f>
        <v/>
      </c>
      <c r="S30" s="31" t="n"/>
    </row>
    <row r="31">
      <c r="A31" s="3" t="n"/>
      <c r="B31" s="4" t="n"/>
      <c r="C31" s="3" t="n"/>
      <c r="D31" s="3" t="n"/>
      <c r="E31" s="28" t="n"/>
      <c r="F31" s="28" t="n"/>
      <c r="G31" s="28" t="n"/>
      <c r="H31" s="22">
        <f>IF(E31+F31+G31=0,"",E31+F31+G31)</f>
        <v/>
      </c>
      <c r="I31" s="28" t="n"/>
      <c r="J31" s="28" t="n"/>
      <c r="K31" s="28" t="n"/>
      <c r="L31" s="28" t="n"/>
      <c r="M31" s="28" t="n"/>
      <c r="N31" s="28" t="n"/>
      <c r="O31" s="24">
        <f>IF(I31+J31+K31+L31+M31+N31=0,"",I31+J31+K31+L31+M31+N31)</f>
        <v/>
      </c>
      <c r="P31" s="25">
        <f>IF(OR(H31="",H31=0),"",H31-O31)</f>
        <v/>
      </c>
      <c r="Q31" s="29">
        <f>IF(OR(H31="",H31=0),"",P31/H31)</f>
        <v/>
      </c>
      <c r="R31" s="30">
        <f>IF(Q31="","",IF(Q31&gt;=0.2,"◎ 良好",IF(Q31&gt;=0.1,"○ 適正",IF(Q31&gt;=0,"△ 要注意","× 赤字"))))</f>
        <v/>
      </c>
      <c r="S31" s="28" t="n"/>
    </row>
    <row r="32">
      <c r="A32" s="6" t="n"/>
      <c r="B32" s="7" t="n"/>
      <c r="C32" s="6" t="n"/>
      <c r="D32" s="6" t="n"/>
      <c r="E32" s="31" t="n"/>
      <c r="F32" s="31" t="n"/>
      <c r="G32" s="31" t="n"/>
      <c r="H32" s="22">
        <f>IF(E32+F32+G32=0,"",E32+F32+G32)</f>
        <v/>
      </c>
      <c r="I32" s="31" t="n"/>
      <c r="J32" s="31" t="n"/>
      <c r="K32" s="31" t="n"/>
      <c r="L32" s="31" t="n"/>
      <c r="M32" s="31" t="n"/>
      <c r="N32" s="31" t="n"/>
      <c r="O32" s="24">
        <f>IF(I32+J32+K32+L32+M32+N32=0,"",I32+J32+K32+L32+M32+N32)</f>
        <v/>
      </c>
      <c r="P32" s="25">
        <f>IF(OR(H32="",H32=0),"",H32-O32)</f>
        <v/>
      </c>
      <c r="Q32" s="29">
        <f>IF(OR(H32="",H32=0),"",P32/H32)</f>
        <v/>
      </c>
      <c r="R32" s="30">
        <f>IF(Q32="","",IF(Q32&gt;=0.2,"◎ 良好",IF(Q32&gt;=0.1,"○ 適正",IF(Q32&gt;=0,"△ 要注意","× 赤字"))))</f>
        <v/>
      </c>
      <c r="S32" s="31" t="n"/>
    </row>
    <row r="33">
      <c r="A33" s="3" t="n"/>
      <c r="B33" s="4" t="n"/>
      <c r="C33" s="3" t="n"/>
      <c r="D33" s="3" t="n"/>
      <c r="E33" s="28" t="n"/>
      <c r="F33" s="28" t="n"/>
      <c r="G33" s="28" t="n"/>
      <c r="H33" s="22">
        <f>IF(E33+F33+G33=0,"",E33+F33+G33)</f>
        <v/>
      </c>
      <c r="I33" s="28" t="n"/>
      <c r="J33" s="28" t="n"/>
      <c r="K33" s="28" t="n"/>
      <c r="L33" s="28" t="n"/>
      <c r="M33" s="28" t="n"/>
      <c r="N33" s="28" t="n"/>
      <c r="O33" s="24">
        <f>IF(I33+J33+K33+L33+M33+N33=0,"",I33+J33+K33+L33+M33+N33)</f>
        <v/>
      </c>
      <c r="P33" s="25">
        <f>IF(OR(H33="",H33=0),"",H33-O33)</f>
        <v/>
      </c>
      <c r="Q33" s="29">
        <f>IF(OR(H33="",H33=0),"",P33/H33)</f>
        <v/>
      </c>
      <c r="R33" s="30">
        <f>IF(Q33="","",IF(Q33&gt;=0.2,"◎ 良好",IF(Q33&gt;=0.1,"○ 適正",IF(Q33&gt;=0,"△ 要注意","× 赤字"))))</f>
        <v/>
      </c>
      <c r="S33" s="28" t="n"/>
    </row>
    <row r="34">
      <c r="A34" s="6" t="n"/>
      <c r="B34" s="7" t="n"/>
      <c r="C34" s="6" t="n"/>
      <c r="D34" s="6" t="n"/>
      <c r="E34" s="31" t="n"/>
      <c r="F34" s="31" t="n"/>
      <c r="G34" s="31" t="n"/>
      <c r="H34" s="22">
        <f>IF(E34+F34+G34=0,"",E34+F34+G34)</f>
        <v/>
      </c>
      <c r="I34" s="31" t="n"/>
      <c r="J34" s="31" t="n"/>
      <c r="K34" s="31" t="n"/>
      <c r="L34" s="31" t="n"/>
      <c r="M34" s="31" t="n"/>
      <c r="N34" s="31" t="n"/>
      <c r="O34" s="24">
        <f>IF(I34+J34+K34+L34+M34+N34=0,"",I34+J34+K34+L34+M34+N34)</f>
        <v/>
      </c>
      <c r="P34" s="25">
        <f>IF(OR(H34="",H34=0),"",H34-O34)</f>
        <v/>
      </c>
      <c r="Q34" s="29">
        <f>IF(OR(H34="",H34=0),"",P34/H34)</f>
        <v/>
      </c>
      <c r="R34" s="30">
        <f>IF(Q34="","",IF(Q34&gt;=0.2,"◎ 良好",IF(Q34&gt;=0.1,"○ 適正",IF(Q34&gt;=0,"△ 要注意","× 赤字"))))</f>
        <v/>
      </c>
      <c r="S34" s="31" t="n"/>
    </row>
    <row r="35">
      <c r="A35" s="3" t="n"/>
      <c r="B35" s="4" t="n"/>
      <c r="C35" s="3" t="n"/>
      <c r="D35" s="3" t="n"/>
      <c r="E35" s="28" t="n"/>
      <c r="F35" s="28" t="n"/>
      <c r="G35" s="28" t="n"/>
      <c r="H35" s="22">
        <f>IF(E35+F35+G35=0,"",E35+F35+G35)</f>
        <v/>
      </c>
      <c r="I35" s="28" t="n"/>
      <c r="J35" s="28" t="n"/>
      <c r="K35" s="28" t="n"/>
      <c r="L35" s="28" t="n"/>
      <c r="M35" s="28" t="n"/>
      <c r="N35" s="28" t="n"/>
      <c r="O35" s="24">
        <f>IF(I35+J35+K35+L35+M35+N35=0,"",I35+J35+K35+L35+M35+N35)</f>
        <v/>
      </c>
      <c r="P35" s="25">
        <f>IF(OR(H35="",H35=0),"",H35-O35)</f>
        <v/>
      </c>
      <c r="Q35" s="29">
        <f>IF(OR(H35="",H35=0),"",P35/H35)</f>
        <v/>
      </c>
      <c r="R35" s="30">
        <f>IF(Q35="","",IF(Q35&gt;=0.2,"◎ 良好",IF(Q35&gt;=0.1,"○ 適正",IF(Q35&gt;=0,"△ 要注意","× 赤字"))))</f>
        <v/>
      </c>
      <c r="S35" s="28" t="n"/>
    </row>
    <row r="36">
      <c r="A36" s="6" t="n"/>
      <c r="B36" s="7" t="n"/>
      <c r="C36" s="6" t="n"/>
      <c r="D36" s="6" t="n"/>
      <c r="E36" s="31" t="n"/>
      <c r="F36" s="31" t="n"/>
      <c r="G36" s="31" t="n"/>
      <c r="H36" s="22">
        <f>IF(E36+F36+G36=0,"",E36+F36+G36)</f>
        <v/>
      </c>
      <c r="I36" s="31" t="n"/>
      <c r="J36" s="31" t="n"/>
      <c r="K36" s="31" t="n"/>
      <c r="L36" s="31" t="n"/>
      <c r="M36" s="31" t="n"/>
      <c r="N36" s="31" t="n"/>
      <c r="O36" s="24">
        <f>IF(I36+J36+K36+L36+M36+N36=0,"",I36+J36+K36+L36+M36+N36)</f>
        <v/>
      </c>
      <c r="P36" s="25">
        <f>IF(OR(H36="",H36=0),"",H36-O36)</f>
        <v/>
      </c>
      <c r="Q36" s="29">
        <f>IF(OR(H36="",H36=0),"",P36/H36)</f>
        <v/>
      </c>
      <c r="R36" s="30">
        <f>IF(Q36="","",IF(Q36&gt;=0.2,"◎ 良好",IF(Q36&gt;=0.1,"○ 適正",IF(Q36&gt;=0,"△ 要注意","× 赤字"))))</f>
        <v/>
      </c>
      <c r="S36" s="31" t="n"/>
    </row>
    <row r="37">
      <c r="A37" s="3" t="n"/>
      <c r="B37" s="4" t="n"/>
      <c r="C37" s="3" t="n"/>
      <c r="D37" s="3" t="n"/>
      <c r="E37" s="28" t="n"/>
      <c r="F37" s="28" t="n"/>
      <c r="G37" s="28" t="n"/>
      <c r="H37" s="22">
        <f>IF(E37+F37+G37=0,"",E37+F37+G37)</f>
        <v/>
      </c>
      <c r="I37" s="28" t="n"/>
      <c r="J37" s="28" t="n"/>
      <c r="K37" s="28" t="n"/>
      <c r="L37" s="28" t="n"/>
      <c r="M37" s="28" t="n"/>
      <c r="N37" s="28" t="n"/>
      <c r="O37" s="24">
        <f>IF(I37+J37+K37+L37+M37+N37=0,"",I37+J37+K37+L37+M37+N37)</f>
        <v/>
      </c>
      <c r="P37" s="25">
        <f>IF(OR(H37="",H37=0),"",H37-O37)</f>
        <v/>
      </c>
      <c r="Q37" s="29">
        <f>IF(OR(H37="",H37=0),"",P37/H37)</f>
        <v/>
      </c>
      <c r="R37" s="30">
        <f>IF(Q37="","",IF(Q37&gt;=0.2,"◎ 良好",IF(Q37&gt;=0.1,"○ 適正",IF(Q37&gt;=0,"△ 要注意","× 赤字"))))</f>
        <v/>
      </c>
      <c r="S37" s="28" t="n"/>
    </row>
    <row r="38">
      <c r="A38" s="6" t="n"/>
      <c r="B38" s="7" t="n"/>
      <c r="C38" s="6" t="n"/>
      <c r="D38" s="6" t="n"/>
      <c r="E38" s="31" t="n"/>
      <c r="F38" s="31" t="n"/>
      <c r="G38" s="31" t="n"/>
      <c r="H38" s="22">
        <f>IF(E38+F38+G38=0,"",E38+F38+G38)</f>
        <v/>
      </c>
      <c r="I38" s="31" t="n"/>
      <c r="J38" s="31" t="n"/>
      <c r="K38" s="31" t="n"/>
      <c r="L38" s="31" t="n"/>
      <c r="M38" s="31" t="n"/>
      <c r="N38" s="31" t="n"/>
      <c r="O38" s="24">
        <f>IF(I38+J38+K38+L38+M38+N38=0,"",I38+J38+K38+L38+M38+N38)</f>
        <v/>
      </c>
      <c r="P38" s="25">
        <f>IF(OR(H38="",H38=0),"",H38-O38)</f>
        <v/>
      </c>
      <c r="Q38" s="29">
        <f>IF(OR(H38="",H38=0),"",P38/H38)</f>
        <v/>
      </c>
      <c r="R38" s="30">
        <f>IF(Q38="","",IF(Q38&gt;=0.2,"◎ 良好",IF(Q38&gt;=0.1,"○ 適正",IF(Q38&gt;=0,"△ 要注意","× 赤字"))))</f>
        <v/>
      </c>
      <c r="S38" s="31" t="n"/>
    </row>
    <row r="39">
      <c r="A39" s="3" t="n"/>
      <c r="B39" s="4" t="n"/>
      <c r="C39" s="3" t="n"/>
      <c r="D39" s="3" t="n"/>
      <c r="E39" s="28" t="n"/>
      <c r="F39" s="28" t="n"/>
      <c r="G39" s="28" t="n"/>
      <c r="H39" s="22">
        <f>IF(E39+F39+G39=0,"",E39+F39+G39)</f>
        <v/>
      </c>
      <c r="I39" s="28" t="n"/>
      <c r="J39" s="28" t="n"/>
      <c r="K39" s="28" t="n"/>
      <c r="L39" s="28" t="n"/>
      <c r="M39" s="28" t="n"/>
      <c r="N39" s="28" t="n"/>
      <c r="O39" s="24">
        <f>IF(I39+J39+K39+L39+M39+N39=0,"",I39+J39+K39+L39+M39+N39)</f>
        <v/>
      </c>
      <c r="P39" s="25">
        <f>IF(OR(H39="",H39=0),"",H39-O39)</f>
        <v/>
      </c>
      <c r="Q39" s="29">
        <f>IF(OR(H39="",H39=0),"",P39/H39)</f>
        <v/>
      </c>
      <c r="R39" s="30">
        <f>IF(Q39="","",IF(Q39&gt;=0.2,"◎ 良好",IF(Q39&gt;=0.1,"○ 適正",IF(Q39&gt;=0,"△ 要注意","× 赤字"))))</f>
        <v/>
      </c>
      <c r="S39" s="28" t="n"/>
    </row>
    <row r="40">
      <c r="A40" s="6" t="n"/>
      <c r="B40" s="7" t="n"/>
      <c r="C40" s="6" t="n"/>
      <c r="D40" s="6" t="n"/>
      <c r="E40" s="31" t="n"/>
      <c r="F40" s="31" t="n"/>
      <c r="G40" s="31" t="n"/>
      <c r="H40" s="22">
        <f>IF(E40+F40+G40=0,"",E40+F40+G40)</f>
        <v/>
      </c>
      <c r="I40" s="31" t="n"/>
      <c r="J40" s="31" t="n"/>
      <c r="K40" s="31" t="n"/>
      <c r="L40" s="31" t="n"/>
      <c r="M40" s="31" t="n"/>
      <c r="N40" s="31" t="n"/>
      <c r="O40" s="24">
        <f>IF(I40+J40+K40+L40+M40+N40=0,"",I40+J40+K40+L40+M40+N40)</f>
        <v/>
      </c>
      <c r="P40" s="25">
        <f>IF(OR(H40="",H40=0),"",H40-O40)</f>
        <v/>
      </c>
      <c r="Q40" s="29">
        <f>IF(OR(H40="",H40=0),"",P40/H40)</f>
        <v/>
      </c>
      <c r="R40" s="30">
        <f>IF(Q40="","",IF(Q40&gt;=0.2,"◎ 良好",IF(Q40&gt;=0.1,"○ 適正",IF(Q40&gt;=0,"△ 要注意","× 赤字"))))</f>
        <v/>
      </c>
      <c r="S40" s="31" t="n"/>
    </row>
  </sheetData>
  <mergeCells count="6">
    <mergeCell ref="A1:S1"/>
    <mergeCell ref="D2"/>
    <mergeCell ref="I2:O2"/>
    <mergeCell ref="E2:H2"/>
    <mergeCell ref="A2:C2"/>
    <mergeCell ref="P2:S2"/>
  </mergeCells>
  <conditionalFormatting sqref="R4:R40">
    <cfRule type="expression" priority="1" dxfId="0">
      <formula>R4="◎ 良好"</formula>
    </cfRule>
    <cfRule type="expression" priority="2" dxfId="1">
      <formula>R4="○ 適正"</formula>
    </cfRule>
    <cfRule type="expression" priority="3" dxfId="2">
      <formula>R4="△ 要注意"</formula>
    </cfRule>
    <cfRule type="expression" priority="4" dxfId="3">
      <formula>R4="× 赤字"</formula>
    </cfRule>
  </conditionalFormatting>
  <conditionalFormatting sqref="Q4:Q40">
    <cfRule type="colorScale" priority="5">
      <colorScale>
        <cfvo type="num" val="0"/>
        <cfvo type="num" val="0.1"/>
        <cfvo type="num" val="0.3"/>
        <color rgb="00FF6B6B"/>
        <color rgb="00FFD93D"/>
        <color rgb="006BCB77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B872"/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2" customWidth="1" min="6" max="6"/>
    <col width="14" customWidth="1" min="7" max="7"/>
    <col width="14" customWidth="1" min="8" max="8"/>
    <col width="18" customWidth="1" min="9" max="9"/>
  </cols>
  <sheetData>
    <row r="1" ht="34" customHeight="1">
      <c r="A1" s="10" t="inlineStr">
        <is>
          <t>月次採算集計　（月別サマリー）</t>
        </is>
      </c>
    </row>
    <row r="2" ht="22" customHeight="1">
      <c r="A2" s="2" t="inlineStr">
        <is>
          <t>集計年月</t>
        </is>
      </c>
      <c r="B2" s="2" t="inlineStr">
        <is>
          <t>稼働案件数</t>
        </is>
      </c>
      <c r="C2" s="2" t="inlineStr">
        <is>
          <t>売上合計</t>
        </is>
      </c>
      <c r="D2" s="2" t="inlineStr">
        <is>
          <t>原価合計</t>
        </is>
      </c>
      <c r="E2" s="2" t="inlineStr">
        <is>
          <t>粗利益合計</t>
        </is>
      </c>
      <c r="F2" s="2" t="inlineStr">
        <is>
          <t>粗利率</t>
        </is>
      </c>
      <c r="G2" s="2" t="inlineStr">
        <is>
          <t>前月比 売上</t>
        </is>
      </c>
      <c r="H2" s="2" t="inlineStr">
        <is>
          <t>前月比 粗利</t>
        </is>
      </c>
      <c r="I2" s="2" t="inlineStr">
        <is>
          <t>備考</t>
        </is>
      </c>
    </row>
    <row r="3" ht="22" customHeight="1">
      <c r="A3" s="32" t="inlineStr">
        <is>
          <t>2026-04</t>
        </is>
      </c>
      <c r="B3" s="33" t="n">
        <v>7</v>
      </c>
      <c r="C3" s="34" t="n">
        <v>1720000</v>
      </c>
      <c r="D3" s="34" t="n">
        <v>1055000</v>
      </c>
      <c r="E3" s="35" t="n">
        <v>665000</v>
      </c>
      <c r="F3" s="36" t="n">
        <v>0.3866279069767442</v>
      </c>
      <c r="G3" s="3" t="inlineStr">
        <is>
          <t>—</t>
        </is>
      </c>
      <c r="H3" s="3" t="inlineStr">
        <is>
          <t>—</t>
        </is>
      </c>
      <c r="I3" s="4" t="inlineStr"/>
    </row>
    <row r="4" ht="22" customHeight="1">
      <c r="A4" s="37" t="inlineStr">
        <is>
          <t>2026-05</t>
        </is>
      </c>
      <c r="B4" s="38" t="n">
        <v>7</v>
      </c>
      <c r="C4" s="39" t="n">
        <v>1698000</v>
      </c>
      <c r="D4" s="39" t="n">
        <v>1038000</v>
      </c>
      <c r="E4" s="40" t="n">
        <v>660000</v>
      </c>
      <c r="F4" s="41" t="n">
        <v>0.3886925795053003</v>
      </c>
      <c r="G4" s="42">
        <f>IF(C3&lt;&gt;0,C4/C3-1,0)</f>
        <v/>
      </c>
      <c r="H4" s="42">
        <f>IF(E3&lt;&gt;0,E4/E3-1,0)</f>
        <v/>
      </c>
      <c r="I4" s="7" t="inlineStr"/>
    </row>
    <row r="5" ht="22" customHeight="1">
      <c r="A5" s="32" t="inlineStr">
        <is>
          <t>2026-06</t>
        </is>
      </c>
      <c r="B5" s="33" t="n">
        <v>8</v>
      </c>
      <c r="C5" s="34" t="n">
        <v>1850000</v>
      </c>
      <c r="D5" s="34" t="n">
        <v>1110000</v>
      </c>
      <c r="E5" s="35" t="n">
        <v>740000</v>
      </c>
      <c r="F5" s="36" t="n">
        <v>0.4</v>
      </c>
      <c r="G5" s="43">
        <f>IF(C4&lt;&gt;0,C5/C4-1,0)</f>
        <v/>
      </c>
      <c r="H5" s="43">
        <f>IF(E4&lt;&gt;0,E5/E4-1,0)</f>
        <v/>
      </c>
      <c r="I5" s="4" t="inlineStr"/>
    </row>
    <row r="6" ht="22" customHeight="1">
      <c r="A6" s="37" t="inlineStr">
        <is>
          <t>2026-07</t>
        </is>
      </c>
      <c r="B6" s="38" t="n">
        <v>9</v>
      </c>
      <c r="C6" s="39" t="n">
        <v>1920000</v>
      </c>
      <c r="D6" s="39" t="n">
        <v>1132000</v>
      </c>
      <c r="E6" s="40" t="n">
        <v>788000</v>
      </c>
      <c r="F6" s="41" t="n">
        <v>0.4104166666666667</v>
      </c>
      <c r="G6" s="42">
        <f>IF(C5&lt;&gt;0,C6/C5-1,0)</f>
        <v/>
      </c>
      <c r="H6" s="42">
        <f>IF(E5&lt;&gt;0,E6/E5-1,0)</f>
        <v/>
      </c>
      <c r="I6" s="7" t="inlineStr"/>
    </row>
    <row r="7" ht="22" customHeight="1">
      <c r="A7" s="32" t="inlineStr">
        <is>
          <t>2026-08</t>
        </is>
      </c>
      <c r="B7" s="33" t="n">
        <v>9</v>
      </c>
      <c r="C7" s="34" t="n">
        <v>1885000</v>
      </c>
      <c r="D7" s="34" t="n">
        <v>1120000</v>
      </c>
      <c r="E7" s="35" t="n">
        <v>765000</v>
      </c>
      <c r="F7" s="36" t="n">
        <v>0.4058355437665783</v>
      </c>
      <c r="G7" s="43">
        <f>IF(C6&lt;&gt;0,C7/C6-1,0)</f>
        <v/>
      </c>
      <c r="H7" s="43">
        <f>IF(E6&lt;&gt;0,E7/E6-1,0)</f>
        <v/>
      </c>
      <c r="I7" s="4" t="inlineStr"/>
    </row>
    <row r="8" ht="22" customHeight="1">
      <c r="A8" s="37" t="inlineStr">
        <is>
          <t>2026-09</t>
        </is>
      </c>
      <c r="B8" s="38" t="n">
        <v>10</v>
      </c>
      <c r="C8" s="39" t="n">
        <v>2100000</v>
      </c>
      <c r="D8" s="39" t="n">
        <v>1218000</v>
      </c>
      <c r="E8" s="40" t="n">
        <v>882000</v>
      </c>
      <c r="F8" s="41" t="n">
        <v>0.42</v>
      </c>
      <c r="G8" s="42">
        <f>IF(C7&lt;&gt;0,C8/C7-1,0)</f>
        <v/>
      </c>
      <c r="H8" s="42">
        <f>IF(E7&lt;&gt;0,E8/E7-1,0)</f>
        <v/>
      </c>
      <c r="I8" s="7" t="inlineStr"/>
    </row>
    <row r="9" ht="24" customHeight="1">
      <c r="A9" s="44" t="inlineStr">
        <is>
          <t>合　計</t>
        </is>
      </c>
      <c r="B9" s="45">
        <f>SUM(B3:B8)</f>
        <v/>
      </c>
      <c r="C9" s="45">
        <f>SUM(C3:C8)</f>
        <v/>
      </c>
      <c r="D9" s="45">
        <f>SUM(D3:D8)</f>
        <v/>
      </c>
      <c r="E9" s="45">
        <f>SUM(E3:E8)</f>
        <v/>
      </c>
      <c r="F9" s="46">
        <f>IF(C9&lt;&gt;0,E9/C9,0)</f>
        <v/>
      </c>
      <c r="G9" s="47" t="inlineStr"/>
      <c r="H9" s="47" t="inlineStr"/>
      <c r="I9" s="47" t="inlineStr"/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07B00"/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10" customWidth="1" min="4" max="4"/>
    <col width="11" customWidth="1" min="5" max="5"/>
    <col width="14" customWidth="1" min="6" max="6"/>
    <col width="14" customWidth="1" min="7" max="7"/>
    <col width="14" customWidth="1" min="8" max="8"/>
    <col width="11" customWidth="1" min="9" max="9"/>
    <col width="12" customWidth="1" min="10" max="10"/>
  </cols>
  <sheetData>
    <row r="1" ht="34" customHeight="1">
      <c r="A1" s="10" t="inlineStr">
        <is>
          <t>採算ダッシュボード　案件別ランキング（直近月）</t>
        </is>
      </c>
    </row>
    <row r="2" ht="22" customHeight="1">
      <c r="A2" s="2" t="inlineStr">
        <is>
          <t>順位</t>
        </is>
      </c>
      <c r="B2" s="2" t="inlineStr">
        <is>
          <t>案件ID</t>
        </is>
      </c>
      <c r="C2" s="2" t="inlineStr">
        <is>
          <t>取引先名</t>
        </is>
      </c>
      <c r="D2" s="2" t="inlineStr">
        <is>
          <t>業種</t>
        </is>
      </c>
      <c r="E2" s="2" t="inlineStr">
        <is>
          <t>集計月</t>
        </is>
      </c>
      <c r="F2" s="2" t="inlineStr">
        <is>
          <t>売上合計</t>
        </is>
      </c>
      <c r="G2" s="2" t="inlineStr">
        <is>
          <t>原価合計</t>
        </is>
      </c>
      <c r="H2" s="2" t="inlineStr">
        <is>
          <t>粗利益</t>
        </is>
      </c>
      <c r="I2" s="2" t="inlineStr">
        <is>
          <t>粗利率</t>
        </is>
      </c>
      <c r="J2" s="2" t="inlineStr">
        <is>
          <t>採算判定</t>
        </is>
      </c>
    </row>
    <row r="3" ht="22" customHeight="1">
      <c r="A3" s="48" t="n">
        <v>1</v>
      </c>
      <c r="B3" s="3" t="inlineStr">
        <is>
          <t>A006</t>
        </is>
      </c>
      <c r="C3" s="4" t="inlineStr">
        <is>
          <t>川崎市 環境局</t>
        </is>
      </c>
      <c r="D3" s="3" t="inlineStr">
        <is>
          <t>行政</t>
        </is>
      </c>
      <c r="E3" s="3" t="inlineStr">
        <is>
          <t>2026-04</t>
        </is>
      </c>
      <c r="F3" s="49" t="n">
        <v>580000</v>
      </c>
      <c r="G3" s="49" t="n">
        <v>345000</v>
      </c>
      <c r="H3" s="35" t="n">
        <v>235000</v>
      </c>
      <c r="I3" s="36" t="n">
        <v>0.4051724137931034</v>
      </c>
      <c r="J3" s="50" t="inlineStr">
        <is>
          <t>◎ 良好</t>
        </is>
      </c>
    </row>
    <row r="4" ht="22" customHeight="1">
      <c r="A4" s="51" t="n">
        <v>2</v>
      </c>
      <c r="B4" s="6" t="inlineStr">
        <is>
          <t>A002</t>
        </is>
      </c>
      <c r="C4" s="7" t="inlineStr">
        <is>
          <t>東急㈱</t>
        </is>
      </c>
      <c r="D4" s="6" t="inlineStr">
        <is>
          <t>物流</t>
        </is>
      </c>
      <c r="E4" s="6" t="inlineStr">
        <is>
          <t>2026-04</t>
        </is>
      </c>
      <c r="F4" s="52" t="n">
        <v>365000</v>
      </c>
      <c r="G4" s="52" t="n">
        <v>212000</v>
      </c>
      <c r="H4" s="40" t="n">
        <v>153000</v>
      </c>
      <c r="I4" s="41" t="n">
        <v>0.4191780821917808</v>
      </c>
      <c r="J4" s="50" t="inlineStr">
        <is>
          <t>◎ 良好</t>
        </is>
      </c>
    </row>
    <row r="5" ht="22" customHeight="1">
      <c r="A5" s="53" t="n">
        <v>3</v>
      </c>
      <c r="B5" s="3" t="inlineStr">
        <is>
          <t>A001</t>
        </is>
      </c>
      <c r="C5" s="4" t="inlineStr">
        <is>
          <t>吉野家フーズ㈱</t>
        </is>
      </c>
      <c r="D5" s="3" t="inlineStr">
        <is>
          <t>飲食</t>
        </is>
      </c>
      <c r="E5" s="3" t="inlineStr">
        <is>
          <t>2026-04</t>
        </is>
      </c>
      <c r="F5" s="49" t="n">
        <v>197000</v>
      </c>
      <c r="G5" s="49" t="n">
        <v>108000</v>
      </c>
      <c r="H5" s="35" t="n">
        <v>89000</v>
      </c>
      <c r="I5" s="36" t="n">
        <v>0.4517766497461929</v>
      </c>
      <c r="J5" s="50" t="inlineStr">
        <is>
          <t>◎ 良好</t>
        </is>
      </c>
    </row>
    <row r="6" ht="22" customHeight="1">
      <c r="A6" s="54" t="n">
        <v>4</v>
      </c>
      <c r="B6" s="6" t="inlineStr">
        <is>
          <t>A007</t>
        </is>
      </c>
      <c r="C6" s="7" t="inlineStr">
        <is>
          <t>白洋舎㈱</t>
        </is>
      </c>
      <c r="D6" s="6" t="inlineStr">
        <is>
          <t>サービス</t>
        </is>
      </c>
      <c r="E6" s="6" t="inlineStr">
        <is>
          <t>2026-04</t>
        </is>
      </c>
      <c r="F6" s="52" t="n">
        <v>166000</v>
      </c>
      <c r="G6" s="52" t="n">
        <v>100000</v>
      </c>
      <c r="H6" s="40" t="n">
        <v>66000</v>
      </c>
      <c r="I6" s="41" t="n">
        <v>0.3975903614457831</v>
      </c>
      <c r="J6" s="50" t="inlineStr">
        <is>
          <t>◎ 良好</t>
        </is>
      </c>
    </row>
    <row r="7" ht="22" customHeight="1">
      <c r="A7" s="55" t="n">
        <v>5</v>
      </c>
      <c r="B7" s="3" t="inlineStr">
        <is>
          <t>A003</t>
        </is>
      </c>
      <c r="C7" s="4" t="inlineStr">
        <is>
          <t>ファミリーマート㈱</t>
        </is>
      </c>
      <c r="D7" s="3" t="inlineStr">
        <is>
          <t>小売</t>
        </is>
      </c>
      <c r="E7" s="3" t="inlineStr">
        <is>
          <t>2026-04</t>
        </is>
      </c>
      <c r="F7" s="49" t="n">
        <v>210000</v>
      </c>
      <c r="G7" s="49" t="n">
        <v>141000</v>
      </c>
      <c r="H7" s="35" t="n">
        <v>69000</v>
      </c>
      <c r="I7" s="36" t="n">
        <v>0.3285714285714286</v>
      </c>
      <c r="J7" s="50" t="inlineStr">
        <is>
          <t>◎ 良好</t>
        </is>
      </c>
    </row>
    <row r="8" ht="22" customHeight="1">
      <c r="A8" s="54" t="n">
        <v>6</v>
      </c>
      <c r="B8" s="6" t="inlineStr">
        <is>
          <t>A004</t>
        </is>
      </c>
      <c r="C8" s="7" t="inlineStr">
        <is>
          <t>永谷園HD㈱</t>
        </is>
      </c>
      <c r="D8" s="6" t="inlineStr">
        <is>
          <t>製造</t>
        </is>
      </c>
      <c r="E8" s="6" t="inlineStr">
        <is>
          <t>2026-04</t>
        </is>
      </c>
      <c r="F8" s="52" t="n">
        <v>100000</v>
      </c>
      <c r="G8" s="52" t="n">
        <v>70000</v>
      </c>
      <c r="H8" s="40" t="n">
        <v>30000</v>
      </c>
      <c r="I8" s="41" t="n">
        <v>0.3</v>
      </c>
      <c r="J8" s="50" t="inlineStr">
        <is>
          <t>◎ 良好</t>
        </is>
      </c>
    </row>
    <row r="9" ht="22" customHeight="1">
      <c r="A9" s="55" t="n">
        <v>7</v>
      </c>
      <c r="B9" s="3" t="inlineStr">
        <is>
          <t>A008</t>
        </is>
      </c>
      <c r="C9" s="4" t="inlineStr">
        <is>
          <t>レバテック㈱</t>
        </is>
      </c>
      <c r="D9" s="3" t="inlineStr">
        <is>
          <t>IT</t>
        </is>
      </c>
      <c r="E9" s="3" t="inlineStr">
        <is>
          <t>2026-04</t>
        </is>
      </c>
      <c r="F9" s="49" t="n">
        <v>55000</v>
      </c>
      <c r="G9" s="49" t="n">
        <v>41000</v>
      </c>
      <c r="H9" s="35" t="n">
        <v>14000</v>
      </c>
      <c r="I9" s="36" t="n">
        <v>0.2545454545454545</v>
      </c>
      <c r="J9" s="50" t="inlineStr">
        <is>
          <t>◎ 良好</t>
        </is>
      </c>
    </row>
    <row r="11">
      <c r="A11" s="56" t="inlineStr">
        <is>
          <t>判定基準：◎ 粗利率20%以上　○ 10〜20%　△ 0〜10%　× マイナス（赤字）</t>
        </is>
      </c>
    </row>
    <row r="13" ht="18" customHeight="1">
      <c r="A13" s="2" t="inlineStr">
        <is>
          <t>取引先</t>
        </is>
      </c>
      <c r="B13" s="2" t="inlineStr">
        <is>
          <t>売上</t>
        </is>
      </c>
    </row>
    <row r="14">
      <c r="A14" s="7" t="inlineStr">
        <is>
          <t>川崎市 環境局</t>
        </is>
      </c>
      <c r="B14" s="52" t="n">
        <v>580000</v>
      </c>
    </row>
    <row r="15">
      <c r="A15" s="7" t="inlineStr">
        <is>
          <t>東急㈱</t>
        </is>
      </c>
      <c r="B15" s="52" t="n">
        <v>365000</v>
      </c>
    </row>
    <row r="16">
      <c r="A16" s="7" t="inlineStr">
        <is>
          <t>吉野家フーズ㈱</t>
        </is>
      </c>
      <c r="B16" s="52" t="n">
        <v>197000</v>
      </c>
    </row>
    <row r="17">
      <c r="A17" s="7" t="inlineStr">
        <is>
          <t>ファミリーマート㈱</t>
        </is>
      </c>
      <c r="B17" s="52" t="n">
        <v>210000</v>
      </c>
    </row>
    <row r="18">
      <c r="A18" s="7" t="inlineStr">
        <is>
          <t>その他</t>
        </is>
      </c>
      <c r="B18" s="52" t="n">
        <v>210000</v>
      </c>
    </row>
  </sheetData>
  <mergeCells count="2">
    <mergeCell ref="A1:J1"/>
    <mergeCell ref="A11:J1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55657A"/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2" customWidth="1" min="3" max="3"/>
  </cols>
  <sheetData>
    <row r="1" ht="36" customHeight="1">
      <c r="A1" s="1" t="inlineStr">
        <is>
          <t>民間廃棄物収集受託案件　採算管理ブック　使い方ガイド</t>
        </is>
      </c>
    </row>
    <row r="3" ht="24" customHeight="1">
      <c r="A3" s="57" t="inlineStr">
        <is>
          <t xml:space="preserve">  STEP 1  案件マスタに登録</t>
        </is>
      </c>
    </row>
    <row r="4" ht="20" customHeight="1">
      <c r="B4" s="58" t="inlineStr">
        <is>
          <t>新しい契約案件が発生したら「案件マスタ」シートに案件IDと基本情報を登録してください。</t>
        </is>
      </c>
    </row>
    <row r="5" ht="20" customHeight="1">
      <c r="B5" s="58" t="inlineStr">
        <is>
          <t>案件IDは「A001」形式で通し番号管理を推奨します。</t>
        </is>
      </c>
    </row>
    <row r="7" ht="24" customHeight="1">
      <c r="A7" s="57" t="inlineStr">
        <is>
          <t xml:space="preserve">  STEP 2  月次採算を入力</t>
        </is>
      </c>
    </row>
    <row r="8" ht="20" customHeight="1">
      <c r="B8" s="58" t="inlineStr">
        <is>
          <t>毎月末に「月次採算入力」シートへ各案件の実績を入力します。</t>
        </is>
      </c>
    </row>
    <row r="9" ht="20" customHeight="1">
      <c r="B9" s="58" t="inlineStr">
        <is>
          <t>売上（基本料金・スポット等）と原価（人件費・燃料費・処理費等）を入力すると</t>
        </is>
      </c>
    </row>
    <row r="10" ht="20" customHeight="1">
      <c r="B10" s="58" t="inlineStr">
        <is>
          <t>粗利益・粗利率・採算判定が自動で計算されます。</t>
        </is>
      </c>
    </row>
    <row r="12" ht="24" customHeight="1">
      <c r="A12" s="57" t="inlineStr">
        <is>
          <t xml:space="preserve">  STEP 3  月次集計を確認</t>
        </is>
      </c>
    </row>
    <row r="13" ht="20" customHeight="1">
      <c r="B13" s="58" t="inlineStr">
        <is>
          <t>「月次集計」シートで月ごとの売上・原価・粗利益の推移を確認します。</t>
        </is>
      </c>
    </row>
    <row r="14" ht="20" customHeight="1">
      <c r="B14" s="58" t="inlineStr">
        <is>
          <t>グラフで月別トレンドを可視化しています。</t>
        </is>
      </c>
    </row>
    <row r="16" ht="24" customHeight="1">
      <c r="A16" s="57" t="inlineStr">
        <is>
          <t xml:space="preserve">  STEP 4  ダッシュボードで状況把握</t>
        </is>
      </c>
    </row>
    <row r="17" ht="20" customHeight="1">
      <c r="B17" s="58" t="inlineStr">
        <is>
          <t>「採算ダッシュボード」シートで案件別の採算ランキングを確認します。</t>
        </is>
      </c>
    </row>
    <row r="18" ht="20" customHeight="1">
      <c r="B18" s="58" t="inlineStr">
        <is>
          <t>採算判定が「△ 要注意」「× 赤字」の案件は早期に改善策を検討してください。</t>
        </is>
      </c>
    </row>
    <row r="20" ht="28" customHeight="1">
      <c r="A20" s="59" t="inlineStr">
        <is>
          <t xml:space="preserve">  採算判定基準</t>
        </is>
      </c>
    </row>
    <row r="21" ht="22" customHeight="1">
      <c r="B21" s="50" t="inlineStr">
        <is>
          <t>◎ 良好</t>
        </is>
      </c>
      <c r="C21" s="60" t="inlineStr">
        <is>
          <t>粗利率 20%以上</t>
        </is>
      </c>
    </row>
    <row r="22" ht="22" customHeight="1">
      <c r="B22" s="61" t="inlineStr">
        <is>
          <t>○ 適正</t>
        </is>
      </c>
      <c r="C22" s="62" t="inlineStr">
        <is>
          <t>粗利率 10〜20%</t>
        </is>
      </c>
    </row>
    <row r="23" ht="22" customHeight="1">
      <c r="B23" s="63" t="inlineStr">
        <is>
          <t>△ 要注意</t>
        </is>
      </c>
      <c r="C23" s="64" t="inlineStr">
        <is>
          <t>粗利率 0〜10%</t>
        </is>
      </c>
    </row>
    <row r="24" ht="22" customHeight="1">
      <c r="B24" s="65" t="inlineStr">
        <is>
          <t>× 赤字</t>
        </is>
      </c>
      <c r="C24" s="66" t="inlineStr">
        <is>
          <t>粗利率 マイナス</t>
        </is>
      </c>
    </row>
  </sheetData>
  <mergeCells count="15">
    <mergeCell ref="B13:C13"/>
    <mergeCell ref="B18:C18"/>
    <mergeCell ref="A1:C1"/>
    <mergeCell ref="B5:C5"/>
    <mergeCell ref="A12:C12"/>
    <mergeCell ref="B10:C10"/>
    <mergeCell ref="B14:C14"/>
    <mergeCell ref="A3:C3"/>
    <mergeCell ref="B17:C17"/>
    <mergeCell ref="B9:C9"/>
    <mergeCell ref="A7:C7"/>
    <mergeCell ref="B8:C8"/>
    <mergeCell ref="A20:C20"/>
    <mergeCell ref="B4:C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2026-05-29T02:42:01Z</dcterms:created>
  <dcterms:modified xmlns:dcterms="http://purl.org/dc/terms/" xmlns:xsi="http://www.w3.org/2001/XMLSchema-instance" xsi:type="dcterms:W3CDTF">2026-05-29T02:42:02Z</dcterms:modified>
</cp:coreProperties>
</file>