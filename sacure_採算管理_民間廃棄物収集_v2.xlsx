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案件マスタ" sheetId="1" state="visible" r:id="rId1"/>
    <sheet xmlns:r="http://schemas.openxmlformats.org/officeDocument/2006/relationships" name="②拠点マスター" sheetId="2" state="visible" r:id="rId2"/>
    <sheet xmlns:r="http://schemas.openxmlformats.org/officeDocument/2006/relationships" name="③月次採算入力" sheetId="3" state="visible" r:id="rId3"/>
    <sheet xmlns:r="http://schemas.openxmlformats.org/officeDocument/2006/relationships" name="④案件別月次集計" sheetId="4" state="visible" r:id="rId4"/>
    <sheet xmlns:r="http://schemas.openxmlformats.org/officeDocument/2006/relationships" name="⑤ドライバー別採算" sheetId="5" state="visible" r:id="rId5"/>
    <sheet xmlns:r="http://schemas.openxmlformats.org/officeDocument/2006/relationships" name="⑥採算ダッシュボード" sheetId="6" state="visible" r:id="rId6"/>
    <sheet xmlns:r="http://schemas.openxmlformats.org/officeDocument/2006/relationships" name="⑦換算テーブル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;0.0%"/>
    <numFmt numFmtId="166" formatCode="#,##0.0"/>
    <numFmt numFmtId="167" formatCode="0.00000"/>
  </numFmts>
  <fonts count="19">
    <font>
      <name val="Calibri"/>
      <family val="2"/>
      <color theme="1"/>
      <sz val="11"/>
      <scheme val="minor"/>
    </font>
    <font>
      <name val="Yu Gothic UI"/>
      <b val="1"/>
      <color rgb="00FFFFFF"/>
      <sz val="15"/>
    </font>
    <font>
      <name val="Yu Gothic UI"/>
      <b val="1"/>
      <color rgb="00FFFFFF"/>
      <sz val="10"/>
    </font>
    <font>
      <name val="Yu Gothic UI"/>
      <b val="1"/>
      <color rgb="00FFFFFF"/>
      <sz val="9"/>
    </font>
    <font>
      <name val="Yu Gothic UI"/>
      <b val="1"/>
      <color rgb="000D2B5E"/>
      <sz val="11"/>
    </font>
    <font>
      <name val="Yu Gothic UI"/>
      <b val="1"/>
      <color rgb="00FFFFFF"/>
      <sz val="11"/>
    </font>
    <font>
      <name val="Yu Gothic UI"/>
      <color rgb="000D2B5E"/>
      <sz val="11"/>
    </font>
    <font>
      <name val="Yu Gothic UI"/>
      <b val="1"/>
      <color rgb="000D2B5E"/>
      <sz val="12"/>
    </font>
    <font>
      <name val="Yu Gothic UI"/>
      <color rgb="000D2B5E"/>
      <sz val="10"/>
    </font>
    <font>
      <name val="Yu Gothic UI"/>
      <b val="1"/>
      <color rgb="00FFFFFF"/>
      <sz val="12"/>
    </font>
    <font>
      <name val="Yu Gothic UI"/>
      <i val="1"/>
      <color rgb="0055657A"/>
      <sz val="9"/>
    </font>
    <font>
      <name val="Yu Gothic UI"/>
      <color rgb="00FFFFFF"/>
      <sz val="10"/>
    </font>
    <font>
      <name val="Yu Gothic UI"/>
      <color rgb="000D2B5E"/>
      <sz val="9"/>
    </font>
    <font>
      <name val="Yu Gothic UI"/>
      <b val="1"/>
      <color rgb="000D2B5E"/>
      <sz val="10"/>
    </font>
    <font>
      <name val="Yu Gothic UI"/>
      <b val="1"/>
      <color rgb="00FFFFFF"/>
      <sz val="13"/>
    </font>
    <font>
      <name val="Yu Gothic UI"/>
      <b val="1"/>
      <color rgb="00145A32"/>
      <sz val="10"/>
    </font>
    <font>
      <name val="Yu Gothic UI"/>
      <b val="1"/>
      <color rgb="000D2B5E"/>
      <sz val="13"/>
    </font>
    <font>
      <name val="Yu Gothic UI"/>
      <color rgb="000D2B5E"/>
      <sz val="12"/>
    </font>
    <font>
      <name val="Yu Gothic UI"/>
      <b val="1"/>
      <color rgb="00145A32"/>
      <sz val="11"/>
    </font>
  </fonts>
  <fills count="17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1565A8"/>
      </patternFill>
    </fill>
    <fill>
      <patternFill patternType="solid">
        <fgColor rgb="001A6B2E"/>
      </patternFill>
    </fill>
    <fill>
      <patternFill patternType="solid">
        <fgColor rgb="001A5FC8"/>
      </patternFill>
    </fill>
    <fill>
      <patternFill patternType="solid">
        <fgColor rgb="00D0E8FF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5B2D8E"/>
      </patternFill>
    </fill>
    <fill>
      <patternFill patternType="solid">
        <fgColor rgb="00D4EDDA"/>
      </patternFill>
    </fill>
    <fill>
      <patternFill patternType="solid">
        <fgColor rgb="00F2F6FC"/>
      </patternFill>
    </fill>
    <fill>
      <patternFill patternType="solid">
        <fgColor rgb="00FAFFF5"/>
      </patternFill>
    </fill>
    <fill>
      <patternFill patternType="solid">
        <fgColor rgb="007B3F00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C8F7D4"/>
      </patternFill>
    </fill>
  </fills>
  <borders count="6">
    <border>
      <left/>
      <right/>
      <top/>
      <bottom/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  <border>
      <left/>
      <right/>
      <top style="thin">
        <color rgb="00C5D5E8"/>
      </top>
      <bottom/>
      <diagonal/>
    </border>
    <border>
      <left/>
      <right style="thin">
        <color rgb="00C5D5E8"/>
      </right>
      <top style="thin">
        <color rgb="00C5D5E8"/>
      </top>
      <bottom/>
      <diagonal/>
    </border>
    <border>
      <left/>
      <right/>
      <top style="thin">
        <color rgb="00C5D5E8"/>
      </top>
      <bottom style="thin">
        <color rgb="00C5D5E8"/>
      </bottom>
      <diagonal/>
    </border>
    <border>
      <left/>
      <right style="thin">
        <color rgb="00C5D5E8"/>
      </right>
      <top style="thin">
        <color rgb="00C5D5E8"/>
      </top>
      <bottom style="thin">
        <color rgb="00C5D5E8"/>
      </bottom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3" fontId="9" fillId="2" borderId="1" applyAlignment="1" pivotButton="0" quotePrefix="0" xfId="0">
      <alignment horizontal="center" vertical="center"/>
    </xf>
    <xf numFmtId="3" fontId="9" fillId="2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3" fontId="13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3" fontId="13" fillId="12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3" fontId="13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3" fontId="13" fillId="10" borderId="1" applyAlignment="1" pivotButton="0" quotePrefix="0" xfId="0">
      <alignment horizontal="right" vertical="center"/>
    </xf>
    <xf numFmtId="3" fontId="8" fillId="1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right" vertical="center"/>
    </xf>
    <xf numFmtId="3" fontId="4" fillId="10" borderId="1" applyAlignment="1" pivotButton="0" quotePrefix="0" xfId="0">
      <alignment horizontal="right" vertical="center"/>
    </xf>
    <xf numFmtId="0" fontId="2" fillId="1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3" fontId="8" fillId="14" borderId="1" applyAlignment="1" pivotButton="0" quotePrefix="0" xfId="0">
      <alignment horizontal="right" vertical="center"/>
    </xf>
    <xf numFmtId="3" fontId="4" fillId="14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3" fontId="8" fillId="11" borderId="1" applyAlignment="1" pivotButton="0" quotePrefix="0" xfId="0">
      <alignment horizontal="right" vertical="center"/>
    </xf>
    <xf numFmtId="3" fontId="13" fillId="14" borderId="1" applyAlignment="1" pivotButton="0" quotePrefix="0" xfId="0">
      <alignment horizontal="right" vertical="center"/>
    </xf>
    <xf numFmtId="164" fontId="13" fillId="10" borderId="1" applyAlignment="1" pivotButton="0" quotePrefix="0" xfId="0">
      <alignment horizontal="right" vertical="center"/>
    </xf>
    <xf numFmtId="49" fontId="13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right" vertical="center"/>
    </xf>
    <xf numFmtId="0" fontId="8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3" fontId="8" fillId="15" borderId="1" applyAlignment="1" pivotButton="0" quotePrefix="0" xfId="0">
      <alignment horizontal="right" vertical="center"/>
    </xf>
    <xf numFmtId="0" fontId="8" fillId="15" borderId="1" applyAlignment="1" pivotButton="0" quotePrefix="0" xfId="0">
      <alignment horizontal="right" vertical="center"/>
    </xf>
    <xf numFmtId="0" fontId="14" fillId="3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3" fontId="6" fillId="10" borderId="1" applyAlignment="1" pivotButton="0" quotePrefix="0" xfId="0">
      <alignment horizontal="right" vertical="center"/>
    </xf>
    <xf numFmtId="165" fontId="8" fillId="1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3" fontId="6" fillId="11" borderId="1" applyAlignment="1" pivotButton="0" quotePrefix="0" xfId="0">
      <alignment horizontal="center" vertical="center"/>
    </xf>
    <xf numFmtId="3" fontId="8" fillId="11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right" vertical="center"/>
    </xf>
    <xf numFmtId="166" fontId="6" fillId="11" borderId="1" applyAlignment="1" pivotButton="0" quotePrefix="0" xfId="0">
      <alignment horizontal="right" vertical="center"/>
    </xf>
    <xf numFmtId="166" fontId="13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0" fontId="4" fillId="15" borderId="1" applyAlignment="1" pivotButton="0" quotePrefix="0" xfId="0">
      <alignment horizontal="left" vertical="center"/>
    </xf>
    <xf numFmtId="3" fontId="6" fillId="15" borderId="1" applyAlignment="1" pivotButton="0" quotePrefix="0" xfId="0">
      <alignment horizontal="center" vertical="center"/>
    </xf>
    <xf numFmtId="3" fontId="8" fillId="15" borderId="1" applyAlignment="1" pivotButton="0" quotePrefix="0" xfId="0">
      <alignment horizontal="center" vertical="center"/>
    </xf>
    <xf numFmtId="3" fontId="6" fillId="15" borderId="1" applyAlignment="1" pivotButton="0" quotePrefix="0" xfId="0">
      <alignment horizontal="right" vertical="center"/>
    </xf>
    <xf numFmtId="166" fontId="6" fillId="15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6" borderId="1" applyAlignment="1" pivotButton="0" quotePrefix="0" xfId="0">
      <alignment horizontal="left" vertical="center"/>
    </xf>
    <xf numFmtId="3" fontId="1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3" fontId="1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center" vertical="center"/>
    </xf>
    <xf numFmtId="3" fontId="14" fillId="2" borderId="1" applyAlignment="1" pivotButton="0" quotePrefix="0" xfId="0">
      <alignment horizontal="right" vertical="center"/>
    </xf>
    <xf numFmtId="164" fontId="14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17" fillId="6" borderId="1" applyAlignment="1" pivotButton="0" quotePrefix="0" xfId="0">
      <alignment horizontal="center" vertical="center"/>
    </xf>
    <xf numFmtId="164" fontId="17" fillId="8" borderId="1" applyAlignment="1" pivotButton="0" quotePrefix="0" xfId="0">
      <alignment horizontal="center" vertical="center"/>
    </xf>
    <xf numFmtId="164" fontId="17" fillId="10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166" fontId="8" fillId="15" borderId="1" applyAlignment="1" pivotButton="0" quotePrefix="0" xfId="0">
      <alignment horizontal="right" vertical="center"/>
    </xf>
    <xf numFmtId="167" fontId="8" fillId="15" borderId="1" applyAlignment="1" pivotButton="0" quotePrefix="0" xfId="0">
      <alignment horizontal="right" vertical="center"/>
    </xf>
    <xf numFmtId="166" fontId="8" fillId="11" borderId="1" applyAlignment="1" pivotButton="0" quotePrefix="0" xfId="0">
      <alignment horizontal="right" vertical="center"/>
    </xf>
    <xf numFmtId="167" fontId="8" fillId="11" borderId="1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b val="1"/>
        <color rgb="00145A32"/>
      </font>
      <fill>
        <patternFill patternType="solid">
          <fgColor rgb="00C8F7D4"/>
        </patternFill>
      </fill>
    </dxf>
    <dxf>
      <font>
        <b val="1"/>
        <color rgb="001A6B2E"/>
      </font>
      <fill>
        <patternFill patternType="solid">
          <fgColor rgb="00D4EDDA"/>
        </patternFill>
      </fill>
    </dxf>
    <dxf>
      <font>
        <b val="1"/>
        <color rgb="00856404"/>
      </font>
      <fill>
        <patternFill patternType="solid">
          <fgColor rgb="00FFF3CD"/>
        </patternFill>
      </fill>
    </dxf>
    <dxf>
      <font>
        <b val="1"/>
        <color rgb="008B0000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案件別 売上・粗利（2026年6月）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'⑥採算ダッシュボード'!C3</f>
            </strRef>
          </tx>
          <spPr>
            <a:solidFill xmlns:a="http://schemas.openxmlformats.org/drawingml/2006/main">
              <a:srgbClr val="1A5FC8"/>
            </a:solidFill>
            <a:ln xmlns:a="http://schemas.openxmlformats.org/drawingml/2006/main">
              <a:prstDash val="solid"/>
            </a:ln>
          </spPr>
          <cat>
            <numRef>
              <f>'⑥採算ダッシュボード'!$B$4:$B$6</f>
            </numRef>
          </cat>
          <val>
            <numRef>
              <f>'⑥採算ダッシュボード'!$C$4:$C$6</f>
            </numRef>
          </val>
        </ser>
        <ser>
          <idx val="1"/>
          <order val="1"/>
          <tx>
            <strRef>
              <f>'⑥採算ダッシュボード'!E3</f>
            </strRef>
          </tx>
          <spPr>
            <a:solidFill xmlns:a="http://schemas.openxmlformats.org/drawingml/2006/main">
              <a:srgbClr val="2EB872"/>
            </a:solidFill>
            <a:ln xmlns:a="http://schemas.openxmlformats.org/drawingml/2006/main">
              <a:prstDash val="solid"/>
            </a:ln>
          </spPr>
          <cat>
            <numRef>
              <f>'⑥採算ダッシュボード'!$B$4:$B$6</f>
            </numRef>
          </cat>
          <val>
            <numRef>
              <f>'⑥採算ダッシュボード'!$E$4:$E$6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D2B5E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8" customWidth="1" min="4" max="4"/>
    <col width="16" customWidth="1" min="5" max="5"/>
    <col width="12" customWidth="1" min="6" max="6"/>
    <col width="10" customWidth="1" min="7" max="7"/>
    <col width="12" customWidth="1" min="8" max="8"/>
    <col width="14" customWidth="1" min="9" max="9"/>
    <col width="16" customWidth="1" min="10" max="10"/>
    <col width="12" customWidth="1" min="11" max="11"/>
    <col width="18" customWidth="1" min="12" max="12"/>
  </cols>
  <sheetData>
    <row r="1" ht="36" customHeight="1">
      <c r="A1" s="1" t="inlineStr">
        <is>
          <t>民間廃棄物収集受託案件　案件マスタ</t>
        </is>
      </c>
    </row>
    <row r="2" ht="22" customHeight="1">
      <c r="A2" s="2" t="inlineStr">
        <is>
          <t>案件情報</t>
        </is>
      </c>
      <c r="G2" s="3" t="inlineStr">
        <is>
          <t>規模・拠点</t>
        </is>
      </c>
      <c r="J2" s="4" t="inlineStr">
        <is>
          <t>月次売上目標（入力欄）</t>
        </is>
      </c>
    </row>
    <row r="3" ht="30" customHeight="1">
      <c r="A3" s="5" t="inlineStr">
        <is>
          <t>案件ID</t>
        </is>
      </c>
      <c r="B3" s="5" t="inlineStr">
        <is>
          <t>案件名</t>
        </is>
      </c>
      <c r="C3" s="5" t="inlineStr">
        <is>
          <t>カテゴリ</t>
        </is>
      </c>
      <c r="D3" s="5" t="inlineStr">
        <is>
          <t>担当拠点プレフィックス</t>
        </is>
      </c>
      <c r="E3" s="5" t="inlineStr">
        <is>
          <t>担当ドライバー数</t>
        </is>
      </c>
      <c r="F3" s="5" t="inlineStr">
        <is>
          <t>ステータス</t>
        </is>
      </c>
      <c r="G3" s="5" t="inlineStr">
        <is>
          <t>拠点数</t>
        </is>
      </c>
      <c r="H3" s="5" t="inlineStr">
        <is>
          <t>週間回収量
(kg)</t>
        </is>
      </c>
      <c r="I3" s="5" t="inlineStr">
        <is>
          <t>月間回収量
(kg推算)</t>
        </is>
      </c>
      <c r="J3" s="5" t="inlineStr">
        <is>
          <t>月次売上
目標(円)</t>
        </is>
      </c>
      <c r="K3" s="5" t="inlineStr">
        <is>
          <t>km単価
(円/km)</t>
        </is>
      </c>
      <c r="L3" s="5" t="inlineStr">
        <is>
          <t>備考</t>
        </is>
      </c>
    </row>
    <row r="4" ht="30" customHeight="1">
      <c r="A4" s="6" t="inlineStr">
        <is>
          <t>C001</t>
        </is>
      </c>
      <c r="B4" s="7" t="inlineStr">
        <is>
          <t>東急グループ案件</t>
        </is>
      </c>
      <c r="C4" s="8" t="inlineStr">
        <is>
          <t>東急グループ</t>
        </is>
      </c>
      <c r="D4" s="9" t="inlineStr">
        <is>
          <t>TK-</t>
        </is>
      </c>
      <c r="E4" s="10" t="n">
        <v>7</v>
      </c>
      <c r="F4" s="9" t="inlineStr">
        <is>
          <t>稼働中</t>
        </is>
      </c>
      <c r="G4" s="11" t="n">
        <v>93</v>
      </c>
      <c r="H4" s="12" t="n">
        <v>6312</v>
      </c>
      <c r="I4" s="12">
        <f>H4*4.33</f>
        <v/>
      </c>
      <c r="J4" s="13" t="n">
        <v>0</v>
      </c>
      <c r="K4" s="13" t="n">
        <v>0</v>
      </c>
      <c r="L4" s="14" t="inlineStr"/>
    </row>
    <row r="5" ht="30" customHeight="1">
      <c r="A5" s="15" t="inlineStr">
        <is>
          <t>C002</t>
        </is>
      </c>
      <c r="B5" s="16" t="inlineStr">
        <is>
          <t>都営地下鉄案件</t>
        </is>
      </c>
      <c r="C5" s="17" t="inlineStr">
        <is>
          <t>都営地下鉄</t>
        </is>
      </c>
      <c r="D5" s="18" t="inlineStr">
        <is>
          <t>MT-</t>
        </is>
      </c>
      <c r="E5" s="19" t="n">
        <v>6</v>
      </c>
      <c r="F5" s="18" t="inlineStr">
        <is>
          <t>稼働中</t>
        </is>
      </c>
      <c r="G5" s="20" t="n">
        <v>110</v>
      </c>
      <c r="H5" s="21" t="n">
        <v>8930</v>
      </c>
      <c r="I5" s="21">
        <f>H5*4.33</f>
        <v/>
      </c>
      <c r="J5" s="13" t="n">
        <v>0</v>
      </c>
      <c r="K5" s="13" t="n">
        <v>0</v>
      </c>
      <c r="L5" s="22" t="inlineStr"/>
    </row>
    <row r="6" ht="30" customHeight="1">
      <c r="A6" s="23" t="inlineStr">
        <is>
          <t>C003</t>
        </is>
      </c>
      <c r="B6" s="24" t="inlineStr">
        <is>
          <t>一般事業者案件</t>
        </is>
      </c>
      <c r="C6" s="25" t="inlineStr">
        <is>
          <t>一般事業者</t>
        </is>
      </c>
      <c r="D6" s="26" t="inlineStr">
        <is>
          <t>GN-</t>
        </is>
      </c>
      <c r="E6" s="27" t="n">
        <v>13</v>
      </c>
      <c r="F6" s="26" t="inlineStr">
        <is>
          <t>稼働中</t>
        </is>
      </c>
      <c r="G6" s="28" t="n">
        <v>302</v>
      </c>
      <c r="H6" s="29" t="n">
        <v>37561</v>
      </c>
      <c r="I6" s="29">
        <f>H6*4.33</f>
        <v/>
      </c>
      <c r="J6" s="13" t="n">
        <v>0</v>
      </c>
      <c r="K6" s="13" t="n">
        <v>0</v>
      </c>
      <c r="L6" s="30" t="inlineStr"/>
    </row>
    <row r="7" ht="26" customHeight="1">
      <c r="A7" s="31" t="inlineStr">
        <is>
          <t>合　計</t>
        </is>
      </c>
      <c r="B7" s="32" t="inlineStr"/>
      <c r="C7" s="32" t="inlineStr"/>
      <c r="D7" s="32" t="inlineStr"/>
      <c r="E7" s="32" t="inlineStr"/>
      <c r="G7" s="33">
        <f>SUM(G4:G6)</f>
        <v/>
      </c>
      <c r="H7" s="34">
        <f>SUM(H4:H6)</f>
        <v/>
      </c>
      <c r="I7" s="34">
        <f>SUM(I4:I6)</f>
        <v/>
      </c>
      <c r="J7" s="34">
        <f>SUM(J4:J6)</f>
        <v/>
      </c>
      <c r="K7" s="32" t="inlineStr"/>
      <c r="L7" s="32" t="inlineStr"/>
    </row>
    <row r="9" ht="18" customHeight="1">
      <c r="A9" s="35" t="inlineStr">
        <is>
          <t>※ 月次売上目標・km単価はJ列・K列に入力してください。月次採算入力シートと連動します。</t>
        </is>
      </c>
    </row>
  </sheetData>
  <mergeCells count="5">
    <mergeCell ref="A2:F2"/>
    <mergeCell ref="G2:I2"/>
    <mergeCell ref="J2:L2"/>
    <mergeCell ref="A1:L1"/>
    <mergeCell ref="A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A8"/>
    <outlinePr summaryBelow="1" summaryRight="1"/>
    <pageSetUpPr/>
  </sheetPr>
  <dimension ref="A1:K5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30" customWidth="1" min="4" max="4"/>
    <col width="14" customWidth="1" min="5" max="5"/>
    <col width="20" customWidth="1" min="6" max="6"/>
    <col width="22" customWidth="1" min="7" max="7"/>
    <col width="12" customWidth="1" min="8" max="8"/>
    <col width="14" customWidth="1" min="9" max="9"/>
    <col width="12" customWidth="1" min="10" max="10"/>
    <col width="14" customWidth="1" min="11" max="11"/>
  </cols>
  <sheetData>
    <row r="1" ht="36" customHeight="1">
      <c r="A1" s="1" t="inlineStr">
        <is>
          <t>拠点マスター（505拠点）　※自動取込</t>
        </is>
      </c>
    </row>
    <row r="2" ht="22" customHeight="1">
      <c r="A2" s="2" t="inlineStr">
        <is>
          <t>拠点基本情報</t>
        </is>
      </c>
      <c r="I2" s="4" t="inlineStr">
        <is>
          <t>採算参考値（入力欄）</t>
        </is>
      </c>
    </row>
    <row r="3" ht="30" customHeight="1">
      <c r="A3" s="5" t="inlineStr">
        <is>
          <t>拠点コード</t>
        </is>
      </c>
      <c r="B3" s="5" t="inlineStr">
        <is>
          <t>拠点名</t>
        </is>
      </c>
      <c r="C3" s="5" t="inlineStr">
        <is>
          <t>カテゴリ</t>
        </is>
      </c>
      <c r="D3" s="5" t="inlineStr">
        <is>
          <t>住所</t>
        </is>
      </c>
      <c r="E3" s="5" t="inlineStr">
        <is>
          <t>回収曜日</t>
        </is>
      </c>
      <c r="F3" s="5" t="inlineStr">
        <is>
          <t>担当ドライバー</t>
        </is>
      </c>
      <c r="G3" s="5" t="inlineStr">
        <is>
          <t>廃棄物種別</t>
        </is>
      </c>
      <c r="H3" s="5" t="inlineStr">
        <is>
          <t>週間回収量
(kg)</t>
        </is>
      </c>
      <c r="I3" s="5" t="inlineStr">
        <is>
          <t>月間回収量
(kg推算)</t>
        </is>
      </c>
      <c r="J3" s="5" t="inlineStr">
        <is>
          <t>収集単価
(円/kg)</t>
        </is>
      </c>
      <c r="K3" s="5" t="inlineStr">
        <is>
          <t>月間収益
目安(円)</t>
        </is>
      </c>
    </row>
    <row r="4" ht="18" customHeight="1">
      <c r="A4" s="36" t="inlineStr">
        <is>
          <t>TK-001</t>
        </is>
      </c>
      <c r="B4" s="37" t="inlineStr">
        <is>
          <t>TOKS 不動前駅</t>
        </is>
      </c>
      <c r="C4" s="38" t="inlineStr">
        <is>
          <t>東急グループ</t>
        </is>
      </c>
      <c r="D4" s="39" t="inlineStr">
        <is>
          <t>東京都品川区西五反田５－１２－１</t>
        </is>
      </c>
      <c r="E4" s="40" t="inlineStr">
        <is>
          <t>金</t>
        </is>
      </c>
      <c r="F4" s="39" t="inlineStr">
        <is>
          <t>中條</t>
        </is>
      </c>
      <c r="G4" s="39" t="inlineStr">
        <is>
          <t>不燃物</t>
        </is>
      </c>
      <c r="H4" s="41" t="n">
        <v>5</v>
      </c>
      <c r="I4" s="42">
        <f>ROUND(H4*4.33,0)</f>
        <v/>
      </c>
      <c r="J4" s="43" t="n">
        <v>0</v>
      </c>
      <c r="K4" s="44">
        <f>IF(J4&gt;0,I4*J4,"")</f>
        <v/>
      </c>
    </row>
    <row r="5" ht="18" customHeight="1">
      <c r="A5" s="36" t="inlineStr">
        <is>
          <t>TK-002</t>
        </is>
      </c>
      <c r="B5" s="37" t="inlineStr">
        <is>
          <t>TOKS　中目黒駅</t>
        </is>
      </c>
      <c r="C5" s="38" t="inlineStr">
        <is>
          <t>東急グループ</t>
        </is>
      </c>
      <c r="D5" s="39" t="inlineStr">
        <is>
          <t>東京都目黒区上目黒３－４－１</t>
        </is>
      </c>
      <c r="E5" s="40" t="inlineStr">
        <is>
          <t>土・月・木・水・火・金</t>
        </is>
      </c>
      <c r="F5" s="39" t="inlineStr">
        <is>
          <t>千葉・長谷川</t>
        </is>
      </c>
      <c r="G5" s="39" t="inlineStr">
        <is>
          <t>一般廃・産廃</t>
        </is>
      </c>
      <c r="H5" s="41" t="n">
        <v>98</v>
      </c>
      <c r="I5" s="42">
        <f>ROUND(H5*4.33,0)</f>
        <v/>
      </c>
      <c r="J5" s="43" t="n">
        <v>0</v>
      </c>
      <c r="K5" s="44">
        <f>IF(J5&gt;0,I5*J5,"")</f>
        <v/>
      </c>
    </row>
    <row r="6" ht="18" customHeight="1">
      <c r="A6" s="36" t="inlineStr">
        <is>
          <t>TK-003</t>
        </is>
      </c>
      <c r="B6" s="37" t="inlineStr">
        <is>
          <t>TOKS　二子玉川駅</t>
        </is>
      </c>
      <c r="C6" s="38" t="inlineStr">
        <is>
          <t>東急グループ</t>
        </is>
      </c>
      <c r="D6" s="39" t="inlineStr">
        <is>
          <t>東京都世田谷区玉川２－２２－１３</t>
        </is>
      </c>
      <c r="E6" s="40" t="inlineStr">
        <is>
          <t>・日・木・火</t>
        </is>
      </c>
      <c r="F6" s="39" t="inlineStr">
        <is>
          <t>中條・千葉・長野</t>
        </is>
      </c>
      <c r="G6" s="39" t="inlineStr">
        <is>
          <t>一般廃・産廃</t>
        </is>
      </c>
      <c r="H6" s="41" t="n">
        <v>16</v>
      </c>
      <c r="I6" s="42">
        <f>ROUND(H6*4.33,0)</f>
        <v/>
      </c>
      <c r="J6" s="43" t="n">
        <v>0</v>
      </c>
      <c r="K6" s="44">
        <f>IF(J6&gt;0,I6*J6,"")</f>
        <v/>
      </c>
    </row>
    <row r="7" ht="18" customHeight="1">
      <c r="A7" s="36" t="inlineStr">
        <is>
          <t>TK-004</t>
        </is>
      </c>
      <c r="B7" s="37" t="inlineStr">
        <is>
          <t>TOKS　五反田駅店</t>
        </is>
      </c>
      <c r="C7" s="38" t="inlineStr">
        <is>
          <t>東急グループ</t>
        </is>
      </c>
      <c r="D7" s="39" t="inlineStr">
        <is>
          <t>東京都品川区東五反田２－１－１</t>
        </is>
      </c>
      <c r="E7" s="40" t="inlineStr">
        <is>
          <t>木・火・金</t>
        </is>
      </c>
      <c r="F7" s="39" t="inlineStr">
        <is>
          <t>中條</t>
        </is>
      </c>
      <c r="G7" s="39" t="inlineStr">
        <is>
          <t>不燃物・瓶缶・資源</t>
        </is>
      </c>
      <c r="H7" s="41" t="n">
        <v>10</v>
      </c>
      <c r="I7" s="42">
        <f>ROUND(H7*4.33,0)</f>
        <v/>
      </c>
      <c r="J7" s="43" t="n">
        <v>0</v>
      </c>
      <c r="K7" s="44">
        <f>IF(J7&gt;0,I7*J7,"")</f>
        <v/>
      </c>
    </row>
    <row r="8" ht="18" customHeight="1">
      <c r="A8" s="36" t="inlineStr">
        <is>
          <t>TK-005</t>
        </is>
      </c>
      <c r="B8" s="37" t="inlineStr">
        <is>
          <t>TOKS　代官山駅</t>
        </is>
      </c>
      <c r="C8" s="38" t="inlineStr">
        <is>
          <t>東急グループ</t>
        </is>
      </c>
      <c r="D8" s="39" t="inlineStr">
        <is>
          <t>東京都渋谷区代官山町１９－１</t>
        </is>
      </c>
      <c r="E8" s="40" t="inlineStr">
        <is>
          <t>土</t>
        </is>
      </c>
      <c r="F8" s="39" t="inlineStr">
        <is>
          <t>長野</t>
        </is>
      </c>
      <c r="G8" s="39" t="inlineStr">
        <is>
          <t>産廃</t>
        </is>
      </c>
      <c r="H8" s="41" t="n">
        <v>10</v>
      </c>
      <c r="I8" s="42">
        <f>ROUND(H8*4.33,0)</f>
        <v/>
      </c>
      <c r="J8" s="43" t="n">
        <v>0</v>
      </c>
      <c r="K8" s="44">
        <f>IF(J8&gt;0,I8*J8,"")</f>
        <v/>
      </c>
    </row>
    <row r="9" ht="18" customHeight="1">
      <c r="A9" s="36" t="inlineStr">
        <is>
          <t>TK-006</t>
        </is>
      </c>
      <c r="B9" s="37" t="inlineStr">
        <is>
          <t>TOKS　学芸大学駅</t>
        </is>
      </c>
      <c r="C9" s="38" t="inlineStr">
        <is>
          <t>東急グループ</t>
        </is>
      </c>
      <c r="D9" s="39" t="inlineStr">
        <is>
          <t>東京都目黒区鷹番３－２－１</t>
        </is>
      </c>
      <c r="E9" s="40" t="inlineStr">
        <is>
          <t>・土・月・木・水・火・金</t>
        </is>
      </c>
      <c r="F9" s="39" t="inlineStr">
        <is>
          <t>千葉・長谷川</t>
        </is>
      </c>
      <c r="G9" s="39" t="inlineStr">
        <is>
          <t>一般廃・産廃</t>
        </is>
      </c>
      <c r="H9" s="41" t="n">
        <v>56</v>
      </c>
      <c r="I9" s="42">
        <f>ROUND(H9*4.33,0)</f>
        <v/>
      </c>
      <c r="J9" s="43" t="n">
        <v>0</v>
      </c>
      <c r="K9" s="44">
        <f>IF(J9&gt;0,I9*J9,"")</f>
        <v/>
      </c>
    </row>
    <row r="10" ht="18" customHeight="1">
      <c r="A10" s="36" t="inlineStr">
        <is>
          <t>TK-007</t>
        </is>
      </c>
      <c r="B10" s="37" t="inlineStr">
        <is>
          <t>TOKS　用賀駅</t>
        </is>
      </c>
      <c r="C10" s="38" t="inlineStr">
        <is>
          <t>東急グループ</t>
        </is>
      </c>
      <c r="D10" s="39" t="inlineStr">
        <is>
          <t>東京都世田谷区用賀２－３９</t>
        </is>
      </c>
      <c r="E10" s="40" t="inlineStr">
        <is>
          <t>木</t>
        </is>
      </c>
      <c r="F10" s="39" t="inlineStr">
        <is>
          <t>長野</t>
        </is>
      </c>
      <c r="G10" s="39" t="inlineStr">
        <is>
          <t>産廃</t>
        </is>
      </c>
      <c r="H10" s="41" t="n">
        <v>20</v>
      </c>
      <c r="I10" s="42">
        <f>ROUND(H10*4.33,0)</f>
        <v/>
      </c>
      <c r="J10" s="43" t="n">
        <v>0</v>
      </c>
      <c r="K10" s="44">
        <f>IF(J10&gt;0,I10*J10,"")</f>
        <v/>
      </c>
    </row>
    <row r="11" ht="18" customHeight="1">
      <c r="A11" s="36" t="inlineStr">
        <is>
          <t>TK-008</t>
        </is>
      </c>
      <c r="B11" s="37" t="inlineStr">
        <is>
          <t>TOKS　田園都市渋谷駅</t>
        </is>
      </c>
      <c r="C11" s="38" t="inlineStr">
        <is>
          <t>東急グループ</t>
        </is>
      </c>
      <c r="D11" s="39" t="inlineStr">
        <is>
          <t>東京都渋谷区道玄坂２－１－１</t>
        </is>
      </c>
      <c r="E11" s="40" t="inlineStr">
        <is>
          <t>土・月・水・金</t>
        </is>
      </c>
      <c r="F11" s="39" t="inlineStr">
        <is>
          <t>和田・荻野・長野</t>
        </is>
      </c>
      <c r="G11" s="39" t="inlineStr">
        <is>
          <t>段ボール・産廃</t>
        </is>
      </c>
      <c r="H11" s="41" t="n">
        <v>14</v>
      </c>
      <c r="I11" s="42">
        <f>ROUND(H11*4.33,0)</f>
        <v/>
      </c>
      <c r="J11" s="43" t="n">
        <v>0</v>
      </c>
      <c r="K11" s="44">
        <f>IF(J11&gt;0,I11*J11,"")</f>
        <v/>
      </c>
    </row>
    <row r="12" ht="18" customHeight="1">
      <c r="A12" s="36" t="inlineStr">
        <is>
          <t>TK-009</t>
        </is>
      </c>
      <c r="B12" s="37" t="inlineStr">
        <is>
          <t>TOKS　目黒駅</t>
        </is>
      </c>
      <c r="C12" s="38" t="inlineStr">
        <is>
          <t>東急グループ</t>
        </is>
      </c>
      <c r="D12" s="39" t="inlineStr">
        <is>
          <t>東京都品川区上大崎４－２－１</t>
        </is>
      </c>
      <c r="E12" s="40" t="inlineStr">
        <is>
          <t>水・金</t>
        </is>
      </c>
      <c r="F12" s="39" t="inlineStr">
        <is>
          <t>中條・千葉</t>
        </is>
      </c>
      <c r="G12" s="39" t="inlineStr">
        <is>
          <t>瓶缶・産廃</t>
        </is>
      </c>
      <c r="H12" s="41" t="n">
        <v>3</v>
      </c>
      <c r="I12" s="42">
        <f>ROUND(H12*4.33,0)</f>
        <v/>
      </c>
      <c r="J12" s="43" t="n">
        <v>0</v>
      </c>
      <c r="K12" s="44">
        <f>IF(J12&gt;0,I12*J12,"")</f>
        <v/>
      </c>
    </row>
    <row r="13" ht="18" customHeight="1">
      <c r="A13" s="36" t="inlineStr">
        <is>
          <t>TK-010</t>
        </is>
      </c>
      <c r="B13" s="37" t="inlineStr">
        <is>
          <t>TOKS　蒲田改札口店</t>
        </is>
      </c>
      <c r="C13" s="38" t="inlineStr">
        <is>
          <t>東急グループ</t>
        </is>
      </c>
      <c r="D13" s="39" t="inlineStr">
        <is>
          <t>東京都大田区西蒲田７－６９－１</t>
        </is>
      </c>
      <c r="E13" s="40" t="inlineStr">
        <is>
          <t>水</t>
        </is>
      </c>
      <c r="F13" s="39" t="inlineStr">
        <is>
          <t>千葉</t>
        </is>
      </c>
      <c r="G13" s="39" t="inlineStr">
        <is>
          <t>産廃</t>
        </is>
      </c>
      <c r="H13" s="41" t="n">
        <v>20</v>
      </c>
      <c r="I13" s="42">
        <f>ROUND(H13*4.33,0)</f>
        <v/>
      </c>
      <c r="J13" s="43" t="n">
        <v>0</v>
      </c>
      <c r="K13" s="44">
        <f>IF(J13&gt;0,I13*J13,"")</f>
        <v/>
      </c>
    </row>
    <row r="14" ht="18" customHeight="1">
      <c r="A14" s="36" t="inlineStr">
        <is>
          <t>TK-011</t>
        </is>
      </c>
      <c r="B14" s="37" t="inlineStr">
        <is>
          <t>ローソン＋TOKS　三軒茶屋店</t>
        </is>
      </c>
      <c r="C14" s="38" t="inlineStr">
        <is>
          <t>東急グループ</t>
        </is>
      </c>
      <c r="D14" s="39" t="inlineStr">
        <is>
          <t>東京都世田谷区太子堂２－１５</t>
        </is>
      </c>
      <c r="E14" s="40" t="inlineStr"/>
      <c r="F14" s="39" t="inlineStr">
        <is>
          <t>千葉</t>
        </is>
      </c>
      <c r="G14" s="39" t="inlineStr">
        <is>
          <t>産廃</t>
        </is>
      </c>
      <c r="H14" s="41" t="n">
        <v>40</v>
      </c>
      <c r="I14" s="42">
        <f>ROUND(H14*4.33,0)</f>
        <v/>
      </c>
      <c r="J14" s="43" t="n">
        <v>0</v>
      </c>
      <c r="K14" s="44">
        <f>IF(J14&gt;0,I14*J14,"")</f>
        <v/>
      </c>
    </row>
    <row r="15" ht="18" customHeight="1">
      <c r="A15" s="36" t="inlineStr">
        <is>
          <t>TK-012</t>
        </is>
      </c>
      <c r="B15" s="37" t="inlineStr">
        <is>
          <t>ローソン＋TOKS　多摩川駅店</t>
        </is>
      </c>
      <c r="C15" s="38" t="inlineStr">
        <is>
          <t>東急グループ</t>
        </is>
      </c>
      <c r="D15" s="39" t="inlineStr">
        <is>
          <t>東京都大田区田園調布１－５３－８</t>
        </is>
      </c>
      <c r="E15" s="40" t="inlineStr">
        <is>
          <t>土・木</t>
        </is>
      </c>
      <c r="F15" s="39" t="inlineStr">
        <is>
          <t>和田・荻野・長野</t>
        </is>
      </c>
      <c r="G15" s="39" t="inlineStr">
        <is>
          <t>段ボール・産廃</t>
        </is>
      </c>
      <c r="H15" s="41" t="n">
        <v>120</v>
      </c>
      <c r="I15" s="42">
        <f>ROUND(H15*4.33,0)</f>
        <v/>
      </c>
      <c r="J15" s="43" t="n">
        <v>0</v>
      </c>
      <c r="K15" s="44">
        <f>IF(J15&gt;0,I15*J15,"")</f>
        <v/>
      </c>
    </row>
    <row r="16" ht="18" customHeight="1">
      <c r="A16" s="36" t="inlineStr">
        <is>
          <t>TK-013</t>
        </is>
      </c>
      <c r="B16" s="37" t="inlineStr">
        <is>
          <t>ローソン＋TOKS　大井町駅</t>
        </is>
      </c>
      <c r="C16" s="38" t="inlineStr">
        <is>
          <t>東急グループ</t>
        </is>
      </c>
      <c r="D16" s="39" t="inlineStr">
        <is>
          <t>東京都品川区大井１－１－１</t>
        </is>
      </c>
      <c r="E16" s="40" t="inlineStr">
        <is>
          <t>月・木・水・金</t>
        </is>
      </c>
      <c r="F16" s="39" t="inlineStr">
        <is>
          <t>中條・千葉</t>
        </is>
      </c>
      <c r="G16" s="39" t="inlineStr">
        <is>
          <t>段ボール・産廃</t>
        </is>
      </c>
      <c r="H16" s="41" t="n">
        <v>109</v>
      </c>
      <c r="I16" s="42">
        <f>ROUND(H16*4.33,0)</f>
        <v/>
      </c>
      <c r="J16" s="43" t="n">
        <v>0</v>
      </c>
      <c r="K16" s="44">
        <f>IF(J16&gt;0,I16*J16,"")</f>
        <v/>
      </c>
    </row>
    <row r="17" ht="18" customHeight="1">
      <c r="A17" s="36" t="inlineStr">
        <is>
          <t>TK-014</t>
        </is>
      </c>
      <c r="B17" s="37" t="inlineStr">
        <is>
          <t>ローソン＋TOKS　田園調布駅</t>
        </is>
      </c>
      <c r="C17" s="38" t="inlineStr">
        <is>
          <t>東急グループ</t>
        </is>
      </c>
      <c r="D17" s="39" t="inlineStr">
        <is>
          <t>東京都大田区田園調布３－２５－１８</t>
        </is>
      </c>
      <c r="E17" s="40" t="inlineStr">
        <is>
          <t>・木・火</t>
        </is>
      </c>
      <c r="F17" s="39" t="inlineStr">
        <is>
          <t>千葉・長野</t>
        </is>
      </c>
      <c r="G17" s="39" t="inlineStr">
        <is>
          <t>産廃</t>
        </is>
      </c>
      <c r="H17" s="41" t="n">
        <v>0</v>
      </c>
      <c r="I17" s="42" t="n">
        <v>0</v>
      </c>
      <c r="J17" s="43" t="n">
        <v>0</v>
      </c>
      <c r="K17" s="44">
        <f>IF(J17&gt;0,I17*J17,"")</f>
        <v/>
      </c>
    </row>
    <row r="18" ht="18" customHeight="1">
      <c r="A18" s="36" t="inlineStr">
        <is>
          <t>TK-015</t>
        </is>
      </c>
      <c r="B18" s="37" t="inlineStr">
        <is>
          <t>ローソン＋TOKS　石川台店</t>
        </is>
      </c>
      <c r="C18" s="38" t="inlineStr">
        <is>
          <t>東急グループ</t>
        </is>
      </c>
      <c r="D18" s="39" t="inlineStr">
        <is>
          <t>東京都大田区東雪谷２－２３－１</t>
        </is>
      </c>
      <c r="E18" s="40" t="inlineStr">
        <is>
          <t>・土・月・木・水・火・金</t>
        </is>
      </c>
      <c r="F18" s="39" t="inlineStr">
        <is>
          <t>中條・千葉・藤内</t>
        </is>
      </c>
      <c r="G18" s="39" t="inlineStr">
        <is>
          <t>段ボール・産廃・資源</t>
        </is>
      </c>
      <c r="H18" s="41" t="n">
        <v>180</v>
      </c>
      <c r="I18" s="42">
        <f>ROUND(H18*4.33,0)</f>
        <v/>
      </c>
      <c r="J18" s="43" t="n">
        <v>0</v>
      </c>
      <c r="K18" s="44">
        <f>IF(J18&gt;0,I18*J18,"")</f>
        <v/>
      </c>
    </row>
    <row r="19" ht="18" customHeight="1">
      <c r="A19" s="36" t="inlineStr">
        <is>
          <t>TK-016</t>
        </is>
      </c>
      <c r="B19" s="37" t="inlineStr">
        <is>
          <t>ローソン＋TOKS　自由が丘駅</t>
        </is>
      </c>
      <c r="C19" s="38" t="inlineStr">
        <is>
          <t>東急グループ</t>
        </is>
      </c>
      <c r="D19" s="39" t="inlineStr">
        <is>
          <t>東京都目黒区自由が丘１－３０－１</t>
        </is>
      </c>
      <c r="E19" s="40" t="inlineStr">
        <is>
          <t>・日・木・火</t>
        </is>
      </c>
      <c r="F19" s="39" t="inlineStr">
        <is>
          <t>中條・千葉</t>
        </is>
      </c>
      <c r="G19" s="39" t="inlineStr">
        <is>
          <t>一般廃・産廃</t>
        </is>
      </c>
      <c r="H19" s="41" t="n">
        <v>53</v>
      </c>
      <c r="I19" s="42">
        <f>ROUND(H19*4.33,0)</f>
        <v/>
      </c>
      <c r="J19" s="43" t="n">
        <v>0</v>
      </c>
      <c r="K19" s="44">
        <f>IF(J19&gt;0,I19*J19,"")</f>
        <v/>
      </c>
    </row>
    <row r="20" ht="18" customHeight="1">
      <c r="A20" s="36" t="inlineStr">
        <is>
          <t>TK-017</t>
        </is>
      </c>
      <c r="B20" s="37" t="inlineStr">
        <is>
          <t>ローソン＋toks 三軒茶屋店</t>
        </is>
      </c>
      <c r="C20" s="38" t="inlineStr">
        <is>
          <t>東急グループ</t>
        </is>
      </c>
      <c r="D20" s="39" t="inlineStr">
        <is>
          <t>東京都世田谷区太子堂２－１５</t>
        </is>
      </c>
      <c r="E20" s="40" t="inlineStr">
        <is>
          <t>土・月・木・火</t>
        </is>
      </c>
      <c r="F20" s="39" t="inlineStr">
        <is>
          <t>中條・和田・荻野・長野</t>
        </is>
      </c>
      <c r="G20" s="39" t="inlineStr">
        <is>
          <t>段ボール・産廃・資源</t>
        </is>
      </c>
      <c r="H20" s="41" t="n">
        <v>85</v>
      </c>
      <c r="I20" s="42">
        <f>ROUND(H20*4.33,0)</f>
        <v/>
      </c>
      <c r="J20" s="43" t="n">
        <v>0</v>
      </c>
      <c r="K20" s="44">
        <f>IF(J20&gt;0,I20*J20,"")</f>
        <v/>
      </c>
    </row>
    <row r="21" ht="18" customHeight="1">
      <c r="A21" s="36" t="inlineStr">
        <is>
          <t>TK-018</t>
        </is>
      </c>
      <c r="B21" s="37" t="inlineStr">
        <is>
          <t>東急ウェルネス本社事務所</t>
        </is>
      </c>
      <c r="C21" s="38" t="inlineStr">
        <is>
          <t>東急グループ</t>
        </is>
      </c>
      <c r="D21" s="39" t="inlineStr">
        <is>
          <t>東京都品川区平塚２－１８－１９</t>
        </is>
      </c>
      <c r="E21" s="40" t="inlineStr">
        <is>
          <t>金</t>
        </is>
      </c>
      <c r="F21" s="39" t="inlineStr">
        <is>
          <t>中條</t>
        </is>
      </c>
      <c r="G21" s="39" t="inlineStr">
        <is>
          <t>瓶缶</t>
        </is>
      </c>
      <c r="H21" s="41" t="n">
        <v>6</v>
      </c>
      <c r="I21" s="42">
        <f>ROUND(H21*4.33,0)</f>
        <v/>
      </c>
      <c r="J21" s="43" t="n">
        <v>0</v>
      </c>
      <c r="K21" s="44">
        <f>IF(J21&gt;0,I21*J21,"")</f>
        <v/>
      </c>
    </row>
    <row r="22" ht="18" customHeight="1">
      <c r="A22" s="36" t="inlineStr">
        <is>
          <t>TK-019</t>
        </is>
      </c>
      <c r="B22" s="37" t="inlineStr">
        <is>
          <t>東急グルメフロント</t>
        </is>
      </c>
      <c r="C22" s="38" t="inlineStr">
        <is>
          <t>東急グループ</t>
        </is>
      </c>
      <c r="D22" s="39" t="inlineStr">
        <is>
          <t>東京都目黒区碑文谷６－７－２２</t>
        </is>
      </c>
      <c r="E22" s="40" t="inlineStr">
        <is>
          <t>土・月・木・水・火・金</t>
        </is>
      </c>
      <c r="F22" s="39" t="inlineStr">
        <is>
          <t>千葉・長谷川</t>
        </is>
      </c>
      <c r="G22" s="39" t="inlineStr">
        <is>
          <t>一般廃・産廃</t>
        </is>
      </c>
      <c r="H22" s="41" t="n">
        <v>230</v>
      </c>
      <c r="I22" s="42">
        <f>ROUND(H22*4.33,0)</f>
        <v/>
      </c>
      <c r="J22" s="43" t="n">
        <v>0</v>
      </c>
      <c r="K22" s="44">
        <f>IF(J22&gt;0,I22*J22,"")</f>
        <v/>
      </c>
    </row>
    <row r="23" ht="18" customHeight="1">
      <c r="A23" s="36" t="inlineStr">
        <is>
          <t>TK-020</t>
        </is>
      </c>
      <c r="B23" s="37" t="inlineStr">
        <is>
          <t>東急ストア　二子玉川駅構内店</t>
        </is>
      </c>
      <c r="C23" s="38" t="inlineStr">
        <is>
          <t>東急グループ</t>
        </is>
      </c>
      <c r="D23" s="39" t="inlineStr">
        <is>
          <t>東京都世田谷区玉川２－２２－１３</t>
        </is>
      </c>
      <c r="E23" s="40" t="inlineStr">
        <is>
          <t>・日・木・火</t>
        </is>
      </c>
      <c r="F23" s="39" t="inlineStr">
        <is>
          <t>中條・千葉・長野</t>
        </is>
      </c>
      <c r="G23" s="39" t="inlineStr">
        <is>
          <t>一般廃・産廃</t>
        </is>
      </c>
      <c r="H23" s="41" t="n">
        <v>22</v>
      </c>
      <c r="I23" s="42">
        <f>ROUND(H23*4.33,0)</f>
        <v/>
      </c>
      <c r="J23" s="43" t="n">
        <v>0</v>
      </c>
      <c r="K23" s="44">
        <f>IF(J23&gt;0,I23*J23,"")</f>
        <v/>
      </c>
    </row>
    <row r="24" ht="18" customHeight="1">
      <c r="A24" s="36" t="inlineStr">
        <is>
          <t>TK-021</t>
        </is>
      </c>
      <c r="B24" s="37" t="inlineStr">
        <is>
          <t>東急ストア　自由が丘駅構内</t>
        </is>
      </c>
      <c r="C24" s="38" t="inlineStr">
        <is>
          <t>東急グループ</t>
        </is>
      </c>
      <c r="D24" s="39" t="inlineStr">
        <is>
          <t>東京都目黒区自由が丘１－３０－１</t>
        </is>
      </c>
      <c r="E24" s="40" t="inlineStr">
        <is>
          <t>・木・火</t>
        </is>
      </c>
      <c r="F24" s="39" t="inlineStr">
        <is>
          <t>千葉</t>
        </is>
      </c>
      <c r="G24" s="39" t="inlineStr">
        <is>
          <t>産廃</t>
        </is>
      </c>
      <c r="H24" s="41" t="n">
        <v>18</v>
      </c>
      <c r="I24" s="42">
        <f>ROUND(H24*4.33,0)</f>
        <v/>
      </c>
      <c r="J24" s="43" t="n">
        <v>0</v>
      </c>
      <c r="K24" s="44">
        <f>IF(J24&gt;0,I24*J24,"")</f>
        <v/>
      </c>
    </row>
    <row r="25" ht="18" customHeight="1">
      <c r="A25" s="36" t="inlineStr">
        <is>
          <t>TK-022</t>
        </is>
      </c>
      <c r="B25" s="37" t="inlineStr">
        <is>
          <t>東急プロパティマネジメントサポートセンター</t>
        </is>
      </c>
      <c r="C25" s="38" t="inlineStr">
        <is>
          <t>東急グループ</t>
        </is>
      </c>
      <c r="D25" s="39" t="inlineStr">
        <is>
          <t>東京都世田谷区玉川１－１１－５</t>
        </is>
      </c>
      <c r="E25" s="40" t="inlineStr">
        <is>
          <t>・土・木・火</t>
        </is>
      </c>
      <c r="F25" s="39" t="inlineStr">
        <is>
          <t>千葉・和田・荻野・長野</t>
        </is>
      </c>
      <c r="G25" s="39" t="inlineStr">
        <is>
          <t>段ボール・産廃</t>
        </is>
      </c>
      <c r="H25" s="41" t="n">
        <v>60</v>
      </c>
      <c r="I25" s="42">
        <f>ROUND(H25*4.33,0)</f>
        <v/>
      </c>
      <c r="J25" s="43" t="n">
        <v>0</v>
      </c>
      <c r="K25" s="44">
        <f>IF(J25&gt;0,I25*J25,"")</f>
        <v/>
      </c>
    </row>
    <row r="26" ht="18" customHeight="1">
      <c r="A26" s="36" t="inlineStr">
        <is>
          <t>TK-023</t>
        </is>
      </c>
      <c r="B26" s="37" t="inlineStr">
        <is>
          <t>東急プロパティマネジメント多摩川班</t>
        </is>
      </c>
      <c r="C26" s="38" t="inlineStr">
        <is>
          <t>東急グループ</t>
        </is>
      </c>
      <c r="D26" s="39" t="inlineStr">
        <is>
          <t>東京都大田区田園調布１－５３－８</t>
        </is>
      </c>
      <c r="E26" s="40" t="inlineStr">
        <is>
          <t>・土・木・火</t>
        </is>
      </c>
      <c r="F26" s="39" t="inlineStr">
        <is>
          <t>中條・千葉・和田・荻野・長野</t>
        </is>
      </c>
      <c r="G26" s="39" t="inlineStr">
        <is>
          <t>段ボール・産廃・資源</t>
        </is>
      </c>
      <c r="H26" s="41" t="n">
        <v>90</v>
      </c>
      <c r="I26" s="42">
        <f>ROUND(H26*4.33,0)</f>
        <v/>
      </c>
      <c r="J26" s="43" t="n">
        <v>0</v>
      </c>
      <c r="K26" s="44">
        <f>IF(J26&gt;0,I26*J26,"")</f>
        <v/>
      </c>
    </row>
    <row r="27" ht="18" customHeight="1">
      <c r="A27" s="36" t="inlineStr">
        <is>
          <t>TK-024</t>
        </is>
      </c>
      <c r="B27" s="37" t="inlineStr">
        <is>
          <t>東急プロパティマネジメント大井班</t>
        </is>
      </c>
      <c r="C27" s="38" t="inlineStr">
        <is>
          <t>東急グループ</t>
        </is>
      </c>
      <c r="D27" s="39" t="inlineStr">
        <is>
          <t>東京都品川区西品川１－２９－６</t>
        </is>
      </c>
      <c r="E27" s="40" t="inlineStr">
        <is>
          <t>水・金</t>
        </is>
      </c>
      <c r="F27" s="39" t="inlineStr">
        <is>
          <t>中條・千葉</t>
        </is>
      </c>
      <c r="G27" s="39" t="inlineStr">
        <is>
          <t>不燃物・産廃</t>
        </is>
      </c>
      <c r="H27" s="41" t="n">
        <v>2</v>
      </c>
      <c r="I27" s="42">
        <f>ROUND(H27*4.33,0)</f>
        <v/>
      </c>
      <c r="J27" s="43" t="n">
        <v>0</v>
      </c>
      <c r="K27" s="44">
        <f>IF(J27&gt;0,I27*J27,"")</f>
        <v/>
      </c>
    </row>
    <row r="28" ht="18" customHeight="1">
      <c r="A28" s="36" t="inlineStr">
        <is>
          <t>TK-025</t>
        </is>
      </c>
      <c r="B28" s="37" t="inlineStr">
        <is>
          <t>東急プロパティマネジメント渋谷班</t>
        </is>
      </c>
      <c r="C28" s="38" t="inlineStr">
        <is>
          <t>東急グループ</t>
        </is>
      </c>
      <c r="D28" s="39" t="inlineStr">
        <is>
          <t>東京都渋谷区道玄坂２－１－１</t>
        </is>
      </c>
      <c r="E28" s="40" t="inlineStr">
        <is>
          <t>土・月・木・水・火・金</t>
        </is>
      </c>
      <c r="F28" s="39" t="inlineStr">
        <is>
          <t>中條・千葉・和田・荻野・長野</t>
        </is>
      </c>
      <c r="G28" s="39" t="inlineStr">
        <is>
          <t>段ボール・産廃・資源</t>
        </is>
      </c>
      <c r="H28" s="41" t="n">
        <v>84</v>
      </c>
      <c r="I28" s="42">
        <f>ROUND(H28*4.33,0)</f>
        <v/>
      </c>
      <c r="J28" s="43" t="n">
        <v>0</v>
      </c>
      <c r="K28" s="44">
        <f>IF(J28&gt;0,I28*J28,"")</f>
        <v/>
      </c>
    </row>
    <row r="29" ht="18" customHeight="1">
      <c r="A29" s="36" t="inlineStr">
        <is>
          <t>TK-026</t>
        </is>
      </c>
      <c r="B29" s="37" t="inlineStr">
        <is>
          <t>東急大井町駅建物（共用部）</t>
        </is>
      </c>
      <c r="C29" s="38" t="inlineStr">
        <is>
          <t>東急グループ</t>
        </is>
      </c>
      <c r="D29" s="39" t="inlineStr">
        <is>
          <t>東京都品川区大井１－１－１</t>
        </is>
      </c>
      <c r="E29" s="40" t="inlineStr">
        <is>
          <t>月・木・水・金</t>
        </is>
      </c>
      <c r="F29" s="39" t="inlineStr">
        <is>
          <t>中條・千葉</t>
        </is>
      </c>
      <c r="G29" s="39" t="inlineStr">
        <is>
          <t>段ボール・産廃</t>
        </is>
      </c>
      <c r="H29" s="41" t="n">
        <v>40</v>
      </c>
      <c r="I29" s="42">
        <f>ROUND(H29*4.33,0)</f>
        <v/>
      </c>
      <c r="J29" s="43" t="n">
        <v>0</v>
      </c>
      <c r="K29" s="44">
        <f>IF(J29&gt;0,I29*J29,"")</f>
        <v/>
      </c>
    </row>
    <row r="30" ht="18" customHeight="1">
      <c r="A30" s="36" t="inlineStr">
        <is>
          <t>TK-027</t>
        </is>
      </c>
      <c r="B30" s="37" t="inlineStr">
        <is>
          <t>東急都立大学高架下共用部</t>
        </is>
      </c>
      <c r="C30" s="38" t="inlineStr">
        <is>
          <t>東急グループ</t>
        </is>
      </c>
      <c r="D30" s="39" t="inlineStr">
        <is>
          <t>東京都目黒区中根１－５－２　都立大高架下B７区画</t>
        </is>
      </c>
      <c r="E30" s="40" t="inlineStr">
        <is>
          <t>金</t>
        </is>
      </c>
      <c r="F30" s="39" t="inlineStr">
        <is>
          <t>中條</t>
        </is>
      </c>
      <c r="G30" s="39" t="inlineStr">
        <is>
          <t>不燃物</t>
        </is>
      </c>
      <c r="H30" s="41" t="n">
        <v>0</v>
      </c>
      <c r="I30" s="42" t="n">
        <v>0</v>
      </c>
      <c r="J30" s="43" t="n">
        <v>0</v>
      </c>
      <c r="K30" s="44">
        <f>IF(J30&gt;0,I30*J30,"")</f>
        <v/>
      </c>
    </row>
    <row r="31" ht="18" customHeight="1">
      <c r="A31" s="36" t="inlineStr">
        <is>
          <t>TK-028</t>
        </is>
      </c>
      <c r="B31" s="37" t="inlineStr">
        <is>
          <t>東急雪が谷大塚駅</t>
        </is>
      </c>
      <c r="C31" s="38" t="inlineStr">
        <is>
          <t>東急グループ</t>
        </is>
      </c>
      <c r="D31" s="39" t="inlineStr">
        <is>
          <t>東京都大田区南雪谷２－２－１６</t>
        </is>
      </c>
      <c r="E31" s="40" t="inlineStr">
        <is>
          <t>・月・木・火</t>
        </is>
      </c>
      <c r="F31" s="39" t="inlineStr">
        <is>
          <t>中條・千葉</t>
        </is>
      </c>
      <c r="G31" s="39" t="inlineStr">
        <is>
          <t>段ボール・産廃</t>
        </is>
      </c>
      <c r="H31" s="41" t="n">
        <v>115</v>
      </c>
      <c r="I31" s="42">
        <f>ROUND(H31*4.33,0)</f>
        <v/>
      </c>
      <c r="J31" s="43" t="n">
        <v>0</v>
      </c>
      <c r="K31" s="44">
        <f>IF(J31&gt;0,I31*J31,"")</f>
        <v/>
      </c>
    </row>
    <row r="32" ht="18" customHeight="1">
      <c r="A32" s="36" t="inlineStr">
        <is>
          <t>TK-029</t>
        </is>
      </c>
      <c r="B32" s="37" t="inlineStr">
        <is>
          <t>東急電鉄　三軒茶屋（世田谷線）</t>
        </is>
      </c>
      <c r="C32" s="38" t="inlineStr">
        <is>
          <t>東急グループ</t>
        </is>
      </c>
      <c r="D32" s="39" t="inlineStr">
        <is>
          <t>東京都世田谷区太子堂４－１</t>
        </is>
      </c>
      <c r="E32" s="40" t="inlineStr"/>
      <c r="F32" s="39" t="inlineStr">
        <is>
          <t>千葉</t>
        </is>
      </c>
      <c r="G32" s="39" t="inlineStr">
        <is>
          <t>産廃</t>
        </is>
      </c>
      <c r="H32" s="41" t="n">
        <v>6</v>
      </c>
      <c r="I32" s="42">
        <f>ROUND(H32*4.33,0)</f>
        <v/>
      </c>
      <c r="J32" s="43" t="n">
        <v>0</v>
      </c>
      <c r="K32" s="44">
        <f>IF(J32&gt;0,I32*J32,"")</f>
        <v/>
      </c>
    </row>
    <row r="33" ht="18" customHeight="1">
      <c r="A33" s="36" t="inlineStr">
        <is>
          <t>TK-030</t>
        </is>
      </c>
      <c r="B33" s="37" t="inlineStr">
        <is>
          <t>東急電鉄　三軒茶屋（田園都市線）</t>
        </is>
      </c>
      <c r="C33" s="38" t="inlineStr">
        <is>
          <t>東急グループ</t>
        </is>
      </c>
      <c r="D33" s="39" t="inlineStr">
        <is>
          <t>東京都世田谷区太子堂２－１５</t>
        </is>
      </c>
      <c r="E33" s="40" t="inlineStr"/>
      <c r="F33" s="39" t="inlineStr">
        <is>
          <t>千葉</t>
        </is>
      </c>
      <c r="G33" s="39" t="inlineStr">
        <is>
          <t>産廃</t>
        </is>
      </c>
      <c r="H33" s="41" t="n">
        <v>60</v>
      </c>
      <c r="I33" s="42">
        <f>ROUND(H33*4.33,0)</f>
        <v/>
      </c>
      <c r="J33" s="43" t="n">
        <v>0</v>
      </c>
      <c r="K33" s="44">
        <f>IF(J33&gt;0,I33*J33,"")</f>
        <v/>
      </c>
    </row>
    <row r="34" ht="18" customHeight="1">
      <c r="A34" s="36" t="inlineStr">
        <is>
          <t>TK-031</t>
        </is>
      </c>
      <c r="B34" s="37" t="inlineStr">
        <is>
          <t>東急電鉄　上町駅</t>
        </is>
      </c>
      <c r="C34" s="38" t="inlineStr">
        <is>
          <t>東急グループ</t>
        </is>
      </c>
      <c r="D34" s="39" t="inlineStr">
        <is>
          <t>東京都世田谷区世田谷３－４－３</t>
        </is>
      </c>
      <c r="E34" s="40" t="inlineStr"/>
      <c r="F34" s="39" t="inlineStr">
        <is>
          <t>千葉</t>
        </is>
      </c>
      <c r="G34" s="39" t="inlineStr">
        <is>
          <t>産廃</t>
        </is>
      </c>
      <c r="H34" s="41" t="n">
        <v>0</v>
      </c>
      <c r="I34" s="42" t="n">
        <v>0</v>
      </c>
      <c r="J34" s="43" t="n">
        <v>0</v>
      </c>
      <c r="K34" s="44">
        <f>IF(J34&gt;0,I34*J34,"")</f>
        <v/>
      </c>
    </row>
    <row r="35" ht="18" customHeight="1">
      <c r="A35" s="36" t="inlineStr">
        <is>
          <t>TK-032</t>
        </is>
      </c>
      <c r="B35" s="37" t="inlineStr">
        <is>
          <t>東急電鉄　下丸子駅</t>
        </is>
      </c>
      <c r="C35" s="38" t="inlineStr">
        <is>
          <t>東急グループ</t>
        </is>
      </c>
      <c r="D35" s="39" t="inlineStr">
        <is>
          <t>東京都大田区下丸子３－７－１</t>
        </is>
      </c>
      <c r="E35" s="40" t="inlineStr">
        <is>
          <t>火</t>
        </is>
      </c>
      <c r="F35" s="39" t="inlineStr">
        <is>
          <t>千葉</t>
        </is>
      </c>
      <c r="G35" s="39" t="inlineStr">
        <is>
          <t>産廃</t>
        </is>
      </c>
      <c r="H35" s="41" t="n">
        <v>40</v>
      </c>
      <c r="I35" s="42">
        <f>ROUND(H35*4.33,0)</f>
        <v/>
      </c>
      <c r="J35" s="43" t="n">
        <v>0</v>
      </c>
      <c r="K35" s="44">
        <f>IF(J35&gt;0,I35*J35,"")</f>
        <v/>
      </c>
    </row>
    <row r="36" ht="18" customHeight="1">
      <c r="A36" s="36" t="inlineStr">
        <is>
          <t>TK-033</t>
        </is>
      </c>
      <c r="B36" s="37" t="inlineStr">
        <is>
          <t>東急電鉄　下神明駅</t>
        </is>
      </c>
      <c r="C36" s="38" t="inlineStr">
        <is>
          <t>東急グループ</t>
        </is>
      </c>
      <c r="D36" s="39" t="inlineStr">
        <is>
          <t>東京都品川区西品川１－２９－６</t>
        </is>
      </c>
      <c r="E36" s="40" t="inlineStr">
        <is>
          <t>金</t>
        </is>
      </c>
      <c r="F36" s="39" t="inlineStr">
        <is>
          <t>中條</t>
        </is>
      </c>
      <c r="G36" s="39" t="inlineStr">
        <is>
          <t>不燃物</t>
        </is>
      </c>
      <c r="H36" s="41" t="n">
        <v>5</v>
      </c>
      <c r="I36" s="42">
        <f>ROUND(H36*4.33,0)</f>
        <v/>
      </c>
      <c r="J36" s="43" t="n">
        <v>0</v>
      </c>
      <c r="K36" s="44">
        <f>IF(J36&gt;0,I36*J36,"")</f>
        <v/>
      </c>
    </row>
    <row r="37" ht="18" customHeight="1">
      <c r="A37" s="36" t="inlineStr">
        <is>
          <t>TK-034</t>
        </is>
      </c>
      <c r="B37" s="37" t="inlineStr">
        <is>
          <t>東急電鉄　下高井戸駅</t>
        </is>
      </c>
      <c r="C37" s="38" t="inlineStr">
        <is>
          <t>東急グループ</t>
        </is>
      </c>
      <c r="D37" s="39" t="inlineStr">
        <is>
          <t>東京都世田谷区松原３－２９－１７</t>
        </is>
      </c>
      <c r="E37" s="40" t="inlineStr">
        <is>
          <t>土・木・火</t>
        </is>
      </c>
      <c r="F37" s="39" t="inlineStr">
        <is>
          <t>和田・荻野・藤内・長谷川・長野</t>
        </is>
      </c>
      <c r="G37" s="39" t="inlineStr">
        <is>
          <t>一般廃・段ボール・産廃</t>
        </is>
      </c>
      <c r="H37" s="41" t="n">
        <v>87</v>
      </c>
      <c r="I37" s="42">
        <f>ROUND(H37*4.33,0)</f>
        <v/>
      </c>
      <c r="J37" s="43" t="n">
        <v>0</v>
      </c>
      <c r="K37" s="44">
        <f>IF(J37&gt;0,I37*J37,"")</f>
        <v/>
      </c>
    </row>
    <row r="38" ht="18" customHeight="1">
      <c r="A38" s="36" t="inlineStr">
        <is>
          <t>TK-035</t>
        </is>
      </c>
      <c r="B38" s="37" t="inlineStr">
        <is>
          <t>東急電鉄　不動前駅</t>
        </is>
      </c>
      <c r="C38" s="38" t="inlineStr">
        <is>
          <t>東急グループ</t>
        </is>
      </c>
      <c r="D38" s="39" t="inlineStr">
        <is>
          <t>東京都品川区西五反田５－１２－１</t>
        </is>
      </c>
      <c r="E38" s="40" t="inlineStr">
        <is>
          <t>金</t>
        </is>
      </c>
      <c r="F38" s="39" t="inlineStr">
        <is>
          <t>中條</t>
        </is>
      </c>
      <c r="G38" s="39" t="inlineStr">
        <is>
          <t>不燃物</t>
        </is>
      </c>
      <c r="H38" s="41" t="n">
        <v>0</v>
      </c>
      <c r="I38" s="42" t="n">
        <v>0</v>
      </c>
      <c r="J38" s="43" t="n">
        <v>0</v>
      </c>
      <c r="K38" s="44">
        <f>IF(J38&gt;0,I38*J38,"")</f>
        <v/>
      </c>
    </row>
    <row r="39" ht="18" customHeight="1">
      <c r="A39" s="36" t="inlineStr">
        <is>
          <t>TK-036</t>
        </is>
      </c>
      <c r="B39" s="37" t="inlineStr">
        <is>
          <t>東急電鉄　中延駅</t>
        </is>
      </c>
      <c r="C39" s="38" t="inlineStr">
        <is>
          <t>東急グループ</t>
        </is>
      </c>
      <c r="D39" s="39" t="inlineStr">
        <is>
          <t>東京都品川区中延４－５－５</t>
        </is>
      </c>
      <c r="E39" s="40" t="inlineStr">
        <is>
          <t>金</t>
        </is>
      </c>
      <c r="F39" s="39" t="inlineStr">
        <is>
          <t>中條</t>
        </is>
      </c>
      <c r="G39" s="39" t="inlineStr">
        <is>
          <t>不燃物</t>
        </is>
      </c>
      <c r="H39" s="41" t="n">
        <v>0</v>
      </c>
      <c r="I39" s="42" t="n">
        <v>0</v>
      </c>
      <c r="J39" s="43" t="n">
        <v>0</v>
      </c>
      <c r="K39" s="44">
        <f>IF(J39&gt;0,I39*J39,"")</f>
        <v/>
      </c>
    </row>
    <row r="40" ht="18" customHeight="1">
      <c r="A40" s="36" t="inlineStr">
        <is>
          <t>TK-037</t>
        </is>
      </c>
      <c r="B40" s="37" t="inlineStr">
        <is>
          <t>東急電鉄　中目黒駅</t>
        </is>
      </c>
      <c r="C40" s="38" t="inlineStr">
        <is>
          <t>東急グループ</t>
        </is>
      </c>
      <c r="D40" s="39" t="inlineStr">
        <is>
          <t>東京都目黒区上目黒３－４－１</t>
        </is>
      </c>
      <c r="E40" s="40" t="inlineStr">
        <is>
          <t>土・月・木・水・火・金</t>
        </is>
      </c>
      <c r="F40" s="39" t="inlineStr">
        <is>
          <t>中條・千葉・藤内・長谷川</t>
        </is>
      </c>
      <c r="G40" s="39" t="inlineStr">
        <is>
          <t>一般廃・不燃物・段ボール・産廃</t>
        </is>
      </c>
      <c r="H40" s="41" t="n">
        <v>425</v>
      </c>
      <c r="I40" s="42">
        <f>ROUND(H40*4.33,0)</f>
        <v/>
      </c>
      <c r="J40" s="43" t="n">
        <v>0</v>
      </c>
      <c r="K40" s="44">
        <f>IF(J40&gt;0,I40*J40,"")</f>
        <v/>
      </c>
    </row>
    <row r="41" ht="18" customHeight="1">
      <c r="A41" s="36" t="inlineStr">
        <is>
          <t>TK-038</t>
        </is>
      </c>
      <c r="B41" s="37" t="inlineStr">
        <is>
          <t>東急電鉄　久が原駅</t>
        </is>
      </c>
      <c r="C41" s="38" t="inlineStr">
        <is>
          <t>東急グループ</t>
        </is>
      </c>
      <c r="D41" s="39" t="inlineStr">
        <is>
          <t>東京都大田区南久が原２－６－１０</t>
        </is>
      </c>
      <c r="E41" s="40" t="inlineStr">
        <is>
          <t>木</t>
        </is>
      </c>
      <c r="F41" s="39" t="inlineStr">
        <is>
          <t>千葉</t>
        </is>
      </c>
      <c r="G41" s="39" t="inlineStr">
        <is>
          <t>産廃</t>
        </is>
      </c>
      <c r="H41" s="41" t="n">
        <v>20</v>
      </c>
      <c r="I41" s="42">
        <f>ROUND(H41*4.33,0)</f>
        <v/>
      </c>
      <c r="J41" s="43" t="n">
        <v>0</v>
      </c>
      <c r="K41" s="44">
        <f>IF(J41&gt;0,I41*J41,"")</f>
        <v/>
      </c>
    </row>
    <row r="42" ht="18" customHeight="1">
      <c r="A42" s="36" t="inlineStr">
        <is>
          <t>TK-039</t>
        </is>
      </c>
      <c r="B42" s="37" t="inlineStr">
        <is>
          <t>東急電鉄　二子玉川乗務区</t>
        </is>
      </c>
      <c r="C42" s="38" t="inlineStr">
        <is>
          <t>東急グループ</t>
        </is>
      </c>
      <c r="D42" s="39" t="inlineStr">
        <is>
          <t>東京都世田谷区玉川１－１１－５</t>
        </is>
      </c>
      <c r="E42" s="40" t="inlineStr">
        <is>
          <t>土</t>
        </is>
      </c>
      <c r="F42" s="39" t="inlineStr">
        <is>
          <t>和田・荻野</t>
        </is>
      </c>
      <c r="G42" s="39" t="inlineStr">
        <is>
          <t>段ボール</t>
        </is>
      </c>
      <c r="H42" s="41" t="n">
        <v>0</v>
      </c>
      <c r="I42" s="42" t="n">
        <v>0</v>
      </c>
      <c r="J42" s="43" t="n">
        <v>0</v>
      </c>
      <c r="K42" s="44">
        <f>IF(J42&gt;0,I42*J42,"")</f>
        <v/>
      </c>
    </row>
    <row r="43" ht="18" customHeight="1">
      <c r="A43" s="36" t="inlineStr">
        <is>
          <t>TK-040</t>
        </is>
      </c>
      <c r="B43" s="37" t="inlineStr">
        <is>
          <t>東急電鉄　二子玉川信通事務所</t>
        </is>
      </c>
      <c r="C43" s="38" t="inlineStr">
        <is>
          <t>東急グループ</t>
        </is>
      </c>
      <c r="D43" s="39" t="inlineStr">
        <is>
          <t>東京都世田谷区玉川１－１１－５</t>
        </is>
      </c>
      <c r="E43" s="40" t="inlineStr">
        <is>
          <t>・木・火</t>
        </is>
      </c>
      <c r="F43" s="39" t="inlineStr">
        <is>
          <t>千葉・長野</t>
        </is>
      </c>
      <c r="G43" s="39" t="inlineStr">
        <is>
          <t>産廃</t>
        </is>
      </c>
      <c r="H43" s="41" t="n">
        <v>34</v>
      </c>
      <c r="I43" s="42">
        <f>ROUND(H43*4.33,0)</f>
        <v/>
      </c>
      <c r="J43" s="43" t="n">
        <v>0</v>
      </c>
      <c r="K43" s="44">
        <f>IF(J43&gt;0,I43*J43,"")</f>
        <v/>
      </c>
    </row>
    <row r="44" ht="18" customHeight="1">
      <c r="A44" s="36" t="inlineStr">
        <is>
          <t>TK-041</t>
        </is>
      </c>
      <c r="B44" s="37" t="inlineStr">
        <is>
          <t>東急電鉄　二子玉川駅</t>
        </is>
      </c>
      <c r="C44" s="38" t="inlineStr">
        <is>
          <t>東急グループ</t>
        </is>
      </c>
      <c r="D44" s="39" t="inlineStr">
        <is>
          <t>東京都世田谷区玉川２－２２－１３</t>
        </is>
      </c>
      <c r="E44" s="40" t="inlineStr">
        <is>
          <t>・土・月・木・水・火・金</t>
        </is>
      </c>
      <c r="F44" s="39" t="inlineStr">
        <is>
          <t>千葉・和田・荻野・藤内・長野</t>
        </is>
      </c>
      <c r="G44" s="39" t="inlineStr">
        <is>
          <t>段ボール・産廃</t>
        </is>
      </c>
      <c r="H44" s="41" t="n">
        <v>400</v>
      </c>
      <c r="I44" s="42">
        <f>ROUND(H44*4.33,0)</f>
        <v/>
      </c>
      <c r="J44" s="43" t="n">
        <v>0</v>
      </c>
      <c r="K44" s="44">
        <f>IF(J44&gt;0,I44*J44,"")</f>
        <v/>
      </c>
    </row>
    <row r="45" ht="18" customHeight="1">
      <c r="A45" s="36" t="inlineStr">
        <is>
          <t>TK-042</t>
        </is>
      </c>
      <c r="B45" s="37" t="inlineStr">
        <is>
          <t>東急電鉄　五反田駅　１F</t>
        </is>
      </c>
      <c r="C45" s="38" t="inlineStr">
        <is>
          <t>東急グループ</t>
        </is>
      </c>
      <c r="D45" s="39" t="inlineStr">
        <is>
          <t>東京都品川区東五反田２－１－１</t>
        </is>
      </c>
      <c r="E45" s="40" t="inlineStr">
        <is>
          <t>木・火・金</t>
        </is>
      </c>
      <c r="F45" s="39" t="inlineStr">
        <is>
          <t>中條</t>
        </is>
      </c>
      <c r="G45" s="39" t="inlineStr">
        <is>
          <t>不燃物・瓶缶・資源</t>
        </is>
      </c>
      <c r="H45" s="41" t="n">
        <v>35</v>
      </c>
      <c r="I45" s="42">
        <f>ROUND(H45*4.33,0)</f>
        <v/>
      </c>
      <c r="J45" s="43" t="n">
        <v>0</v>
      </c>
      <c r="K45" s="44">
        <f>IF(J45&gt;0,I45*J45,"")</f>
        <v/>
      </c>
    </row>
    <row r="46" ht="18" customHeight="1">
      <c r="A46" s="36" t="inlineStr">
        <is>
          <t>TK-043</t>
        </is>
      </c>
      <c r="B46" s="37" t="inlineStr">
        <is>
          <t>東急電鉄　五反田駅　４F</t>
        </is>
      </c>
      <c r="C46" s="38" t="inlineStr">
        <is>
          <t>東急グループ</t>
        </is>
      </c>
      <c r="D46" s="39" t="inlineStr">
        <is>
          <t>東京都品川区東五反田２－１－１</t>
        </is>
      </c>
      <c r="E46" s="40" t="inlineStr">
        <is>
          <t>木・火・金</t>
        </is>
      </c>
      <c r="F46" s="39" t="inlineStr">
        <is>
          <t>中條</t>
        </is>
      </c>
      <c r="G46" s="39" t="inlineStr">
        <is>
          <t>不燃物・資源</t>
        </is>
      </c>
      <c r="H46" s="41" t="n">
        <v>20</v>
      </c>
      <c r="I46" s="42">
        <f>ROUND(H46*4.33,0)</f>
        <v/>
      </c>
      <c r="J46" s="43" t="n">
        <v>0</v>
      </c>
      <c r="K46" s="44">
        <f>IF(J46&gt;0,I46*J46,"")</f>
        <v/>
      </c>
    </row>
    <row r="47" ht="18" customHeight="1">
      <c r="A47" s="36" t="inlineStr">
        <is>
          <t>TK-044</t>
        </is>
      </c>
      <c r="B47" s="37" t="inlineStr">
        <is>
          <t>東急電鉄　代官山駅</t>
        </is>
      </c>
      <c r="C47" s="38" t="inlineStr">
        <is>
          <t>東急グループ</t>
        </is>
      </c>
      <c r="D47" s="39" t="inlineStr">
        <is>
          <t>東京都渋谷区代官山町１９－１</t>
        </is>
      </c>
      <c r="E47" s="40" t="inlineStr">
        <is>
          <t>土</t>
        </is>
      </c>
      <c r="F47" s="39" t="inlineStr">
        <is>
          <t>長野</t>
        </is>
      </c>
      <c r="G47" s="39" t="inlineStr">
        <is>
          <t>産廃</t>
        </is>
      </c>
      <c r="H47" s="41" t="n">
        <v>30</v>
      </c>
      <c r="I47" s="42">
        <f>ROUND(H47*4.33,0)</f>
        <v/>
      </c>
      <c r="J47" s="43" t="n">
        <v>0</v>
      </c>
      <c r="K47" s="44">
        <f>IF(J47&gt;0,I47*J47,"")</f>
        <v/>
      </c>
    </row>
    <row r="48" ht="18" customHeight="1">
      <c r="A48" s="36" t="inlineStr">
        <is>
          <t>TK-045</t>
        </is>
      </c>
      <c r="B48" s="37" t="inlineStr">
        <is>
          <t>東急電鉄　北千束駅</t>
        </is>
      </c>
      <c r="C48" s="38" t="inlineStr">
        <is>
          <t>東急グループ</t>
        </is>
      </c>
      <c r="D48" s="39" t="inlineStr">
        <is>
          <t>東京都大田区北千束２－１６－１</t>
        </is>
      </c>
      <c r="E48" s="40" t="inlineStr">
        <is>
          <t>火</t>
        </is>
      </c>
      <c r="F48" s="39" t="inlineStr">
        <is>
          <t>中條</t>
        </is>
      </c>
      <c r="G48" s="39" t="inlineStr">
        <is>
          <t>不燃物</t>
        </is>
      </c>
      <c r="H48" s="41" t="n">
        <v>5</v>
      </c>
      <c r="I48" s="42">
        <f>ROUND(H48*4.33,0)</f>
        <v/>
      </c>
      <c r="J48" s="43" t="n">
        <v>0</v>
      </c>
      <c r="K48" s="44">
        <f>IF(J48&gt;0,I48*J48,"")</f>
        <v/>
      </c>
    </row>
    <row r="49" ht="18" customHeight="1">
      <c r="A49" s="36" t="inlineStr">
        <is>
          <t>TK-046</t>
        </is>
      </c>
      <c r="B49" s="37" t="inlineStr">
        <is>
          <t>東急電鉄　千鳥町駅</t>
        </is>
      </c>
      <c r="C49" s="38" t="inlineStr">
        <is>
          <t>東急グループ</t>
        </is>
      </c>
      <c r="D49" s="39" t="inlineStr">
        <is>
          <t>東京都大田区千鳥１－２０－１</t>
        </is>
      </c>
      <c r="E49" s="40" t="inlineStr">
        <is>
          <t>木</t>
        </is>
      </c>
      <c r="F49" s="39" t="inlineStr">
        <is>
          <t>千葉</t>
        </is>
      </c>
      <c r="G49" s="39" t="inlineStr">
        <is>
          <t>産廃</t>
        </is>
      </c>
      <c r="H49" s="41" t="n">
        <v>20</v>
      </c>
      <c r="I49" s="42">
        <f>ROUND(H49*4.33,0)</f>
        <v/>
      </c>
      <c r="J49" s="43" t="n">
        <v>0</v>
      </c>
      <c r="K49" s="44">
        <f>IF(J49&gt;0,I49*J49,"")</f>
        <v/>
      </c>
    </row>
    <row r="50" ht="18" customHeight="1">
      <c r="A50" s="36" t="inlineStr">
        <is>
          <t>TK-047</t>
        </is>
      </c>
      <c r="B50" s="37" t="inlineStr">
        <is>
          <t>東急電鉄　多摩川駅</t>
        </is>
      </c>
      <c r="C50" s="38" t="inlineStr">
        <is>
          <t>東急グループ</t>
        </is>
      </c>
      <c r="D50" s="39" t="inlineStr">
        <is>
          <t>東京都大田区田園調布１－５３－８</t>
        </is>
      </c>
      <c r="E50" s="40" t="inlineStr">
        <is>
          <t>・月・木・火</t>
        </is>
      </c>
      <c r="F50" s="39" t="inlineStr">
        <is>
          <t>中條・千葉</t>
        </is>
      </c>
      <c r="G50" s="39" t="inlineStr">
        <is>
          <t>段ボール・産廃・資源</t>
        </is>
      </c>
      <c r="H50" s="41" t="n">
        <v>51</v>
      </c>
      <c r="I50" s="42">
        <f>ROUND(H50*4.33,0)</f>
        <v/>
      </c>
      <c r="J50" s="43" t="n">
        <v>0</v>
      </c>
      <c r="K50" s="44">
        <f>IF(J50&gt;0,I50*J50,"")</f>
        <v/>
      </c>
    </row>
    <row r="51" ht="18" customHeight="1">
      <c r="A51" s="36" t="inlineStr">
        <is>
          <t>TK-048</t>
        </is>
      </c>
      <c r="B51" s="37" t="inlineStr">
        <is>
          <t>東急電鉄　大岡山駅</t>
        </is>
      </c>
      <c r="C51" s="38" t="inlineStr">
        <is>
          <t>東急グループ</t>
        </is>
      </c>
      <c r="D51" s="39" t="inlineStr">
        <is>
          <t>東京都大田区北千束３－２７－１</t>
        </is>
      </c>
      <c r="E51" s="40" t="inlineStr">
        <is>
          <t>月・木・火</t>
        </is>
      </c>
      <c r="F51" s="39" t="inlineStr">
        <is>
          <t>中條・千葉</t>
        </is>
      </c>
      <c r="G51" s="39" t="inlineStr">
        <is>
          <t>段ボール・産廃</t>
        </is>
      </c>
      <c r="H51" s="41" t="n">
        <v>45</v>
      </c>
      <c r="I51" s="42">
        <f>ROUND(H51*4.33,0)</f>
        <v/>
      </c>
      <c r="J51" s="43" t="n">
        <v>0</v>
      </c>
      <c r="K51" s="44">
        <f>IF(J51&gt;0,I51*J51,"")</f>
        <v/>
      </c>
    </row>
    <row r="52" ht="18" customHeight="1">
      <c r="A52" s="36" t="inlineStr">
        <is>
          <t>TK-049</t>
        </is>
      </c>
      <c r="B52" s="37" t="inlineStr">
        <is>
          <t>東急電鉄　大崎広小路駅</t>
        </is>
      </c>
      <c r="C52" s="38" t="inlineStr">
        <is>
          <t>東急グループ</t>
        </is>
      </c>
      <c r="D52" s="39" t="inlineStr">
        <is>
          <t>東京都品川区大崎４－１－１</t>
        </is>
      </c>
      <c r="E52" s="40" t="inlineStr">
        <is>
          <t>金</t>
        </is>
      </c>
      <c r="F52" s="39" t="inlineStr">
        <is>
          <t>中條</t>
        </is>
      </c>
      <c r="G52" s="39" t="inlineStr">
        <is>
          <t>不燃物</t>
        </is>
      </c>
      <c r="H52" s="41" t="n">
        <v>10</v>
      </c>
      <c r="I52" s="42">
        <f>ROUND(H52*4.33,0)</f>
        <v/>
      </c>
      <c r="J52" s="43" t="n">
        <v>0</v>
      </c>
      <c r="K52" s="44">
        <f>IF(J52&gt;0,I52*J52,"")</f>
        <v/>
      </c>
    </row>
    <row r="53" ht="18" customHeight="1">
      <c r="A53" s="36" t="inlineStr">
        <is>
          <t>TK-050</t>
        </is>
      </c>
      <c r="B53" s="37" t="inlineStr">
        <is>
          <t>東急電鉄　奥沢駅＆総合ビル</t>
        </is>
      </c>
      <c r="C53" s="38" t="inlineStr">
        <is>
          <t>東急グループ</t>
        </is>
      </c>
      <c r="D53" s="39" t="inlineStr">
        <is>
          <t>東京都世田谷区奥沢３－４７－１７</t>
        </is>
      </c>
      <c r="E53" s="40" t="inlineStr">
        <is>
          <t>・土・月・木・火</t>
        </is>
      </c>
      <c r="F53" s="39" t="inlineStr">
        <is>
          <t>中條・千葉・和田・荻野</t>
        </is>
      </c>
      <c r="G53" s="39" t="inlineStr">
        <is>
          <t>段ボール・産廃・資源</t>
        </is>
      </c>
      <c r="H53" s="41" t="n">
        <v>320</v>
      </c>
      <c r="I53" s="42">
        <f>ROUND(H53*4.33,0)</f>
        <v/>
      </c>
      <c r="J53" s="43" t="n">
        <v>0</v>
      </c>
      <c r="K53" s="44">
        <f>IF(J53&gt;0,I53*J53,"")</f>
        <v/>
      </c>
    </row>
    <row r="54" ht="18" customHeight="1">
      <c r="A54" s="36" t="inlineStr">
        <is>
          <t>TK-051</t>
        </is>
      </c>
      <c r="B54" s="37" t="inlineStr">
        <is>
          <t>東急電鉄　学芸大学駅</t>
        </is>
      </c>
      <c r="C54" s="38" t="inlineStr">
        <is>
          <t>東急グループ</t>
        </is>
      </c>
      <c r="D54" s="39" t="inlineStr">
        <is>
          <t>東京都目黒区鷹番３－２－１</t>
        </is>
      </c>
      <c r="E54" s="40" t="inlineStr">
        <is>
          <t>・土・月・木・水・火・金</t>
        </is>
      </c>
      <c r="F54" s="39" t="inlineStr">
        <is>
          <t>千葉・藤内・長谷川</t>
        </is>
      </c>
      <c r="G54" s="39" t="inlineStr">
        <is>
          <t>一般廃・段ボール・産廃</t>
        </is>
      </c>
      <c r="H54" s="41" t="n">
        <v>65</v>
      </c>
      <c r="I54" s="42">
        <f>ROUND(H54*4.33,0)</f>
        <v/>
      </c>
      <c r="J54" s="43" t="n">
        <v>0</v>
      </c>
      <c r="K54" s="44">
        <f>IF(J54&gt;0,I54*J54,"")</f>
        <v/>
      </c>
    </row>
    <row r="55" ht="18" customHeight="1">
      <c r="A55" s="36" t="inlineStr">
        <is>
          <t>TK-052</t>
        </is>
      </c>
      <c r="B55" s="37" t="inlineStr">
        <is>
          <t>東急電鉄　御嶽山駅</t>
        </is>
      </c>
      <c r="C55" s="38" t="inlineStr">
        <is>
          <t>東急グループ</t>
        </is>
      </c>
      <c r="D55" s="39" t="inlineStr">
        <is>
          <t>東京都大田区北嶺町３２－１７</t>
        </is>
      </c>
      <c r="E55" s="40" t="inlineStr">
        <is>
          <t>木</t>
        </is>
      </c>
      <c r="F55" s="39" t="inlineStr">
        <is>
          <t>千葉</t>
        </is>
      </c>
      <c r="G55" s="39" t="inlineStr">
        <is>
          <t>産廃</t>
        </is>
      </c>
      <c r="H55" s="41" t="n">
        <v>30</v>
      </c>
      <c r="I55" s="42">
        <f>ROUND(H55*4.33,0)</f>
        <v/>
      </c>
      <c r="J55" s="43" t="n">
        <v>0</v>
      </c>
      <c r="K55" s="44">
        <f>IF(J55&gt;0,I55*J55,"")</f>
        <v/>
      </c>
    </row>
    <row r="56" ht="18" customHeight="1">
      <c r="A56" s="36" t="inlineStr">
        <is>
          <t>TK-053</t>
        </is>
      </c>
      <c r="B56" s="37" t="inlineStr">
        <is>
          <t>東急電鉄　戸越公園駅</t>
        </is>
      </c>
      <c r="C56" s="38" t="inlineStr">
        <is>
          <t>東急グループ</t>
        </is>
      </c>
      <c r="D56" s="39" t="inlineStr">
        <is>
          <t>東京都品川区戸越５－１０－５</t>
        </is>
      </c>
      <c r="E56" s="40" t="inlineStr">
        <is>
          <t>火</t>
        </is>
      </c>
      <c r="F56" s="39" t="inlineStr">
        <is>
          <t>中條</t>
        </is>
      </c>
      <c r="G56" s="39" t="inlineStr">
        <is>
          <t>不燃物</t>
        </is>
      </c>
      <c r="H56" s="41" t="n">
        <v>0</v>
      </c>
      <c r="I56" s="42" t="n">
        <v>0</v>
      </c>
      <c r="J56" s="43" t="n">
        <v>0</v>
      </c>
      <c r="K56" s="44">
        <f>IF(J56&gt;0,I56*J56,"")</f>
        <v/>
      </c>
    </row>
    <row r="57" ht="18" customHeight="1">
      <c r="A57" s="36" t="inlineStr">
        <is>
          <t>TK-054</t>
        </is>
      </c>
      <c r="B57" s="37" t="inlineStr">
        <is>
          <t>東急電鉄　戸越銀座駅</t>
        </is>
      </c>
      <c r="C57" s="38" t="inlineStr">
        <is>
          <t>東急グループ</t>
        </is>
      </c>
      <c r="D57" s="39" t="inlineStr">
        <is>
          <t>東京都品川区平塚２－１６－１</t>
        </is>
      </c>
      <c r="E57" s="40" t="inlineStr">
        <is>
          <t>金</t>
        </is>
      </c>
      <c r="F57" s="39" t="inlineStr">
        <is>
          <t>中條</t>
        </is>
      </c>
      <c r="G57" s="39" t="inlineStr">
        <is>
          <t>不燃物</t>
        </is>
      </c>
      <c r="H57" s="41" t="n">
        <v>15</v>
      </c>
      <c r="I57" s="42">
        <f>ROUND(H57*4.33,0)</f>
        <v/>
      </c>
      <c r="J57" s="43" t="n">
        <v>0</v>
      </c>
      <c r="K57" s="44">
        <f>IF(J57&gt;0,I57*J57,"")</f>
        <v/>
      </c>
    </row>
    <row r="58" ht="18" customHeight="1">
      <c r="A58" s="36" t="inlineStr">
        <is>
          <t>TK-055</t>
        </is>
      </c>
      <c r="B58" s="37" t="inlineStr">
        <is>
          <t>東急電鉄　旗の台駅</t>
        </is>
      </c>
      <c r="C58" s="38" t="inlineStr">
        <is>
          <t>東急グループ</t>
        </is>
      </c>
      <c r="D58" s="39" t="inlineStr">
        <is>
          <t>東京都品川区旗の台２－１３－１</t>
        </is>
      </c>
      <c r="E58" s="40" t="inlineStr">
        <is>
          <t>木・金</t>
        </is>
      </c>
      <c r="F58" s="39" t="inlineStr">
        <is>
          <t>中條</t>
        </is>
      </c>
      <c r="G58" s="39" t="inlineStr">
        <is>
          <t>不燃物・段ボール</t>
        </is>
      </c>
      <c r="H58" s="41" t="n">
        <v>18</v>
      </c>
      <c r="I58" s="42">
        <f>ROUND(H58*4.33,0)</f>
        <v/>
      </c>
      <c r="J58" s="43" t="n">
        <v>0</v>
      </c>
      <c r="K58" s="44">
        <f>IF(J58&gt;0,I58*J58,"")</f>
        <v/>
      </c>
    </row>
    <row r="59" ht="18" customHeight="1">
      <c r="A59" s="36" t="inlineStr">
        <is>
          <t>TK-056</t>
        </is>
      </c>
      <c r="B59" s="37" t="inlineStr">
        <is>
          <t>東急電鉄　武蔵小山駅</t>
        </is>
      </c>
      <c r="C59" s="38" t="inlineStr">
        <is>
          <t>東急グループ</t>
        </is>
      </c>
      <c r="D59" s="39" t="inlineStr">
        <is>
          <t>東京都品川区小山３－４－８</t>
        </is>
      </c>
      <c r="E59" s="40" t="inlineStr">
        <is>
          <t>月・火</t>
        </is>
      </c>
      <c r="F59" s="39" t="inlineStr">
        <is>
          <t>中條</t>
        </is>
      </c>
      <c r="G59" s="39" t="inlineStr">
        <is>
          <t>不燃物・段ボール</t>
        </is>
      </c>
      <c r="H59" s="41" t="n">
        <v>15</v>
      </c>
      <c r="I59" s="42">
        <f>ROUND(H59*4.33,0)</f>
        <v/>
      </c>
      <c r="J59" s="43" t="n">
        <v>0</v>
      </c>
      <c r="K59" s="44">
        <f>IF(J59&gt;0,I59*J59,"")</f>
        <v/>
      </c>
    </row>
    <row r="60" ht="18" customHeight="1">
      <c r="A60" s="36" t="inlineStr">
        <is>
          <t>TK-057</t>
        </is>
      </c>
      <c r="B60" s="37" t="inlineStr">
        <is>
          <t>東急電鉄　武蔵新田駅</t>
        </is>
      </c>
      <c r="C60" s="38" t="inlineStr">
        <is>
          <t>東急グループ</t>
        </is>
      </c>
      <c r="D60" s="39" t="inlineStr">
        <is>
          <t>東京都大田区矢口１－１８－１</t>
        </is>
      </c>
      <c r="E60" s="40" t="inlineStr">
        <is>
          <t>火</t>
        </is>
      </c>
      <c r="F60" s="39" t="inlineStr">
        <is>
          <t>千葉</t>
        </is>
      </c>
      <c r="G60" s="39" t="inlineStr">
        <is>
          <t>産廃</t>
        </is>
      </c>
      <c r="H60" s="41" t="n">
        <v>30</v>
      </c>
      <c r="I60" s="42">
        <f>ROUND(H60*4.33,0)</f>
        <v/>
      </c>
      <c r="J60" s="43" t="n">
        <v>0</v>
      </c>
      <c r="K60" s="44">
        <f>IF(J60&gt;0,I60*J60,"")</f>
        <v/>
      </c>
    </row>
    <row r="61" ht="18" customHeight="1">
      <c r="A61" s="36" t="inlineStr">
        <is>
          <t>TK-058</t>
        </is>
      </c>
      <c r="B61" s="37" t="inlineStr">
        <is>
          <t>東急電鉄　池上駅</t>
        </is>
      </c>
      <c r="C61" s="38" t="inlineStr">
        <is>
          <t>東急グループ</t>
        </is>
      </c>
      <c r="D61" s="39" t="inlineStr">
        <is>
          <t>東京都大田区池上６－３－１０</t>
        </is>
      </c>
      <c r="E61" s="40" t="inlineStr">
        <is>
          <t>水</t>
        </is>
      </c>
      <c r="F61" s="39" t="inlineStr">
        <is>
          <t>千葉</t>
        </is>
      </c>
      <c r="G61" s="39" t="inlineStr">
        <is>
          <t>産廃</t>
        </is>
      </c>
      <c r="H61" s="41" t="n">
        <v>70</v>
      </c>
      <c r="I61" s="42">
        <f>ROUND(H61*4.33,0)</f>
        <v/>
      </c>
      <c r="J61" s="43" t="n">
        <v>0</v>
      </c>
      <c r="K61" s="44">
        <f>IF(J61&gt;0,I61*J61,"")</f>
        <v/>
      </c>
    </row>
    <row r="62" ht="18" customHeight="1">
      <c r="A62" s="36" t="inlineStr">
        <is>
          <t>TK-059</t>
        </is>
      </c>
      <c r="B62" s="37" t="inlineStr">
        <is>
          <t>東急電鉄　沼部駅</t>
        </is>
      </c>
      <c r="C62" s="38" t="inlineStr">
        <is>
          <t>東急グループ</t>
        </is>
      </c>
      <c r="D62" s="39" t="inlineStr">
        <is>
          <t>東京都大田区田園調布本町２８－１</t>
        </is>
      </c>
      <c r="E62" s="40" t="inlineStr">
        <is>
          <t>火</t>
        </is>
      </c>
      <c r="F62" s="39" t="inlineStr">
        <is>
          <t>千葉</t>
        </is>
      </c>
      <c r="G62" s="39" t="inlineStr">
        <is>
          <t>産廃</t>
        </is>
      </c>
      <c r="H62" s="41" t="n">
        <v>60</v>
      </c>
      <c r="I62" s="42">
        <f>ROUND(H62*4.33,0)</f>
        <v/>
      </c>
      <c r="J62" s="43" t="n">
        <v>0</v>
      </c>
      <c r="K62" s="44">
        <f>IF(J62&gt;0,I62*J62,"")</f>
        <v/>
      </c>
    </row>
    <row r="63" ht="18" customHeight="1">
      <c r="A63" s="36" t="inlineStr">
        <is>
          <t>TK-060</t>
        </is>
      </c>
      <c r="B63" s="37" t="inlineStr">
        <is>
          <t>東急電鉄　洗足池駅</t>
        </is>
      </c>
      <c r="C63" s="38" t="inlineStr">
        <is>
          <t>東急グループ</t>
        </is>
      </c>
      <c r="D63" s="39" t="inlineStr">
        <is>
          <t>東京都大田区東雪谷１－１－６</t>
        </is>
      </c>
      <c r="E63" s="40" t="inlineStr">
        <is>
          <t>火</t>
        </is>
      </c>
      <c r="F63" s="39" t="inlineStr">
        <is>
          <t>中條</t>
        </is>
      </c>
      <c r="G63" s="39" t="inlineStr">
        <is>
          <t>不燃物</t>
        </is>
      </c>
      <c r="H63" s="41" t="n">
        <v>10</v>
      </c>
      <c r="I63" s="42">
        <f>ROUND(H63*4.33,0)</f>
        <v/>
      </c>
      <c r="J63" s="43" t="n">
        <v>0</v>
      </c>
      <c r="K63" s="44">
        <f>IF(J63&gt;0,I63*J63,"")</f>
        <v/>
      </c>
    </row>
    <row r="64" ht="18" customHeight="1">
      <c r="A64" s="36" t="inlineStr">
        <is>
          <t>TK-061</t>
        </is>
      </c>
      <c r="B64" s="37" t="inlineStr">
        <is>
          <t>東急電鉄　洗足駅</t>
        </is>
      </c>
      <c r="C64" s="38" t="inlineStr">
        <is>
          <t>東急グループ</t>
        </is>
      </c>
      <c r="D64" s="39" t="inlineStr">
        <is>
          <t>東京都目黒区洗足２－２１－１</t>
        </is>
      </c>
      <c r="E64" s="40" t="inlineStr">
        <is>
          <t>火</t>
        </is>
      </c>
      <c r="F64" s="39" t="inlineStr">
        <is>
          <t>中條</t>
        </is>
      </c>
      <c r="G64" s="39" t="inlineStr">
        <is>
          <t>不燃物</t>
        </is>
      </c>
      <c r="H64" s="41" t="n">
        <v>5</v>
      </c>
      <c r="I64" s="42">
        <f>ROUND(H64*4.33,0)</f>
        <v/>
      </c>
      <c r="J64" s="43" t="n">
        <v>0</v>
      </c>
      <c r="K64" s="44">
        <f>IF(J64&gt;0,I64*J64,"")</f>
        <v/>
      </c>
    </row>
    <row r="65" ht="18" customHeight="1">
      <c r="A65" s="36" t="inlineStr">
        <is>
          <t>TK-062</t>
        </is>
      </c>
      <c r="B65" s="37" t="inlineStr">
        <is>
          <t>東急電鉄　目黒駅</t>
        </is>
      </c>
      <c r="C65" s="38" t="inlineStr">
        <is>
          <t>東急グループ</t>
        </is>
      </c>
      <c r="D65" s="39" t="inlineStr">
        <is>
          <t>東京都品川区上大崎４－２－１</t>
        </is>
      </c>
      <c r="E65" s="40" t="inlineStr">
        <is>
          <t>月・火・金</t>
        </is>
      </c>
      <c r="F65" s="39" t="inlineStr">
        <is>
          <t>中條</t>
        </is>
      </c>
      <c r="G65" s="39" t="inlineStr">
        <is>
          <t>不燃物・段ボール</t>
        </is>
      </c>
      <c r="H65" s="41" t="n">
        <v>39</v>
      </c>
      <c r="I65" s="42">
        <f>ROUND(H65*4.33,0)</f>
        <v/>
      </c>
      <c r="J65" s="43" t="n">
        <v>0</v>
      </c>
      <c r="K65" s="44">
        <f>IF(J65&gt;0,I65*J65,"")</f>
        <v/>
      </c>
    </row>
    <row r="66" ht="18" customHeight="1">
      <c r="A66" s="36" t="inlineStr">
        <is>
          <t>TK-063</t>
        </is>
      </c>
      <c r="B66" s="37" t="inlineStr">
        <is>
          <t>東急電鉄　矢口渡駅</t>
        </is>
      </c>
      <c r="C66" s="38" t="inlineStr">
        <is>
          <t>東急グループ</t>
        </is>
      </c>
      <c r="D66" s="39" t="inlineStr">
        <is>
          <t>東京都大田区多摩川１－２０－１５</t>
        </is>
      </c>
      <c r="E66" s="40" t="inlineStr">
        <is>
          <t>水</t>
        </is>
      </c>
      <c r="F66" s="39" t="inlineStr">
        <is>
          <t>千葉</t>
        </is>
      </c>
      <c r="G66" s="39" t="inlineStr">
        <is>
          <t>産廃</t>
        </is>
      </c>
      <c r="H66" s="41" t="n">
        <v>30</v>
      </c>
      <c r="I66" s="42">
        <f>ROUND(H66*4.33,0)</f>
        <v/>
      </c>
      <c r="J66" s="43" t="n">
        <v>0</v>
      </c>
      <c r="K66" s="44">
        <f>IF(J66&gt;0,I66*J66,"")</f>
        <v/>
      </c>
    </row>
    <row r="67" ht="18" customHeight="1">
      <c r="A67" s="36" t="inlineStr">
        <is>
          <t>TK-064</t>
        </is>
      </c>
      <c r="B67" s="37" t="inlineStr">
        <is>
          <t>東急電鉄　祐天寺駅</t>
        </is>
      </c>
      <c r="C67" s="38" t="inlineStr">
        <is>
          <t>東急グループ</t>
        </is>
      </c>
      <c r="D67" s="39" t="inlineStr">
        <is>
          <t>東京都目黒区祐天寺２－１３－３</t>
        </is>
      </c>
      <c r="E67" s="40" t="inlineStr">
        <is>
          <t>月・木</t>
        </is>
      </c>
      <c r="F67" s="39" t="inlineStr">
        <is>
          <t>千葉・長谷川</t>
        </is>
      </c>
      <c r="G67" s="39" t="inlineStr">
        <is>
          <t>一般廃・産廃</t>
        </is>
      </c>
      <c r="H67" s="41" t="n">
        <v>41</v>
      </c>
      <c r="I67" s="42">
        <f>ROUND(H67*4.33,0)</f>
        <v/>
      </c>
      <c r="J67" s="43" t="n">
        <v>0</v>
      </c>
      <c r="K67" s="44">
        <f>IF(J67&gt;0,I67*J67,"")</f>
        <v/>
      </c>
    </row>
    <row r="68" ht="18" customHeight="1">
      <c r="A68" s="36" t="inlineStr">
        <is>
          <t>TK-065</t>
        </is>
      </c>
      <c r="B68" s="37" t="inlineStr">
        <is>
          <t>東急電鉄　総合管理事務所　１３BL</t>
        </is>
      </c>
      <c r="C68" s="38" t="inlineStr">
        <is>
          <t>東急グループ</t>
        </is>
      </c>
      <c r="D68" s="39" t="inlineStr">
        <is>
          <t>東京都目黒区鷹番３－３－１学大市場</t>
        </is>
      </c>
      <c r="E68" s="40" t="inlineStr">
        <is>
          <t>・土・日・月・木・水・火・金</t>
        </is>
      </c>
      <c r="F68" s="39" t="inlineStr">
        <is>
          <t>中條・千葉・長谷川</t>
        </is>
      </c>
      <c r="G68" s="39" t="inlineStr">
        <is>
          <t>一般廃・産廃</t>
        </is>
      </c>
      <c r="H68" s="41" t="n">
        <v>95</v>
      </c>
      <c r="I68" s="42">
        <f>ROUND(H68*4.33,0)</f>
        <v/>
      </c>
      <c r="J68" s="43" t="n">
        <v>0</v>
      </c>
      <c r="K68" s="44">
        <f>IF(J68&gt;0,I68*J68,"")</f>
        <v/>
      </c>
    </row>
    <row r="69" ht="18" customHeight="1">
      <c r="A69" s="36" t="inlineStr">
        <is>
          <t>TK-066</t>
        </is>
      </c>
      <c r="B69" s="37" t="inlineStr">
        <is>
          <t>東急電鉄　緑が丘駅</t>
        </is>
      </c>
      <c r="C69" s="38" t="inlineStr">
        <is>
          <t>東急グループ</t>
        </is>
      </c>
      <c r="D69" s="39" t="inlineStr">
        <is>
          <t>東京都目黒区緑が丘３－１－１２</t>
        </is>
      </c>
      <c r="E69" s="40" t="inlineStr">
        <is>
          <t>火</t>
        </is>
      </c>
      <c r="F69" s="39" t="inlineStr">
        <is>
          <t>千葉</t>
        </is>
      </c>
      <c r="G69" s="39" t="inlineStr">
        <is>
          <t>産廃</t>
        </is>
      </c>
      <c r="H69" s="41" t="n">
        <v>20</v>
      </c>
      <c r="I69" s="42">
        <f>ROUND(H69*4.33,0)</f>
        <v/>
      </c>
      <c r="J69" s="43" t="n">
        <v>0</v>
      </c>
      <c r="K69" s="44">
        <f>IF(J69&gt;0,I69*J69,"")</f>
        <v/>
      </c>
    </row>
    <row r="70" ht="18" customHeight="1">
      <c r="A70" s="36" t="inlineStr">
        <is>
          <t>TK-067</t>
        </is>
      </c>
      <c r="B70" s="37" t="inlineStr">
        <is>
          <t>東急電鉄　自由が丘駅</t>
        </is>
      </c>
      <c r="C70" s="38" t="inlineStr">
        <is>
          <t>東急グループ</t>
        </is>
      </c>
      <c r="D70" s="39" t="inlineStr">
        <is>
          <t>東京都目黒区自由が丘１－３０－１</t>
        </is>
      </c>
      <c r="E70" s="40" t="inlineStr">
        <is>
          <t>・木・火</t>
        </is>
      </c>
      <c r="F70" s="39" t="inlineStr">
        <is>
          <t>千葉</t>
        </is>
      </c>
      <c r="G70" s="39" t="inlineStr">
        <is>
          <t>産廃</t>
        </is>
      </c>
      <c r="H70" s="41" t="n">
        <v>100</v>
      </c>
      <c r="I70" s="42">
        <f>ROUND(H70*4.33,0)</f>
        <v/>
      </c>
      <c r="J70" s="43" t="n">
        <v>0</v>
      </c>
      <c r="K70" s="44">
        <f>IF(J70&gt;0,I70*J70,"")</f>
        <v/>
      </c>
    </row>
    <row r="71" ht="18" customHeight="1">
      <c r="A71" s="36" t="inlineStr">
        <is>
          <t>TK-068</t>
        </is>
      </c>
      <c r="B71" s="37" t="inlineStr">
        <is>
          <t>東急電鉄　荏原中延駅</t>
        </is>
      </c>
      <c r="C71" s="38" t="inlineStr">
        <is>
          <t>東急グループ</t>
        </is>
      </c>
      <c r="D71" s="39" t="inlineStr">
        <is>
          <t>東京都品川区中延２－８－１</t>
        </is>
      </c>
      <c r="E71" s="40" t="inlineStr">
        <is>
          <t>火</t>
        </is>
      </c>
      <c r="F71" s="39" t="inlineStr">
        <is>
          <t>中條</t>
        </is>
      </c>
      <c r="G71" s="39" t="inlineStr">
        <is>
          <t>不燃物</t>
        </is>
      </c>
      <c r="H71" s="41" t="n">
        <v>1</v>
      </c>
      <c r="I71" s="42">
        <f>ROUND(H71*4.33,0)</f>
        <v/>
      </c>
      <c r="J71" s="43" t="n">
        <v>0</v>
      </c>
      <c r="K71" s="44">
        <f>IF(J71&gt;0,I71*J71,"")</f>
        <v/>
      </c>
    </row>
    <row r="72" ht="18" customHeight="1">
      <c r="A72" s="36" t="inlineStr">
        <is>
          <t>TK-069</t>
        </is>
      </c>
      <c r="B72" s="37" t="inlineStr">
        <is>
          <t>東急電鉄　荏原町駅</t>
        </is>
      </c>
      <c r="C72" s="38" t="inlineStr">
        <is>
          <t>東急グループ</t>
        </is>
      </c>
      <c r="D72" s="39" t="inlineStr">
        <is>
          <t>東京都品川区中延５－２－１</t>
        </is>
      </c>
      <c r="E72" s="40" t="inlineStr">
        <is>
          <t>金</t>
        </is>
      </c>
      <c r="F72" s="39" t="inlineStr">
        <is>
          <t>中條</t>
        </is>
      </c>
      <c r="G72" s="39" t="inlineStr">
        <is>
          <t>不燃物</t>
        </is>
      </c>
      <c r="H72" s="41" t="n">
        <v>0</v>
      </c>
      <c r="I72" s="42" t="n">
        <v>0</v>
      </c>
      <c r="J72" s="43" t="n">
        <v>0</v>
      </c>
      <c r="K72" s="44">
        <f>IF(J72&gt;0,I72*J72,"")</f>
        <v/>
      </c>
    </row>
    <row r="73" ht="18" customHeight="1">
      <c r="A73" s="36" t="inlineStr">
        <is>
          <t>TK-070</t>
        </is>
      </c>
      <c r="B73" s="37" t="inlineStr">
        <is>
          <t>東急電鉄　蒲田駅</t>
        </is>
      </c>
      <c r="C73" s="38" t="inlineStr">
        <is>
          <t>東急グループ</t>
        </is>
      </c>
      <c r="D73" s="39" t="inlineStr">
        <is>
          <t>東京都大田区西蒲田７－６９－１</t>
        </is>
      </c>
      <c r="E73" s="40" t="inlineStr">
        <is>
          <t>水</t>
        </is>
      </c>
      <c r="F73" s="39" t="inlineStr">
        <is>
          <t>千葉</t>
        </is>
      </c>
      <c r="G73" s="39" t="inlineStr">
        <is>
          <t>産廃</t>
        </is>
      </c>
      <c r="H73" s="41" t="n">
        <v>70</v>
      </c>
      <c r="I73" s="42">
        <f>ROUND(H73*4.33,0)</f>
        <v/>
      </c>
      <c r="J73" s="43" t="n">
        <v>0</v>
      </c>
      <c r="K73" s="44">
        <f>IF(J73&gt;0,I73*J73,"")</f>
        <v/>
      </c>
    </row>
    <row r="74" ht="18" customHeight="1">
      <c r="A74" s="36" t="inlineStr">
        <is>
          <t>TK-071</t>
        </is>
      </c>
      <c r="B74" s="37" t="inlineStr">
        <is>
          <t>東急電鉄　蓮沼駅</t>
        </is>
      </c>
      <c r="C74" s="38" t="inlineStr">
        <is>
          <t>東急グループ</t>
        </is>
      </c>
      <c r="D74" s="39" t="inlineStr">
        <is>
          <t>東京都大田区西蒲田７－１７－１</t>
        </is>
      </c>
      <c r="E74" s="40" t="inlineStr">
        <is>
          <t>水</t>
        </is>
      </c>
      <c r="F74" s="39" t="inlineStr">
        <is>
          <t>千葉</t>
        </is>
      </c>
      <c r="G74" s="39" t="inlineStr">
        <is>
          <t>産廃</t>
        </is>
      </c>
      <c r="H74" s="41" t="n">
        <v>10</v>
      </c>
      <c r="I74" s="42">
        <f>ROUND(H74*4.33,0)</f>
        <v/>
      </c>
      <c r="J74" s="43" t="n">
        <v>0</v>
      </c>
      <c r="K74" s="44">
        <f>IF(J74&gt;0,I74*J74,"")</f>
        <v/>
      </c>
    </row>
    <row r="75" ht="18" customHeight="1">
      <c r="A75" s="36" t="inlineStr">
        <is>
          <t>TK-072</t>
        </is>
      </c>
      <c r="B75" s="37" t="inlineStr">
        <is>
          <t>東急電鉄　西小山駅</t>
        </is>
      </c>
      <c r="C75" s="38" t="inlineStr">
        <is>
          <t>東急グループ</t>
        </is>
      </c>
      <c r="D75" s="39" t="inlineStr">
        <is>
          <t>東京都品川区小山６－３－１０</t>
        </is>
      </c>
      <c r="E75" s="40" t="inlineStr">
        <is>
          <t>火</t>
        </is>
      </c>
      <c r="F75" s="39" t="inlineStr">
        <is>
          <t>中條</t>
        </is>
      </c>
      <c r="G75" s="39" t="inlineStr">
        <is>
          <t>不燃物</t>
        </is>
      </c>
      <c r="H75" s="41" t="n">
        <v>10</v>
      </c>
      <c r="I75" s="42">
        <f>ROUND(H75*4.33,0)</f>
        <v/>
      </c>
      <c r="J75" s="43" t="n">
        <v>0</v>
      </c>
      <c r="K75" s="44">
        <f>IF(J75&gt;0,I75*J75,"")</f>
        <v/>
      </c>
    </row>
    <row r="76" ht="18" customHeight="1">
      <c r="A76" s="36" t="inlineStr">
        <is>
          <t>TK-073</t>
        </is>
      </c>
      <c r="B76" s="37" t="inlineStr">
        <is>
          <t>東急電鉄　都立大学駅</t>
        </is>
      </c>
      <c r="C76" s="38" t="inlineStr">
        <is>
          <t>東急グループ</t>
        </is>
      </c>
      <c r="D76" s="39" t="inlineStr">
        <is>
          <t>東京都目黒区中根１－５－１</t>
        </is>
      </c>
      <c r="E76" s="40" t="inlineStr">
        <is>
          <t>土・月・木・水・火・金</t>
        </is>
      </c>
      <c r="F76" s="39" t="inlineStr">
        <is>
          <t>中條・長谷川</t>
        </is>
      </c>
      <c r="G76" s="39" t="inlineStr">
        <is>
          <t>一般廃・不燃物</t>
        </is>
      </c>
      <c r="H76" s="41" t="n">
        <v>10</v>
      </c>
      <c r="I76" s="42">
        <f>ROUND(H76*4.33,0)</f>
        <v/>
      </c>
      <c r="J76" s="43" t="n">
        <v>0</v>
      </c>
      <c r="K76" s="44">
        <f>IF(J76&gt;0,I76*J76,"")</f>
        <v/>
      </c>
    </row>
    <row r="77" ht="18" customHeight="1">
      <c r="A77" s="36" t="inlineStr">
        <is>
          <t>TK-074</t>
        </is>
      </c>
      <c r="B77" s="37" t="inlineStr">
        <is>
          <t>東急電鉄　長原駅</t>
        </is>
      </c>
      <c r="C77" s="38" t="inlineStr">
        <is>
          <t>東急グループ</t>
        </is>
      </c>
      <c r="D77" s="39" t="inlineStr">
        <is>
          <t>東京都大田区上池台１－１０－１０</t>
        </is>
      </c>
      <c r="E77" s="40" t="inlineStr">
        <is>
          <t>火</t>
        </is>
      </c>
      <c r="F77" s="39" t="inlineStr">
        <is>
          <t>中條</t>
        </is>
      </c>
      <c r="G77" s="39" t="inlineStr">
        <is>
          <t>不燃物</t>
        </is>
      </c>
      <c r="H77" s="41" t="n">
        <v>10</v>
      </c>
      <c r="I77" s="42">
        <f>ROUND(H77*4.33,0)</f>
        <v/>
      </c>
      <c r="J77" s="43" t="n">
        <v>0</v>
      </c>
      <c r="K77" s="44">
        <f>IF(J77&gt;0,I77*J77,"")</f>
        <v/>
      </c>
    </row>
    <row r="78" ht="18" customHeight="1">
      <c r="A78" s="36" t="inlineStr">
        <is>
          <t>TK-075</t>
        </is>
      </c>
      <c r="B78" s="37" t="inlineStr">
        <is>
          <t>東急電鉄　雪が谷検車区</t>
        </is>
      </c>
      <c r="C78" s="38" t="inlineStr">
        <is>
          <t>東急グループ</t>
        </is>
      </c>
      <c r="D78" s="39" t="inlineStr">
        <is>
          <t>東京都大田区北嶺町４６－１４</t>
        </is>
      </c>
      <c r="E78" s="40" t="inlineStr">
        <is>
          <t>月・木</t>
        </is>
      </c>
      <c r="F78" s="39" t="inlineStr">
        <is>
          <t>中條・千葉</t>
        </is>
      </c>
      <c r="G78" s="39" t="inlineStr">
        <is>
          <t>段ボール・産廃</t>
        </is>
      </c>
      <c r="H78" s="41" t="n">
        <v>50</v>
      </c>
      <c r="I78" s="42">
        <f>ROUND(H78*4.33,0)</f>
        <v/>
      </c>
      <c r="J78" s="43" t="n">
        <v>0</v>
      </c>
      <c r="K78" s="44">
        <f>IF(J78&gt;0,I78*J78,"")</f>
        <v/>
      </c>
    </row>
    <row r="79" ht="18" customHeight="1">
      <c r="A79" s="36" t="inlineStr">
        <is>
          <t>TK-076</t>
        </is>
      </c>
      <c r="B79" s="37" t="inlineStr">
        <is>
          <t>東急電鉄　駒澤大学駅</t>
        </is>
      </c>
      <c r="C79" s="38" t="inlineStr">
        <is>
          <t>東急グループ</t>
        </is>
      </c>
      <c r="D79" s="39" t="inlineStr">
        <is>
          <t>東京都世田谷区上馬４－３</t>
        </is>
      </c>
      <c r="E79" s="40" t="inlineStr">
        <is>
          <t>土・月・木・水・火・金</t>
        </is>
      </c>
      <c r="F79" s="39" t="inlineStr">
        <is>
          <t>和田・荻野・長谷川・長野</t>
        </is>
      </c>
      <c r="G79" s="39" t="inlineStr">
        <is>
          <t>一般廃・段ボール・産廃</t>
        </is>
      </c>
      <c r="H79" s="41" t="n">
        <v>171</v>
      </c>
      <c r="I79" s="42">
        <f>ROUND(H79*4.33,0)</f>
        <v/>
      </c>
      <c r="J79" s="43" t="n">
        <v>0</v>
      </c>
      <c r="K79" s="44">
        <f>IF(J79&gt;0,I79*J79,"")</f>
        <v/>
      </c>
    </row>
    <row r="80" ht="18" customHeight="1">
      <c r="A80" s="36" t="inlineStr">
        <is>
          <t>TK-077</t>
        </is>
      </c>
      <c r="B80" s="37" t="inlineStr">
        <is>
          <t>東急電鉄　鵜の木駅</t>
        </is>
      </c>
      <c r="C80" s="38" t="inlineStr">
        <is>
          <t>東急グループ</t>
        </is>
      </c>
      <c r="D80" s="39" t="inlineStr">
        <is>
          <t>東京都大田区鵜の木２－４－１</t>
        </is>
      </c>
      <c r="E80" s="40" t="inlineStr">
        <is>
          <t>火</t>
        </is>
      </c>
      <c r="F80" s="39" t="inlineStr">
        <is>
          <t>千葉</t>
        </is>
      </c>
      <c r="G80" s="39" t="inlineStr">
        <is>
          <t>産廃</t>
        </is>
      </c>
      <c r="H80" s="41" t="n">
        <v>20</v>
      </c>
      <c r="I80" s="42">
        <f>ROUND(H80*4.33,0)</f>
        <v/>
      </c>
      <c r="J80" s="43" t="n">
        <v>0</v>
      </c>
      <c r="K80" s="44">
        <f>IF(J80&gt;0,I80*J80,"")</f>
        <v/>
      </c>
    </row>
    <row r="81" ht="18" customHeight="1">
      <c r="A81" s="36" t="inlineStr">
        <is>
          <t>TK-078</t>
        </is>
      </c>
      <c r="B81" s="37" t="inlineStr">
        <is>
          <t>東急電鉄三軒茶屋駅（田園都市線）</t>
        </is>
      </c>
      <c r="C81" s="38" t="inlineStr">
        <is>
          <t>東急グループ</t>
        </is>
      </c>
      <c r="D81" s="39" t="inlineStr">
        <is>
          <t>東京都世田谷区太子堂２－１５</t>
        </is>
      </c>
      <c r="E81" s="40" t="inlineStr">
        <is>
          <t>土・月・木・火</t>
        </is>
      </c>
      <c r="F81" s="39" t="inlineStr">
        <is>
          <t>中條・和田・荻野・長野</t>
        </is>
      </c>
      <c r="G81" s="39" t="inlineStr">
        <is>
          <t>段ボール・産廃・資源</t>
        </is>
      </c>
      <c r="H81" s="41" t="n">
        <v>85</v>
      </c>
      <c r="I81" s="42">
        <f>ROUND(H81*4.33,0)</f>
        <v/>
      </c>
      <c r="J81" s="43" t="n">
        <v>0</v>
      </c>
      <c r="K81" s="44">
        <f>IF(J81&gt;0,I81*J81,"")</f>
        <v/>
      </c>
    </row>
    <row r="82" ht="18" customHeight="1">
      <c r="A82" s="36" t="inlineStr">
        <is>
          <t>TK-079</t>
        </is>
      </c>
      <c r="B82" s="37" t="inlineStr">
        <is>
          <t>東急電鉄上町駅</t>
        </is>
      </c>
      <c r="C82" s="38" t="inlineStr">
        <is>
          <t>東急グループ</t>
        </is>
      </c>
      <c r="D82" s="39" t="inlineStr">
        <is>
          <t>東京都世田谷区世田谷３－４－３</t>
        </is>
      </c>
      <c r="E82" s="40" t="inlineStr">
        <is>
          <t>木・火</t>
        </is>
      </c>
      <c r="F82" s="39" t="inlineStr">
        <is>
          <t>長野</t>
        </is>
      </c>
      <c r="G82" s="39" t="inlineStr">
        <is>
          <t>産廃</t>
        </is>
      </c>
      <c r="H82" s="41" t="n">
        <v>120</v>
      </c>
      <c r="I82" s="42">
        <f>ROUND(H82*4.33,0)</f>
        <v/>
      </c>
      <c r="J82" s="43" t="n">
        <v>0</v>
      </c>
      <c r="K82" s="44">
        <f>IF(J82&gt;0,I82*J82,"")</f>
        <v/>
      </c>
    </row>
    <row r="83" ht="18" customHeight="1">
      <c r="A83" s="36" t="inlineStr">
        <is>
          <t>TK-080</t>
        </is>
      </c>
      <c r="B83" s="37" t="inlineStr">
        <is>
          <t>東急電鉄上野毛駅</t>
        </is>
      </c>
      <c r="C83" s="38" t="inlineStr">
        <is>
          <t>東急グループ</t>
        </is>
      </c>
      <c r="D83" s="39" t="inlineStr">
        <is>
          <t>東京都世田谷区上野毛１－２６－６</t>
        </is>
      </c>
      <c r="E83" s="40" t="inlineStr">
        <is>
          <t>木</t>
        </is>
      </c>
      <c r="F83" s="39" t="inlineStr">
        <is>
          <t>中條・長野</t>
        </is>
      </c>
      <c r="G83" s="39" t="inlineStr">
        <is>
          <t>産廃・資源</t>
        </is>
      </c>
      <c r="H83" s="41" t="n">
        <v>0</v>
      </c>
      <c r="I83" s="42" t="n">
        <v>0</v>
      </c>
      <c r="J83" s="43" t="n">
        <v>0</v>
      </c>
      <c r="K83" s="44">
        <f>IF(J83&gt;0,I83*J83,"")</f>
        <v/>
      </c>
    </row>
    <row r="84" ht="18" customHeight="1">
      <c r="A84" s="36" t="inlineStr">
        <is>
          <t>TK-081</t>
        </is>
      </c>
      <c r="B84" s="37" t="inlineStr">
        <is>
          <t>東急電鉄九品仏駅</t>
        </is>
      </c>
      <c r="C84" s="38" t="inlineStr">
        <is>
          <t>東急グループ</t>
        </is>
      </c>
      <c r="D84" s="39" t="inlineStr">
        <is>
          <t>東京都世田谷区奥澤７－２０－１</t>
        </is>
      </c>
      <c r="E84" s="40" t="inlineStr">
        <is>
          <t>木</t>
        </is>
      </c>
      <c r="F84" s="39" t="inlineStr">
        <is>
          <t>長野</t>
        </is>
      </c>
      <c r="G84" s="39" t="inlineStr">
        <is>
          <t>産廃</t>
        </is>
      </c>
      <c r="H84" s="41" t="n">
        <v>0</v>
      </c>
      <c r="I84" s="42" t="n">
        <v>0</v>
      </c>
      <c r="J84" s="43" t="n">
        <v>0</v>
      </c>
      <c r="K84" s="44">
        <f>IF(J84&gt;0,I84*J84,"")</f>
        <v/>
      </c>
    </row>
    <row r="85" ht="18" customHeight="1">
      <c r="A85" s="36" t="inlineStr">
        <is>
          <t>TK-082</t>
        </is>
      </c>
      <c r="B85" s="37" t="inlineStr">
        <is>
          <t>東急電鉄多摩川駅</t>
        </is>
      </c>
      <c r="C85" s="38" t="inlineStr">
        <is>
          <t>東急グループ</t>
        </is>
      </c>
      <c r="D85" s="39" t="inlineStr">
        <is>
          <t>東京都大田区田園調布１－５３－８</t>
        </is>
      </c>
      <c r="E85" s="40" t="inlineStr">
        <is>
          <t>土・木</t>
        </is>
      </c>
      <c r="F85" s="39" t="inlineStr">
        <is>
          <t>和田・荻野・長野</t>
        </is>
      </c>
      <c r="G85" s="39" t="inlineStr">
        <is>
          <t>段ボール・産廃</t>
        </is>
      </c>
      <c r="H85" s="41" t="n">
        <v>60</v>
      </c>
      <c r="I85" s="42">
        <f>ROUND(H85*4.33,0)</f>
        <v/>
      </c>
      <c r="J85" s="43" t="n">
        <v>0</v>
      </c>
      <c r="K85" s="44">
        <f>IF(J85&gt;0,I85*J85,"")</f>
        <v/>
      </c>
    </row>
    <row r="86" ht="18" customHeight="1">
      <c r="A86" s="36" t="inlineStr">
        <is>
          <t>TK-083</t>
        </is>
      </c>
      <c r="B86" s="37" t="inlineStr">
        <is>
          <t>東急電鉄大井町駅</t>
        </is>
      </c>
      <c r="C86" s="38" t="inlineStr">
        <is>
          <t>東急グループ</t>
        </is>
      </c>
      <c r="D86" s="39" t="inlineStr">
        <is>
          <t>東京都品川区大井１－１－１</t>
        </is>
      </c>
      <c r="E86" s="40" t="inlineStr">
        <is>
          <t>月・木・水・金</t>
        </is>
      </c>
      <c r="F86" s="39" t="inlineStr">
        <is>
          <t>中條・千葉</t>
        </is>
      </c>
      <c r="G86" s="39" t="inlineStr">
        <is>
          <t>段ボール・産廃</t>
        </is>
      </c>
      <c r="H86" s="41" t="n">
        <v>105</v>
      </c>
      <c r="I86" s="42">
        <f>ROUND(H86*4.33,0)</f>
        <v/>
      </c>
      <c r="J86" s="43" t="n">
        <v>0</v>
      </c>
      <c r="K86" s="44">
        <f>IF(J86&gt;0,I86*J86,"")</f>
        <v/>
      </c>
    </row>
    <row r="87" ht="18" customHeight="1">
      <c r="A87" s="36" t="inlineStr">
        <is>
          <t>TK-084</t>
        </is>
      </c>
      <c r="B87" s="37" t="inlineStr">
        <is>
          <t>東急電鉄尾山台駅</t>
        </is>
      </c>
      <c r="C87" s="38" t="inlineStr">
        <is>
          <t>東急グループ</t>
        </is>
      </c>
      <c r="D87" s="39" t="inlineStr">
        <is>
          <t>東京都世田谷区等々力５－５－７</t>
        </is>
      </c>
      <c r="E87" s="40" t="inlineStr">
        <is>
          <t>木</t>
        </is>
      </c>
      <c r="F87" s="39" t="inlineStr">
        <is>
          <t>長野</t>
        </is>
      </c>
      <c r="G87" s="39" t="inlineStr">
        <is>
          <t>産廃</t>
        </is>
      </c>
      <c r="H87" s="41" t="n">
        <v>20</v>
      </c>
      <c r="I87" s="42">
        <f>ROUND(H87*4.33,0)</f>
        <v/>
      </c>
      <c r="J87" s="43" t="n">
        <v>0</v>
      </c>
      <c r="K87" s="44">
        <f>IF(J87&gt;0,I87*J87,"")</f>
        <v/>
      </c>
    </row>
    <row r="88" ht="18" customHeight="1">
      <c r="A88" s="36" t="inlineStr">
        <is>
          <t>TK-085</t>
        </is>
      </c>
      <c r="B88" s="37" t="inlineStr">
        <is>
          <t>東急電鉄山下駅</t>
        </is>
      </c>
      <c r="C88" s="38" t="inlineStr">
        <is>
          <t>東急グループ</t>
        </is>
      </c>
      <c r="D88" s="39" t="inlineStr">
        <is>
          <t>東京都世田谷区豪徳寺１－４４－５</t>
        </is>
      </c>
      <c r="E88" s="40" t="inlineStr">
        <is>
          <t>木</t>
        </is>
      </c>
      <c r="F88" s="39" t="inlineStr">
        <is>
          <t>長野</t>
        </is>
      </c>
      <c r="G88" s="39" t="inlineStr">
        <is>
          <t>産廃</t>
        </is>
      </c>
      <c r="H88" s="41" t="n">
        <v>0</v>
      </c>
      <c r="I88" s="42" t="n">
        <v>0</v>
      </c>
      <c r="J88" s="43" t="n">
        <v>0</v>
      </c>
      <c r="K88" s="44">
        <f>IF(J88&gt;0,I88*J88,"")</f>
        <v/>
      </c>
    </row>
    <row r="89" ht="18" customHeight="1">
      <c r="A89" s="36" t="inlineStr">
        <is>
          <t>TK-086</t>
        </is>
      </c>
      <c r="B89" s="37" t="inlineStr">
        <is>
          <t>東急電鉄桜新町駅</t>
        </is>
      </c>
      <c r="C89" s="38" t="inlineStr">
        <is>
          <t>東急グループ</t>
        </is>
      </c>
      <c r="D89" s="39" t="inlineStr">
        <is>
          <t>東京都世田谷区桜新町２－８</t>
        </is>
      </c>
      <c r="E89" s="40" t="inlineStr">
        <is>
          <t>土・木</t>
        </is>
      </c>
      <c r="F89" s="39" t="inlineStr">
        <is>
          <t>和田・荻野・長野</t>
        </is>
      </c>
      <c r="G89" s="39" t="inlineStr">
        <is>
          <t>段ボール・産廃</t>
        </is>
      </c>
      <c r="H89" s="41" t="n">
        <v>20</v>
      </c>
      <c r="I89" s="42">
        <f>ROUND(H89*4.33,0)</f>
        <v/>
      </c>
      <c r="J89" s="43" t="n">
        <v>0</v>
      </c>
      <c r="K89" s="44">
        <f>IF(J89&gt;0,I89*J89,"")</f>
        <v/>
      </c>
    </row>
    <row r="90" ht="18" customHeight="1">
      <c r="A90" s="36" t="inlineStr">
        <is>
          <t>TK-087</t>
        </is>
      </c>
      <c r="B90" s="37" t="inlineStr">
        <is>
          <t>東急電鉄池尻大橋駅</t>
        </is>
      </c>
      <c r="C90" s="38" t="inlineStr">
        <is>
          <t>東急グループ</t>
        </is>
      </c>
      <c r="D90" s="39" t="inlineStr">
        <is>
          <t>東京都世田谷区池尻３－２</t>
        </is>
      </c>
      <c r="E90" s="40" t="inlineStr">
        <is>
          <t>土</t>
        </is>
      </c>
      <c r="F90" s="39" t="inlineStr">
        <is>
          <t>和田・荻野・長野</t>
        </is>
      </c>
      <c r="G90" s="39" t="inlineStr">
        <is>
          <t>段ボール・産廃</t>
        </is>
      </c>
      <c r="H90" s="41" t="n">
        <v>50</v>
      </c>
      <c r="I90" s="42">
        <f>ROUND(H90*4.33,0)</f>
        <v/>
      </c>
      <c r="J90" s="43" t="n">
        <v>0</v>
      </c>
      <c r="K90" s="44">
        <f>IF(J90&gt;0,I90*J90,"")</f>
        <v/>
      </c>
    </row>
    <row r="91" ht="18" customHeight="1">
      <c r="A91" s="36" t="inlineStr">
        <is>
          <t>TK-088</t>
        </is>
      </c>
      <c r="B91" s="37" t="inlineStr">
        <is>
          <t>東急電鉄渋谷駅（副都心線）</t>
        </is>
      </c>
      <c r="C91" s="38" t="inlineStr">
        <is>
          <t>東急グループ</t>
        </is>
      </c>
      <c r="D91" s="39" t="inlineStr">
        <is>
          <t>東京都渋谷区２－２１－１３</t>
        </is>
      </c>
      <c r="E91" s="40" t="inlineStr">
        <is>
          <t>土・月・木・水・火・金</t>
        </is>
      </c>
      <c r="F91" s="39" t="inlineStr">
        <is>
          <t>中條・千葉・和田・荻野・長野</t>
        </is>
      </c>
      <c r="G91" s="39" t="inlineStr">
        <is>
          <t>段ボール・産廃・資源</t>
        </is>
      </c>
      <c r="H91" s="41" t="n">
        <v>918</v>
      </c>
      <c r="I91" s="42">
        <f>ROUND(H91*4.33,0)</f>
        <v/>
      </c>
      <c r="J91" s="43" t="n">
        <v>0</v>
      </c>
      <c r="K91" s="44">
        <f>IF(J91&gt;0,I91*J91,"")</f>
        <v/>
      </c>
    </row>
    <row r="92" ht="18" customHeight="1">
      <c r="A92" s="36" t="inlineStr">
        <is>
          <t>TK-089</t>
        </is>
      </c>
      <c r="B92" s="37" t="inlineStr">
        <is>
          <t>東急電鉄渋谷駅（田園都市線）</t>
        </is>
      </c>
      <c r="C92" s="38" t="inlineStr">
        <is>
          <t>東急グループ</t>
        </is>
      </c>
      <c r="D92" s="39" t="inlineStr">
        <is>
          <t>東京都渋谷区道玄坂２－１－１</t>
        </is>
      </c>
      <c r="E92" s="40" t="inlineStr">
        <is>
          <t>土・月・木・水・金</t>
        </is>
      </c>
      <c r="F92" s="39" t="inlineStr">
        <is>
          <t>中條・和田・荻野・長野</t>
        </is>
      </c>
      <c r="G92" s="39" t="inlineStr">
        <is>
          <t>段ボール・産廃・資源</t>
        </is>
      </c>
      <c r="H92" s="41" t="n">
        <v>170</v>
      </c>
      <c r="I92" s="42">
        <f>ROUND(H92*4.33,0)</f>
        <v/>
      </c>
      <c r="J92" s="43" t="n">
        <v>0</v>
      </c>
      <c r="K92" s="44">
        <f>IF(J92&gt;0,I92*J92,"")</f>
        <v/>
      </c>
    </row>
    <row r="93" ht="18" customHeight="1">
      <c r="A93" s="36" t="inlineStr">
        <is>
          <t>TK-090</t>
        </is>
      </c>
      <c r="B93" s="37" t="inlineStr">
        <is>
          <t>東急電鉄用賀駅</t>
        </is>
      </c>
      <c r="C93" s="38" t="inlineStr">
        <is>
          <t>東急グループ</t>
        </is>
      </c>
      <c r="D93" s="39" t="inlineStr">
        <is>
          <t>東京都世田谷区用賀２－３９</t>
        </is>
      </c>
      <c r="E93" s="40" t="inlineStr">
        <is>
          <t>土・木</t>
        </is>
      </c>
      <c r="F93" s="39" t="inlineStr">
        <is>
          <t>和田・荻野・長野</t>
        </is>
      </c>
      <c r="G93" s="39" t="inlineStr">
        <is>
          <t>段ボール・産廃</t>
        </is>
      </c>
      <c r="H93" s="41" t="n">
        <v>60</v>
      </c>
      <c r="I93" s="42">
        <f>ROUND(H93*4.33,0)</f>
        <v/>
      </c>
      <c r="J93" s="43" t="n">
        <v>0</v>
      </c>
      <c r="K93" s="44">
        <f>IF(J93&gt;0,I93*J93,"")</f>
        <v/>
      </c>
    </row>
    <row r="94" ht="18" customHeight="1">
      <c r="A94" s="36" t="inlineStr">
        <is>
          <t>TK-091</t>
        </is>
      </c>
      <c r="B94" s="37" t="inlineStr">
        <is>
          <t>東急電鉄田園調布駅</t>
        </is>
      </c>
      <c r="C94" s="38" t="inlineStr">
        <is>
          <t>東急グループ</t>
        </is>
      </c>
      <c r="D94" s="39" t="inlineStr">
        <is>
          <t>東京都大田区田園調布３－２５－１８</t>
        </is>
      </c>
      <c r="E94" s="40" t="inlineStr">
        <is>
          <t>・土・月・木・水・火・金</t>
        </is>
      </c>
      <c r="F94" s="39" t="inlineStr">
        <is>
          <t>千葉・和田・荻野・藤内・長野</t>
        </is>
      </c>
      <c r="G94" s="39" t="inlineStr">
        <is>
          <t>段ボール・産廃</t>
        </is>
      </c>
      <c r="H94" s="41" t="n">
        <v>550</v>
      </c>
      <c r="I94" s="42">
        <f>ROUND(H94*4.33,0)</f>
        <v/>
      </c>
      <c r="J94" s="43" t="n">
        <v>0</v>
      </c>
      <c r="K94" s="44">
        <f>IF(J94&gt;0,I94*J94,"")</f>
        <v/>
      </c>
    </row>
    <row r="95" ht="18" customHeight="1">
      <c r="A95" s="36" t="inlineStr">
        <is>
          <t>TK-092</t>
        </is>
      </c>
      <c r="B95" s="37" t="inlineStr">
        <is>
          <t>東急電鉄石川台駅</t>
        </is>
      </c>
      <c r="C95" s="38" t="inlineStr">
        <is>
          <t>東急グループ</t>
        </is>
      </c>
      <c r="D95" s="39" t="inlineStr">
        <is>
          <t>東京都大田区東雪谷２－２３－１</t>
        </is>
      </c>
      <c r="E95" s="40" t="inlineStr">
        <is>
          <t>火</t>
        </is>
      </c>
      <c r="F95" s="39" t="inlineStr">
        <is>
          <t>千葉</t>
        </is>
      </c>
      <c r="G95" s="39" t="inlineStr">
        <is>
          <t>産廃</t>
        </is>
      </c>
      <c r="H95" s="41" t="n">
        <v>20</v>
      </c>
      <c r="I95" s="42">
        <f>ROUND(H95*4.33,0)</f>
        <v/>
      </c>
      <c r="J95" s="43" t="n">
        <v>0</v>
      </c>
      <c r="K95" s="44">
        <f>IF(J95&gt;0,I95*J95,"")</f>
        <v/>
      </c>
    </row>
    <row r="96" ht="18" customHeight="1">
      <c r="A96" s="36" t="inlineStr">
        <is>
          <t>TK-093</t>
        </is>
      </c>
      <c r="B96" s="37" t="inlineStr">
        <is>
          <t>東急電鉄等々力駅</t>
        </is>
      </c>
      <c r="C96" s="38" t="inlineStr">
        <is>
          <t>東急グループ</t>
        </is>
      </c>
      <c r="D96" s="39" t="inlineStr">
        <is>
          <t>東京都世田谷区等々力３－１－１</t>
        </is>
      </c>
      <c r="E96" s="40" t="inlineStr">
        <is>
          <t>木</t>
        </is>
      </c>
      <c r="F96" s="39" t="inlineStr">
        <is>
          <t>長野</t>
        </is>
      </c>
      <c r="G96" s="39" t="inlineStr">
        <is>
          <t>産廃</t>
        </is>
      </c>
      <c r="H96" s="41" t="n">
        <v>20</v>
      </c>
      <c r="I96" s="42">
        <f>ROUND(H96*4.33,0)</f>
        <v/>
      </c>
      <c r="J96" s="43" t="n">
        <v>0</v>
      </c>
      <c r="K96" s="44">
        <f>IF(J96&gt;0,I96*J96,"")</f>
        <v/>
      </c>
    </row>
    <row r="97" ht="18" customHeight="1">
      <c r="A97" s="45" t="inlineStr">
        <is>
          <t>MT-001</t>
        </is>
      </c>
      <c r="B97" s="46" t="inlineStr">
        <is>
          <t>三田線三田駅</t>
        </is>
      </c>
      <c r="C97" s="47" t="inlineStr">
        <is>
          <t>都営地下鉄</t>
        </is>
      </c>
      <c r="D97" s="48" t="inlineStr">
        <is>
          <t>東京都港区芝５－１８－８</t>
        </is>
      </c>
      <c r="E97" s="49" t="inlineStr">
        <is>
          <t>土・木・火・金</t>
        </is>
      </c>
      <c r="F97" s="48" t="inlineStr">
        <is>
          <t>宮原・岡田</t>
        </is>
      </c>
      <c r="G97" s="48" t="inlineStr">
        <is>
          <t>一般廃・産廃</t>
        </is>
      </c>
      <c r="H97" s="50" t="n">
        <v>140</v>
      </c>
      <c r="I97" s="51">
        <f>ROUND(H97*4.33,0)</f>
        <v/>
      </c>
      <c r="J97" s="43" t="n">
        <v>0</v>
      </c>
      <c r="K97" s="44">
        <f>IF(J97&gt;0,I97*J97,"")</f>
        <v/>
      </c>
    </row>
    <row r="98" ht="18" customHeight="1">
      <c r="A98" s="45" t="inlineStr">
        <is>
          <t>MT-002</t>
        </is>
      </c>
      <c r="B98" s="46" t="inlineStr">
        <is>
          <t>三田線内幸町駅</t>
        </is>
      </c>
      <c r="C98" s="47" t="inlineStr">
        <is>
          <t>都営地下鉄</t>
        </is>
      </c>
      <c r="D98" s="48" t="inlineStr">
        <is>
          <t>東京都千代田区内幸町２－２－３</t>
        </is>
      </c>
      <c r="E98" s="49" t="inlineStr">
        <is>
          <t>土</t>
        </is>
      </c>
      <c r="F98" s="48" t="inlineStr">
        <is>
          <t>宮原・玉山</t>
        </is>
      </c>
      <c r="G98" s="48" t="inlineStr">
        <is>
          <t>産廃</t>
        </is>
      </c>
      <c r="H98" s="50" t="n">
        <v>24</v>
      </c>
      <c r="I98" s="51">
        <f>ROUND(H98*4.33,0)</f>
        <v/>
      </c>
      <c r="J98" s="43" t="n">
        <v>0</v>
      </c>
      <c r="K98" s="44">
        <f>IF(J98&gt;0,I98*J98,"")</f>
        <v/>
      </c>
    </row>
    <row r="99" ht="18" customHeight="1">
      <c r="A99" s="45" t="inlineStr">
        <is>
          <t>MT-003</t>
        </is>
      </c>
      <c r="B99" s="46" t="inlineStr">
        <is>
          <t>三田線千石駅</t>
        </is>
      </c>
      <c r="C99" s="47" t="inlineStr">
        <is>
          <t>都営地下鉄</t>
        </is>
      </c>
      <c r="D99" s="48" t="inlineStr">
        <is>
          <t>東京都文京区千石１－２９－１３</t>
        </is>
      </c>
      <c r="E99" s="49" t="inlineStr">
        <is>
          <t>土</t>
        </is>
      </c>
      <c r="F99" s="48" t="inlineStr">
        <is>
          <t>渡辺・柳沼</t>
        </is>
      </c>
      <c r="G99" s="48" t="inlineStr">
        <is>
          <t>産廃</t>
        </is>
      </c>
      <c r="H99" s="50" t="n">
        <v>16</v>
      </c>
      <c r="I99" s="51">
        <f>ROUND(H99*4.33,0)</f>
        <v/>
      </c>
      <c r="J99" s="43" t="n">
        <v>0</v>
      </c>
      <c r="K99" s="44">
        <f>IF(J99&gt;0,I99*J99,"")</f>
        <v/>
      </c>
    </row>
    <row r="100" ht="18" customHeight="1">
      <c r="A100" s="45" t="inlineStr">
        <is>
          <t>MT-004</t>
        </is>
      </c>
      <c r="B100" s="46" t="inlineStr">
        <is>
          <t>三田線大手町駅</t>
        </is>
      </c>
      <c r="C100" s="47" t="inlineStr">
        <is>
          <t>都営地下鉄</t>
        </is>
      </c>
      <c r="D100" s="48" t="inlineStr">
        <is>
          <t>東京都千代田区丸の内１－３－１</t>
        </is>
      </c>
      <c r="E100" s="49" t="inlineStr">
        <is>
          <t>土</t>
        </is>
      </c>
      <c r="F100" s="48" t="inlineStr">
        <is>
          <t>宮原・玉山</t>
        </is>
      </c>
      <c r="G100" s="48" t="inlineStr">
        <is>
          <t>産廃</t>
        </is>
      </c>
      <c r="H100" s="50" t="n">
        <v>40</v>
      </c>
      <c r="I100" s="51">
        <f>ROUND(H100*4.33,0)</f>
        <v/>
      </c>
      <c r="J100" s="43" t="n">
        <v>0</v>
      </c>
      <c r="K100" s="44">
        <f>IF(J100&gt;0,I100*J100,"")</f>
        <v/>
      </c>
    </row>
    <row r="101" ht="18" customHeight="1">
      <c r="A101" s="45" t="inlineStr">
        <is>
          <t>MT-005</t>
        </is>
      </c>
      <c r="B101" s="46" t="inlineStr">
        <is>
          <t>三田線巣鴨駅</t>
        </is>
      </c>
      <c r="C101" s="47" t="inlineStr">
        <is>
          <t>都営地下鉄</t>
        </is>
      </c>
      <c r="D101" s="48" t="inlineStr">
        <is>
          <t>東京都豊島区巣鴨３－２７－７</t>
        </is>
      </c>
      <c r="E101" s="49" t="inlineStr">
        <is>
          <t>土</t>
        </is>
      </c>
      <c r="F101" s="48" t="inlineStr">
        <is>
          <t>渡辺・柳沼</t>
        </is>
      </c>
      <c r="G101" s="48" t="inlineStr">
        <is>
          <t>産廃</t>
        </is>
      </c>
      <c r="H101" s="50" t="n">
        <v>32</v>
      </c>
      <c r="I101" s="51">
        <f>ROUND(H101*4.33,0)</f>
        <v/>
      </c>
      <c r="J101" s="43" t="n">
        <v>0</v>
      </c>
      <c r="K101" s="44">
        <f>IF(J101&gt;0,I101*J101,"")</f>
        <v/>
      </c>
    </row>
    <row r="102" ht="18" customHeight="1">
      <c r="A102" s="45" t="inlineStr">
        <is>
          <t>MT-006</t>
        </is>
      </c>
      <c r="B102" s="46" t="inlineStr">
        <is>
          <t>三田線御成門駅</t>
        </is>
      </c>
      <c r="C102" s="47" t="inlineStr">
        <is>
          <t>都営地下鉄</t>
        </is>
      </c>
      <c r="D102" s="48" t="inlineStr">
        <is>
          <t>東京都港区西新橋３－２４－６</t>
        </is>
      </c>
      <c r="E102" s="49" t="inlineStr">
        <is>
          <t>金</t>
        </is>
      </c>
      <c r="F102" s="48" t="inlineStr">
        <is>
          <t>宮原</t>
        </is>
      </c>
      <c r="G102" s="48" t="inlineStr">
        <is>
          <t>産廃</t>
        </is>
      </c>
      <c r="H102" s="50" t="n">
        <v>32</v>
      </c>
      <c r="I102" s="51">
        <f>ROUND(H102*4.33,0)</f>
        <v/>
      </c>
      <c r="J102" s="43" t="n">
        <v>0</v>
      </c>
      <c r="K102" s="44">
        <f>IF(J102&gt;0,I102*J102,"")</f>
        <v/>
      </c>
    </row>
    <row r="103" ht="18" customHeight="1">
      <c r="A103" s="45" t="inlineStr">
        <is>
          <t>MT-007</t>
        </is>
      </c>
      <c r="B103" s="46" t="inlineStr">
        <is>
          <t>三田線志村三丁目</t>
        </is>
      </c>
      <c r="C103" s="47" t="inlineStr">
        <is>
          <t>都営地下鉄</t>
        </is>
      </c>
      <c r="D103" s="48" t="inlineStr">
        <is>
          <t>東京都板橋区志村３－２３－１</t>
        </is>
      </c>
      <c r="E103" s="49" t="inlineStr">
        <is>
          <t>土・木</t>
        </is>
      </c>
      <c r="F103" s="48" t="inlineStr">
        <is>
          <t>大迫</t>
        </is>
      </c>
      <c r="G103" s="48" t="inlineStr">
        <is>
          <t>一般廃</t>
        </is>
      </c>
      <c r="H103" s="50" t="n">
        <v>80</v>
      </c>
      <c r="I103" s="51">
        <f>ROUND(H103*4.33,0)</f>
        <v/>
      </c>
      <c r="J103" s="43" t="n">
        <v>0</v>
      </c>
      <c r="K103" s="44">
        <f>IF(J103&gt;0,I103*J103,"")</f>
        <v/>
      </c>
    </row>
    <row r="104" ht="18" customHeight="1">
      <c r="A104" s="45" t="inlineStr">
        <is>
          <t>MT-008</t>
        </is>
      </c>
      <c r="B104" s="46" t="inlineStr">
        <is>
          <t>三田線志村三丁目駅</t>
        </is>
      </c>
      <c r="C104" s="47" t="inlineStr">
        <is>
          <t>都営地下鉄</t>
        </is>
      </c>
      <c r="D104" s="48" t="inlineStr">
        <is>
          <t>東京都板橋区志村３－２３－１</t>
        </is>
      </c>
      <c r="E104" s="49" t="inlineStr">
        <is>
          <t>土</t>
        </is>
      </c>
      <c r="F104" s="48" t="inlineStr">
        <is>
          <t>渡辺・柳沼</t>
        </is>
      </c>
      <c r="G104" s="48" t="inlineStr">
        <is>
          <t>産廃</t>
        </is>
      </c>
      <c r="H104" s="50" t="n">
        <v>16</v>
      </c>
      <c r="I104" s="51">
        <f>ROUND(H104*4.33,0)</f>
        <v/>
      </c>
      <c r="J104" s="43" t="n">
        <v>0</v>
      </c>
      <c r="K104" s="44">
        <f>IF(J104&gt;0,I104*J104,"")</f>
        <v/>
      </c>
    </row>
    <row r="105" ht="18" customHeight="1">
      <c r="A105" s="45" t="inlineStr">
        <is>
          <t>MT-009</t>
        </is>
      </c>
      <c r="B105" s="46" t="inlineStr">
        <is>
          <t>三田線志村坂下駅</t>
        </is>
      </c>
      <c r="C105" s="47" t="inlineStr">
        <is>
          <t>都営地下鉄</t>
        </is>
      </c>
      <c r="D105" s="48" t="inlineStr">
        <is>
          <t>東京都板橋区志村１－１４－１３</t>
        </is>
      </c>
      <c r="E105" s="49" t="inlineStr">
        <is>
          <t>土</t>
        </is>
      </c>
      <c r="F105" s="48" t="inlineStr">
        <is>
          <t>渡辺・柳沼</t>
        </is>
      </c>
      <c r="G105" s="48" t="inlineStr">
        <is>
          <t>産廃</t>
        </is>
      </c>
      <c r="H105" s="50" t="n">
        <v>8</v>
      </c>
      <c r="I105" s="51">
        <f>ROUND(H105*4.33,0)</f>
        <v/>
      </c>
      <c r="J105" s="43" t="n">
        <v>0</v>
      </c>
      <c r="K105" s="44">
        <f>IF(J105&gt;0,I105*J105,"")</f>
        <v/>
      </c>
    </row>
    <row r="106" ht="18" customHeight="1">
      <c r="A106" s="45" t="inlineStr">
        <is>
          <t>MT-010</t>
        </is>
      </c>
      <c r="B106" s="46" t="inlineStr">
        <is>
          <t>三田線新板橋駅</t>
        </is>
      </c>
      <c r="C106" s="47" t="inlineStr">
        <is>
          <t>都営地下鉄</t>
        </is>
      </c>
      <c r="D106" s="48" t="inlineStr">
        <is>
          <t>東京都板橋区板橋１－５３－１７</t>
        </is>
      </c>
      <c r="E106" s="49" t="inlineStr">
        <is>
          <t>土</t>
        </is>
      </c>
      <c r="F106" s="48" t="inlineStr">
        <is>
          <t>渡辺・柳沼</t>
        </is>
      </c>
      <c r="G106" s="48" t="inlineStr">
        <is>
          <t>産廃</t>
        </is>
      </c>
      <c r="H106" s="50" t="n">
        <v>16</v>
      </c>
      <c r="I106" s="51">
        <f>ROUND(H106*4.33,0)</f>
        <v/>
      </c>
      <c r="J106" s="43" t="n">
        <v>0</v>
      </c>
      <c r="K106" s="44">
        <f>IF(J106&gt;0,I106*J106,"")</f>
        <v/>
      </c>
    </row>
    <row r="107" ht="18" customHeight="1">
      <c r="A107" s="45" t="inlineStr">
        <is>
          <t>MT-011</t>
        </is>
      </c>
      <c r="B107" s="46" t="inlineStr">
        <is>
          <t>三田線新高島平駅</t>
        </is>
      </c>
      <c r="C107" s="47" t="inlineStr">
        <is>
          <t>都営地下鉄</t>
        </is>
      </c>
      <c r="D107" s="48" t="inlineStr">
        <is>
          <t>東京都板橋区高島平７－１</t>
        </is>
      </c>
      <c r="E107" s="49" t="inlineStr">
        <is>
          <t>土・火</t>
        </is>
      </c>
      <c r="F107" s="48" t="inlineStr">
        <is>
          <t>大迫・渡辺・柳沼</t>
        </is>
      </c>
      <c r="G107" s="48" t="inlineStr">
        <is>
          <t>一般廃・産廃</t>
        </is>
      </c>
      <c r="H107" s="50" t="n">
        <v>84</v>
      </c>
      <c r="I107" s="51">
        <f>ROUND(H107*4.33,0)</f>
        <v/>
      </c>
      <c r="J107" s="43" t="n">
        <v>0</v>
      </c>
      <c r="K107" s="44">
        <f>IF(J107&gt;0,I107*J107,"")</f>
        <v/>
      </c>
    </row>
    <row r="108" ht="18" customHeight="1">
      <c r="A108" s="45" t="inlineStr">
        <is>
          <t>MT-012</t>
        </is>
      </c>
      <c r="B108" s="46" t="inlineStr">
        <is>
          <t>三田線日比谷駅</t>
        </is>
      </c>
      <c r="C108" s="47" t="inlineStr">
        <is>
          <t>都営地下鉄</t>
        </is>
      </c>
      <c r="D108" s="48" t="inlineStr">
        <is>
          <t>東京都千代田区有楽町１－１３－１</t>
        </is>
      </c>
      <c r="E108" s="49" t="inlineStr">
        <is>
          <t>土</t>
        </is>
      </c>
      <c r="F108" s="48" t="inlineStr">
        <is>
          <t>宮原・玉山</t>
        </is>
      </c>
      <c r="G108" s="48" t="inlineStr">
        <is>
          <t>産廃</t>
        </is>
      </c>
      <c r="H108" s="50" t="n">
        <v>40</v>
      </c>
      <c r="I108" s="51">
        <f>ROUND(H108*4.33,0)</f>
        <v/>
      </c>
      <c r="J108" s="43" t="n">
        <v>0</v>
      </c>
      <c r="K108" s="44">
        <f>IF(J108&gt;0,I108*J108,"")</f>
        <v/>
      </c>
    </row>
    <row r="109" ht="18" customHeight="1">
      <c r="A109" s="45" t="inlineStr">
        <is>
          <t>MT-013</t>
        </is>
      </c>
      <c r="B109" s="46" t="inlineStr">
        <is>
          <t>三田線春日駅</t>
        </is>
      </c>
      <c r="C109" s="47" t="inlineStr">
        <is>
          <t>都営地下鉄</t>
        </is>
      </c>
      <c r="D109" s="48" t="inlineStr">
        <is>
          <t>東京都文京区本郷４－１５－１６</t>
        </is>
      </c>
      <c r="E109" s="49" t="inlineStr">
        <is>
          <t>土</t>
        </is>
      </c>
      <c r="F109" s="48" t="inlineStr">
        <is>
          <t>渡辺・柳沼</t>
        </is>
      </c>
      <c r="G109" s="48" t="inlineStr">
        <is>
          <t>産廃</t>
        </is>
      </c>
      <c r="H109" s="50" t="n">
        <v>32</v>
      </c>
      <c r="I109" s="51">
        <f>ROUND(H109*4.33,0)</f>
        <v/>
      </c>
      <c r="J109" s="43" t="n">
        <v>0</v>
      </c>
      <c r="K109" s="44">
        <f>IF(J109&gt;0,I109*J109,"")</f>
        <v/>
      </c>
    </row>
    <row r="110" ht="18" customHeight="1">
      <c r="A110" s="45" t="inlineStr">
        <is>
          <t>MT-014</t>
        </is>
      </c>
      <c r="B110" s="46" t="inlineStr">
        <is>
          <t>三田線本蓮沼駅</t>
        </is>
      </c>
      <c r="C110" s="47" t="inlineStr">
        <is>
          <t>都営地下鉄</t>
        </is>
      </c>
      <c r="D110" s="48" t="inlineStr">
        <is>
          <t>東京都板橋区蓮沼町１９－８</t>
        </is>
      </c>
      <c r="E110" s="49" t="inlineStr">
        <is>
          <t>土</t>
        </is>
      </c>
      <c r="F110" s="48" t="inlineStr">
        <is>
          <t>渡辺・柳沼</t>
        </is>
      </c>
      <c r="G110" s="48" t="inlineStr">
        <is>
          <t>産廃</t>
        </is>
      </c>
      <c r="H110" s="50" t="n">
        <v>16</v>
      </c>
      <c r="I110" s="51">
        <f>ROUND(H110*4.33,0)</f>
        <v/>
      </c>
      <c r="J110" s="43" t="n">
        <v>0</v>
      </c>
      <c r="K110" s="44">
        <f>IF(J110&gt;0,I110*J110,"")</f>
        <v/>
      </c>
    </row>
    <row r="111" ht="18" customHeight="1">
      <c r="A111" s="45" t="inlineStr">
        <is>
          <t>MT-015</t>
        </is>
      </c>
      <c r="B111" s="46" t="inlineStr">
        <is>
          <t>三田線板橋区役所前駅</t>
        </is>
      </c>
      <c r="C111" s="47" t="inlineStr">
        <is>
          <t>都営地下鉄</t>
        </is>
      </c>
      <c r="D111" s="48" t="inlineStr">
        <is>
          <t>東京都板橋区板橋２－６６－１７</t>
        </is>
      </c>
      <c r="E111" s="49" t="inlineStr">
        <is>
          <t>土</t>
        </is>
      </c>
      <c r="F111" s="48" t="inlineStr">
        <is>
          <t>渡辺・柳沼</t>
        </is>
      </c>
      <c r="G111" s="48" t="inlineStr">
        <is>
          <t>産廃</t>
        </is>
      </c>
      <c r="H111" s="50" t="n">
        <v>16</v>
      </c>
      <c r="I111" s="51">
        <f>ROUND(H111*4.33,0)</f>
        <v/>
      </c>
      <c r="J111" s="43" t="n">
        <v>0</v>
      </c>
      <c r="K111" s="44">
        <f>IF(J111&gt;0,I111*J111,"")</f>
        <v/>
      </c>
    </row>
    <row r="112" ht="18" customHeight="1">
      <c r="A112" s="45" t="inlineStr">
        <is>
          <t>MT-016</t>
        </is>
      </c>
      <c r="B112" s="46" t="inlineStr">
        <is>
          <t>三田線板橋本町駅</t>
        </is>
      </c>
      <c r="C112" s="47" t="inlineStr">
        <is>
          <t>都営地下鉄</t>
        </is>
      </c>
      <c r="D112" s="48" t="inlineStr">
        <is>
          <t>東京都板橋区大和町１７－１</t>
        </is>
      </c>
      <c r="E112" s="49" t="inlineStr">
        <is>
          <t>土</t>
        </is>
      </c>
      <c r="F112" s="48" t="inlineStr">
        <is>
          <t>渡辺・柳沼</t>
        </is>
      </c>
      <c r="G112" s="48" t="inlineStr">
        <is>
          <t>産廃</t>
        </is>
      </c>
      <c r="H112" s="50" t="n">
        <v>8</v>
      </c>
      <c r="I112" s="51">
        <f>ROUND(H112*4.33,0)</f>
        <v/>
      </c>
      <c r="J112" s="43" t="n">
        <v>0</v>
      </c>
      <c r="K112" s="44">
        <f>IF(J112&gt;0,I112*J112,"")</f>
        <v/>
      </c>
    </row>
    <row r="113" ht="18" customHeight="1">
      <c r="A113" s="45" t="inlineStr">
        <is>
          <t>MT-017</t>
        </is>
      </c>
      <c r="B113" s="46" t="inlineStr">
        <is>
          <t>三田線水道橋駅</t>
        </is>
      </c>
      <c r="C113" s="47" t="inlineStr">
        <is>
          <t>都営地下鉄</t>
        </is>
      </c>
      <c r="D113" s="48" t="inlineStr">
        <is>
          <t>東京都文京区後楽１－３－４２</t>
        </is>
      </c>
      <c r="E113" s="49" t="inlineStr">
        <is>
          <t>土</t>
        </is>
      </c>
      <c r="F113" s="48" t="inlineStr">
        <is>
          <t>渡辺・柳沼</t>
        </is>
      </c>
      <c r="G113" s="48" t="inlineStr">
        <is>
          <t>産廃</t>
        </is>
      </c>
      <c r="H113" s="50" t="n">
        <v>32</v>
      </c>
      <c r="I113" s="51">
        <f>ROUND(H113*4.33,0)</f>
        <v/>
      </c>
      <c r="J113" s="43" t="n">
        <v>0</v>
      </c>
      <c r="K113" s="44">
        <f>IF(J113&gt;0,I113*J113,"")</f>
        <v/>
      </c>
    </row>
    <row r="114" ht="18" customHeight="1">
      <c r="A114" s="45" t="inlineStr">
        <is>
          <t>MT-018</t>
        </is>
      </c>
      <c r="B114" s="46" t="inlineStr">
        <is>
          <t>三田線白山駅</t>
        </is>
      </c>
      <c r="C114" s="47" t="inlineStr">
        <is>
          <t>都営地下鉄</t>
        </is>
      </c>
      <c r="D114" s="48" t="inlineStr">
        <is>
          <t>東京都文京区白山５－３６－１０</t>
        </is>
      </c>
      <c r="E114" s="49" t="inlineStr">
        <is>
          <t>土</t>
        </is>
      </c>
      <c r="F114" s="48" t="inlineStr">
        <is>
          <t>渡辺・柳沼</t>
        </is>
      </c>
      <c r="G114" s="48" t="inlineStr">
        <is>
          <t>産廃</t>
        </is>
      </c>
      <c r="H114" s="50" t="n">
        <v>16</v>
      </c>
      <c r="I114" s="51">
        <f>ROUND(H114*4.33,0)</f>
        <v/>
      </c>
      <c r="J114" s="43" t="n">
        <v>0</v>
      </c>
      <c r="K114" s="44">
        <f>IF(J114&gt;0,I114*J114,"")</f>
        <v/>
      </c>
    </row>
    <row r="115" ht="18" customHeight="1">
      <c r="A115" s="45" t="inlineStr">
        <is>
          <t>MT-019</t>
        </is>
      </c>
      <c r="B115" s="46" t="inlineStr">
        <is>
          <t>三田線神保町駅</t>
        </is>
      </c>
      <c r="C115" s="47" t="inlineStr">
        <is>
          <t>都営地下鉄</t>
        </is>
      </c>
      <c r="D115" s="48" t="inlineStr">
        <is>
          <t>東京都千代田区神田神保町２－１</t>
        </is>
      </c>
      <c r="E115" s="49" t="inlineStr">
        <is>
          <t>月・木・水・金</t>
        </is>
      </c>
      <c r="F115" s="48" t="inlineStr">
        <is>
          <t>宮原・岡田</t>
        </is>
      </c>
      <c r="G115" s="48" t="inlineStr">
        <is>
          <t>一般廃・産廃</t>
        </is>
      </c>
      <c r="H115" s="50" t="n">
        <v>120</v>
      </c>
      <c r="I115" s="51">
        <f>ROUND(H115*4.33,0)</f>
        <v/>
      </c>
      <c r="J115" s="43" t="n">
        <v>0</v>
      </c>
      <c r="K115" s="44">
        <f>IF(J115&gt;0,I115*J115,"")</f>
        <v/>
      </c>
    </row>
    <row r="116" ht="18" customHeight="1">
      <c r="A116" s="45" t="inlineStr">
        <is>
          <t>MT-020</t>
        </is>
      </c>
      <c r="B116" s="46" t="inlineStr">
        <is>
          <t>三田線芝公園駅</t>
        </is>
      </c>
      <c r="C116" s="47" t="inlineStr">
        <is>
          <t>都営地下鉄</t>
        </is>
      </c>
      <c r="D116" s="48" t="inlineStr">
        <is>
          <t>東京都港区芝公園４－８－１４</t>
        </is>
      </c>
      <c r="E116" s="49" t="inlineStr">
        <is>
          <t>土・水・火</t>
        </is>
      </c>
      <c r="F116" s="48" t="inlineStr">
        <is>
          <t>宮原・岡田</t>
        </is>
      </c>
      <c r="G116" s="48" t="inlineStr">
        <is>
          <t>一般廃・産廃</t>
        </is>
      </c>
      <c r="H116" s="50" t="n">
        <v>54</v>
      </c>
      <c r="I116" s="51">
        <f>ROUND(H116*4.33,0)</f>
        <v/>
      </c>
      <c r="J116" s="43" t="n">
        <v>0</v>
      </c>
      <c r="K116" s="44">
        <f>IF(J116&gt;0,I116*J116,"")</f>
        <v/>
      </c>
    </row>
    <row r="117" ht="18" customHeight="1">
      <c r="A117" s="45" t="inlineStr">
        <is>
          <t>MT-021</t>
        </is>
      </c>
      <c r="B117" s="46" t="inlineStr">
        <is>
          <t>三田線蓮根駅</t>
        </is>
      </c>
      <c r="C117" s="47" t="inlineStr">
        <is>
          <t>都営地下鉄</t>
        </is>
      </c>
      <c r="D117" s="48" t="inlineStr">
        <is>
          <t>東京都板橋区蓮根２－３１－３０</t>
        </is>
      </c>
      <c r="E117" s="49" t="inlineStr">
        <is>
          <t>土・火</t>
        </is>
      </c>
      <c r="F117" s="48" t="inlineStr">
        <is>
          <t>大迫・渡辺・柳沼</t>
        </is>
      </c>
      <c r="G117" s="48" t="inlineStr">
        <is>
          <t>一般廃・産廃</t>
        </is>
      </c>
      <c r="H117" s="50" t="n">
        <v>76</v>
      </c>
      <c r="I117" s="51">
        <f>ROUND(H117*4.33,0)</f>
        <v/>
      </c>
      <c r="J117" s="43" t="n">
        <v>0</v>
      </c>
      <c r="K117" s="44">
        <f>IF(J117&gt;0,I117*J117,"")</f>
        <v/>
      </c>
    </row>
    <row r="118" ht="18" customHeight="1">
      <c r="A118" s="45" t="inlineStr">
        <is>
          <t>MT-022</t>
        </is>
      </c>
      <c r="B118" s="46" t="inlineStr">
        <is>
          <t>三田線西台駅</t>
        </is>
      </c>
      <c r="C118" s="47" t="inlineStr">
        <is>
          <t>都営地下鉄</t>
        </is>
      </c>
      <c r="D118" s="48" t="inlineStr">
        <is>
          <t>東京都板橋区高島平９－１－１</t>
        </is>
      </c>
      <c r="E118" s="49" t="inlineStr">
        <is>
          <t>土・火</t>
        </is>
      </c>
      <c r="F118" s="48" t="inlineStr">
        <is>
          <t>大迫・渡辺・柳沼</t>
        </is>
      </c>
      <c r="G118" s="48" t="inlineStr">
        <is>
          <t>一般廃・産廃</t>
        </is>
      </c>
      <c r="H118" s="50" t="n">
        <v>116</v>
      </c>
      <c r="I118" s="51">
        <f>ROUND(H118*4.33,0)</f>
        <v/>
      </c>
      <c r="J118" s="43" t="n">
        <v>0</v>
      </c>
      <c r="K118" s="44">
        <f>IF(J118&gt;0,I118*J118,"")</f>
        <v/>
      </c>
    </row>
    <row r="119" ht="18" customHeight="1">
      <c r="A119" s="45" t="inlineStr">
        <is>
          <t>MT-023</t>
        </is>
      </c>
      <c r="B119" s="46" t="inlineStr">
        <is>
          <t>三田線西巣鴨駅</t>
        </is>
      </c>
      <c r="C119" s="47" t="inlineStr">
        <is>
          <t>都営地下鉄</t>
        </is>
      </c>
      <c r="D119" s="48" t="inlineStr">
        <is>
          <t>東京都豊島区西巣鴨３－２５－１３</t>
        </is>
      </c>
      <c r="E119" s="49" t="inlineStr">
        <is>
          <t>土</t>
        </is>
      </c>
      <c r="F119" s="48" t="inlineStr">
        <is>
          <t>渡辺・柳沼</t>
        </is>
      </c>
      <c r="G119" s="48" t="inlineStr">
        <is>
          <t>産廃</t>
        </is>
      </c>
      <c r="H119" s="50" t="n">
        <v>16</v>
      </c>
      <c r="I119" s="51">
        <f>ROUND(H119*4.33,0)</f>
        <v/>
      </c>
      <c r="J119" s="43" t="n">
        <v>0</v>
      </c>
      <c r="K119" s="44">
        <f>IF(J119&gt;0,I119*J119,"")</f>
        <v/>
      </c>
    </row>
    <row r="120" ht="18" customHeight="1">
      <c r="A120" s="45" t="inlineStr">
        <is>
          <t>MT-024</t>
        </is>
      </c>
      <c r="B120" s="46" t="inlineStr">
        <is>
          <t>三田線西高島平駅</t>
        </is>
      </c>
      <c r="C120" s="47" t="inlineStr">
        <is>
          <t>都営地下鉄</t>
        </is>
      </c>
      <c r="D120" s="48" t="inlineStr">
        <is>
          <t>東京都板橋区高島平６－１</t>
        </is>
      </c>
      <c r="E120" s="49" t="inlineStr">
        <is>
          <t>土・木・火</t>
        </is>
      </c>
      <c r="F120" s="48" t="inlineStr">
        <is>
          <t>大迫・渡辺・柳沼</t>
        </is>
      </c>
      <c r="G120" s="48" t="inlineStr">
        <is>
          <t>一般廃・産廃</t>
        </is>
      </c>
      <c r="H120" s="50" t="n">
        <v>180</v>
      </c>
      <c r="I120" s="51">
        <f>ROUND(H120*4.33,0)</f>
        <v/>
      </c>
      <c r="J120" s="43" t="n">
        <v>0</v>
      </c>
      <c r="K120" s="44">
        <f>IF(J120&gt;0,I120*J120,"")</f>
        <v/>
      </c>
    </row>
    <row r="121" ht="18" customHeight="1">
      <c r="A121" s="45" t="inlineStr">
        <is>
          <t>MT-025</t>
        </is>
      </c>
      <c r="B121" s="46" t="inlineStr">
        <is>
          <t>三田線高島平駅</t>
        </is>
      </c>
      <c r="C121" s="47" t="inlineStr">
        <is>
          <t>都営地下鉄</t>
        </is>
      </c>
      <c r="D121" s="48" t="inlineStr">
        <is>
          <t>東京都板橋区高島平８－２－１</t>
        </is>
      </c>
      <c r="E121" s="49" t="inlineStr">
        <is>
          <t>土・木・火</t>
        </is>
      </c>
      <c r="F121" s="48" t="inlineStr">
        <is>
          <t>大迫・渡辺・柳沼</t>
        </is>
      </c>
      <c r="G121" s="48" t="inlineStr">
        <is>
          <t>一般廃・産廃</t>
        </is>
      </c>
      <c r="H121" s="50" t="n">
        <v>76</v>
      </c>
      <c r="I121" s="51">
        <f>ROUND(H121*4.33,0)</f>
        <v/>
      </c>
      <c r="J121" s="43" t="n">
        <v>0</v>
      </c>
      <c r="K121" s="44">
        <f>IF(J121&gt;0,I121*J121,"")</f>
        <v/>
      </c>
    </row>
    <row r="122" ht="18" customHeight="1">
      <c r="A122" s="45" t="inlineStr">
        <is>
          <t>MT-026</t>
        </is>
      </c>
      <c r="B122" s="46" t="inlineStr">
        <is>
          <t>光が丘乗務区（都交通局）</t>
        </is>
      </c>
      <c r="C122" s="47" t="inlineStr">
        <is>
          <t>都営地下鉄</t>
        </is>
      </c>
      <c r="D122" s="48" t="inlineStr">
        <is>
          <t>東京都練馬区光が丘２－９－３</t>
        </is>
      </c>
      <c r="E122" s="49" t="inlineStr">
        <is>
          <t>土・月・木・火</t>
        </is>
      </c>
      <c r="F122" s="48" t="inlineStr">
        <is>
          <t>大迫・宮原</t>
        </is>
      </c>
      <c r="G122" s="48" t="inlineStr">
        <is>
          <t>一般廃・産廃</t>
        </is>
      </c>
      <c r="H122" s="50" t="n">
        <v>220</v>
      </c>
      <c r="I122" s="51">
        <f>ROUND(H122*4.33,0)</f>
        <v/>
      </c>
      <c r="J122" s="43" t="n">
        <v>0</v>
      </c>
      <c r="K122" s="44">
        <f>IF(J122&gt;0,I122*J122,"")</f>
        <v/>
      </c>
    </row>
    <row r="123" ht="18" customHeight="1">
      <c r="A123" s="45" t="inlineStr">
        <is>
          <t>MT-027</t>
        </is>
      </c>
      <c r="B123" s="46" t="inlineStr">
        <is>
          <t>大島乗務区（都交通局）</t>
        </is>
      </c>
      <c r="C123" s="47" t="inlineStr">
        <is>
          <t>都営地下鉄</t>
        </is>
      </c>
      <c r="D123" s="48" t="inlineStr">
        <is>
          <t>東京都江東区大島９－９－２２</t>
        </is>
      </c>
      <c r="E123" s="49" t="inlineStr">
        <is>
          <t>月・木・水・金</t>
        </is>
      </c>
      <c r="F123" s="48" t="inlineStr">
        <is>
          <t>宮原・岡田</t>
        </is>
      </c>
      <c r="G123" s="48" t="inlineStr">
        <is>
          <t>一般廃・産廃</t>
        </is>
      </c>
      <c r="H123" s="50" t="n">
        <v>632</v>
      </c>
      <c r="I123" s="51">
        <f>ROUND(H123*4.33,0)</f>
        <v/>
      </c>
      <c r="J123" s="43" t="n">
        <v>0</v>
      </c>
      <c r="K123" s="44">
        <f>IF(J123&gt;0,I123*J123,"")</f>
        <v/>
      </c>
    </row>
    <row r="124" ht="18" customHeight="1">
      <c r="A124" s="45" t="inlineStr">
        <is>
          <t>MT-028</t>
        </is>
      </c>
      <c r="B124" s="46" t="inlineStr">
        <is>
          <t>大江戸線上野御徒町駅</t>
        </is>
      </c>
      <c r="C124" s="47" t="inlineStr">
        <is>
          <t>都営地下鉄</t>
        </is>
      </c>
      <c r="D124" s="48" t="inlineStr">
        <is>
          <t>東京都台東区上野５－２６－６</t>
        </is>
      </c>
      <c r="E124" s="49" t="inlineStr">
        <is>
          <t>土</t>
        </is>
      </c>
      <c r="F124" s="48" t="inlineStr">
        <is>
          <t>宮原・玉山</t>
        </is>
      </c>
      <c r="G124" s="48" t="inlineStr">
        <is>
          <t>産廃</t>
        </is>
      </c>
      <c r="H124" s="50" t="n">
        <v>48</v>
      </c>
      <c r="I124" s="51">
        <f>ROUND(H124*4.33,0)</f>
        <v/>
      </c>
      <c r="J124" s="43" t="n">
        <v>0</v>
      </c>
      <c r="K124" s="44">
        <f>IF(J124&gt;0,I124*J124,"")</f>
        <v/>
      </c>
    </row>
    <row r="125" ht="18" customHeight="1">
      <c r="A125" s="45" t="inlineStr">
        <is>
          <t>MT-029</t>
        </is>
      </c>
      <c r="B125" s="46" t="inlineStr">
        <is>
          <t>大江戸線両国駅</t>
        </is>
      </c>
      <c r="C125" s="47" t="inlineStr">
        <is>
          <t>都営地下鉄</t>
        </is>
      </c>
      <c r="D125" s="48" t="inlineStr">
        <is>
          <t>東京都墨田区横綱１－４－２９</t>
        </is>
      </c>
      <c r="E125" s="49" t="inlineStr">
        <is>
          <t>土・木・火</t>
        </is>
      </c>
      <c r="F125" s="48" t="inlineStr">
        <is>
          <t>宮原・玉山・岡田</t>
        </is>
      </c>
      <c r="G125" s="48" t="inlineStr">
        <is>
          <t>一般廃・産廃</t>
        </is>
      </c>
      <c r="H125" s="50" t="n">
        <v>36</v>
      </c>
      <c r="I125" s="51">
        <f>ROUND(H125*4.33,0)</f>
        <v/>
      </c>
      <c r="J125" s="43" t="n">
        <v>0</v>
      </c>
      <c r="K125" s="44">
        <f>IF(J125&gt;0,I125*J125,"")</f>
        <v/>
      </c>
    </row>
    <row r="126" ht="18" customHeight="1">
      <c r="A126" s="45" t="inlineStr">
        <is>
          <t>MT-030</t>
        </is>
      </c>
      <c r="B126" s="46" t="inlineStr">
        <is>
          <t>大江戸線中井駅</t>
        </is>
      </c>
      <c r="C126" s="47" t="inlineStr">
        <is>
          <t>都営地下鉄</t>
        </is>
      </c>
      <c r="D126" s="48" t="inlineStr">
        <is>
          <t>東京都中野区上落合２－２０－８</t>
        </is>
      </c>
      <c r="E126" s="49" t="inlineStr">
        <is>
          <t>土・月・火</t>
        </is>
      </c>
      <c r="F126" s="48" t="inlineStr">
        <is>
          <t>大迫・宮原</t>
        </is>
      </c>
      <c r="G126" s="48" t="inlineStr">
        <is>
          <t>一般廃・産廃</t>
        </is>
      </c>
      <c r="H126" s="50" t="n">
        <v>98</v>
      </c>
      <c r="I126" s="51">
        <f>ROUND(H126*4.33,0)</f>
        <v/>
      </c>
      <c r="J126" s="43" t="n">
        <v>0</v>
      </c>
      <c r="K126" s="44">
        <f>IF(J126&gt;0,I126*J126,"")</f>
        <v/>
      </c>
    </row>
    <row r="127" ht="18" customHeight="1">
      <c r="A127" s="45" t="inlineStr">
        <is>
          <t>MT-031</t>
        </is>
      </c>
      <c r="B127" s="46" t="inlineStr">
        <is>
          <t>大江戸線中野坂上駅</t>
        </is>
      </c>
      <c r="C127" s="47" t="inlineStr">
        <is>
          <t>都営地下鉄</t>
        </is>
      </c>
      <c r="D127" s="48" t="inlineStr">
        <is>
          <t>東京都中野区中央２－２－２８</t>
        </is>
      </c>
      <c r="E127" s="49" t="inlineStr">
        <is>
          <t>土・月・木・火</t>
        </is>
      </c>
      <c r="F127" s="48" t="inlineStr">
        <is>
          <t>大迫・宮原</t>
        </is>
      </c>
      <c r="G127" s="48" t="inlineStr">
        <is>
          <t>一般廃・産廃</t>
        </is>
      </c>
      <c r="H127" s="50" t="n">
        <v>128</v>
      </c>
      <c r="I127" s="51">
        <f>ROUND(H127*4.33,0)</f>
        <v/>
      </c>
      <c r="J127" s="43" t="n">
        <v>0</v>
      </c>
      <c r="K127" s="44">
        <f>IF(J127&gt;0,I127*J127,"")</f>
        <v/>
      </c>
    </row>
    <row r="128" ht="18" customHeight="1">
      <c r="A128" s="45" t="inlineStr">
        <is>
          <t>MT-032</t>
        </is>
      </c>
      <c r="B128" s="46" t="inlineStr">
        <is>
          <t>大江戸線代々木駅</t>
        </is>
      </c>
      <c r="C128" s="47" t="inlineStr">
        <is>
          <t>都営地下鉄</t>
        </is>
      </c>
      <c r="D128" s="48" t="inlineStr">
        <is>
          <t>東京都渋谷区代々木１－３５－５</t>
        </is>
      </c>
      <c r="E128" s="49" t="inlineStr">
        <is>
          <t>土・木・水</t>
        </is>
      </c>
      <c r="F128" s="48" t="inlineStr">
        <is>
          <t>宮原・岡田</t>
        </is>
      </c>
      <c r="G128" s="48" t="inlineStr">
        <is>
          <t>一般廃・産廃</t>
        </is>
      </c>
      <c r="H128" s="50" t="n">
        <v>72</v>
      </c>
      <c r="I128" s="51">
        <f>ROUND(H128*4.33,0)</f>
        <v/>
      </c>
      <c r="J128" s="43" t="n">
        <v>0</v>
      </c>
      <c r="K128" s="44">
        <f>IF(J128&gt;0,I128*J128,"")</f>
        <v/>
      </c>
    </row>
    <row r="129" ht="18" customHeight="1">
      <c r="A129" s="45" t="inlineStr">
        <is>
          <t>MT-033</t>
        </is>
      </c>
      <c r="B129" s="46" t="inlineStr">
        <is>
          <t>大江戸線光が丘駅</t>
        </is>
      </c>
      <c r="C129" s="47" t="inlineStr">
        <is>
          <t>都営地下鉄</t>
        </is>
      </c>
      <c r="D129" s="48" t="inlineStr">
        <is>
          <t>東京都練馬区光が丘２－９－５</t>
        </is>
      </c>
      <c r="E129" s="49" t="inlineStr">
        <is>
          <t>土・月・木・火</t>
        </is>
      </c>
      <c r="F129" s="48" t="inlineStr">
        <is>
          <t>大迫・宮原</t>
        </is>
      </c>
      <c r="G129" s="48" t="inlineStr">
        <is>
          <t>一般廃・産廃</t>
        </is>
      </c>
      <c r="H129" s="50" t="n">
        <v>136</v>
      </c>
      <c r="I129" s="51">
        <f>ROUND(H129*4.33,0)</f>
        <v/>
      </c>
      <c r="J129" s="43" t="n">
        <v>0</v>
      </c>
      <c r="K129" s="44">
        <f>IF(J129&gt;0,I129*J129,"")</f>
        <v/>
      </c>
    </row>
    <row r="130" ht="18" customHeight="1">
      <c r="A130" s="45" t="inlineStr">
        <is>
          <t>MT-034</t>
        </is>
      </c>
      <c r="B130" s="46" t="inlineStr">
        <is>
          <t>大江戸線六本木駅</t>
        </is>
      </c>
      <c r="C130" s="47" t="inlineStr">
        <is>
          <t>都営地下鉄</t>
        </is>
      </c>
      <c r="D130" s="48" t="inlineStr">
        <is>
          <t>東京都港区赤坂９－７－３９</t>
        </is>
      </c>
      <c r="E130" s="49" t="inlineStr">
        <is>
          <t>土・木・水・火</t>
        </is>
      </c>
      <c r="F130" s="48" t="inlineStr">
        <is>
          <t>宮原・岡田</t>
        </is>
      </c>
      <c r="G130" s="48" t="inlineStr">
        <is>
          <t>一般廃・産廃</t>
        </is>
      </c>
      <c r="H130" s="50" t="n">
        <v>128</v>
      </c>
      <c r="I130" s="51">
        <f>ROUND(H130*4.33,0)</f>
        <v/>
      </c>
      <c r="J130" s="43" t="n">
        <v>0</v>
      </c>
      <c r="K130" s="44">
        <f>IF(J130&gt;0,I130*J130,"")</f>
        <v/>
      </c>
    </row>
    <row r="131" ht="18" customHeight="1">
      <c r="A131" s="45" t="inlineStr">
        <is>
          <t>MT-035</t>
        </is>
      </c>
      <c r="B131" s="46" t="inlineStr">
        <is>
          <t>大江戸線勝どき駅</t>
        </is>
      </c>
      <c r="C131" s="47" t="inlineStr">
        <is>
          <t>都営地下鉄</t>
        </is>
      </c>
      <c r="D131" s="48" t="inlineStr">
        <is>
          <t>東京都中央区勝どき２－１０－１５</t>
        </is>
      </c>
      <c r="E131" s="49" t="inlineStr">
        <is>
          <t>土・木・水・火</t>
        </is>
      </c>
      <c r="F131" s="48" t="inlineStr">
        <is>
          <t>宮原・岡田</t>
        </is>
      </c>
      <c r="G131" s="48" t="inlineStr">
        <is>
          <t>一般廃・産廃</t>
        </is>
      </c>
      <c r="H131" s="50" t="n">
        <v>110</v>
      </c>
      <c r="I131" s="51">
        <f>ROUND(H131*4.33,0)</f>
        <v/>
      </c>
      <c r="J131" s="43" t="n">
        <v>0</v>
      </c>
      <c r="K131" s="44">
        <f>IF(J131&gt;0,I131*J131,"")</f>
        <v/>
      </c>
    </row>
    <row r="132" ht="18" customHeight="1">
      <c r="A132" s="45" t="inlineStr">
        <is>
          <t>MT-036</t>
        </is>
      </c>
      <c r="B132" s="46" t="inlineStr">
        <is>
          <t>大江戸線国立競技場</t>
        </is>
      </c>
      <c r="C132" s="47" t="inlineStr">
        <is>
          <t>都営地下鉄</t>
        </is>
      </c>
      <c r="D132" s="48" t="inlineStr">
        <is>
          <t>東京都新宿区霞ヶ丘町10番地</t>
        </is>
      </c>
      <c r="E132" s="49" t="inlineStr">
        <is>
          <t>土・木・水</t>
        </is>
      </c>
      <c r="F132" s="48" t="inlineStr">
        <is>
          <t>宮原・岡田</t>
        </is>
      </c>
      <c r="G132" s="48" t="inlineStr">
        <is>
          <t>一般廃・産廃</t>
        </is>
      </c>
      <c r="H132" s="50" t="n">
        <v>56</v>
      </c>
      <c r="I132" s="51">
        <f>ROUND(H132*4.33,0)</f>
        <v/>
      </c>
      <c r="J132" s="43" t="n">
        <v>0</v>
      </c>
      <c r="K132" s="44">
        <f>IF(J132&gt;0,I132*J132,"")</f>
        <v/>
      </c>
    </row>
    <row r="133" ht="18" customHeight="1">
      <c r="A133" s="45" t="inlineStr">
        <is>
          <t>MT-037</t>
        </is>
      </c>
      <c r="B133" s="46" t="inlineStr">
        <is>
          <t>大江戸線大門駅</t>
        </is>
      </c>
      <c r="C133" s="47" t="inlineStr">
        <is>
          <t>都営地下鉄</t>
        </is>
      </c>
      <c r="D133" s="48" t="inlineStr">
        <is>
          <t>東京都港区浜松町２－３－４</t>
        </is>
      </c>
      <c r="E133" s="49" t="inlineStr">
        <is>
          <t>土・木・水・火</t>
        </is>
      </c>
      <c r="F133" s="48" t="inlineStr">
        <is>
          <t>宮原・岡田</t>
        </is>
      </c>
      <c r="G133" s="48" t="inlineStr">
        <is>
          <t>一般廃・産廃</t>
        </is>
      </c>
      <c r="H133" s="50" t="n">
        <v>220</v>
      </c>
      <c r="I133" s="51">
        <f>ROUND(H133*4.33,0)</f>
        <v/>
      </c>
      <c r="J133" s="43" t="n">
        <v>0</v>
      </c>
      <c r="K133" s="44">
        <f>IF(J133&gt;0,I133*J133,"")</f>
        <v/>
      </c>
    </row>
    <row r="134" ht="18" customHeight="1">
      <c r="A134" s="45" t="inlineStr">
        <is>
          <t>MT-038</t>
        </is>
      </c>
      <c r="B134" s="46" t="inlineStr">
        <is>
          <t>大江戸線新宿西口駅</t>
        </is>
      </c>
      <c r="C134" s="47" t="inlineStr">
        <is>
          <t>都営地下鉄</t>
        </is>
      </c>
      <c r="D134" s="48" t="inlineStr">
        <is>
          <t>東京都新宿区西新宿１－３－１</t>
        </is>
      </c>
      <c r="E134" s="49" t="inlineStr">
        <is>
          <t>土・月・木・火</t>
        </is>
      </c>
      <c r="F134" s="48" t="inlineStr">
        <is>
          <t>大迫・宮原</t>
        </is>
      </c>
      <c r="G134" s="48" t="inlineStr">
        <is>
          <t>一般廃・産廃</t>
        </is>
      </c>
      <c r="H134" s="50" t="n">
        <v>156</v>
      </c>
      <c r="I134" s="51">
        <f>ROUND(H134*4.33,0)</f>
        <v/>
      </c>
      <c r="J134" s="43" t="n">
        <v>0</v>
      </c>
      <c r="K134" s="44">
        <f>IF(J134&gt;0,I134*J134,"")</f>
        <v/>
      </c>
    </row>
    <row r="135" ht="18" customHeight="1">
      <c r="A135" s="45" t="inlineStr">
        <is>
          <t>MT-039</t>
        </is>
      </c>
      <c r="B135" s="46" t="inlineStr">
        <is>
          <t>大江戸線新宿駅</t>
        </is>
      </c>
      <c r="C135" s="47" t="inlineStr">
        <is>
          <t>都営地下鉄</t>
        </is>
      </c>
      <c r="D135" s="48" t="inlineStr">
        <is>
          <t>東京都渋谷区代々木２－１－１</t>
        </is>
      </c>
      <c r="E135" s="49" t="inlineStr">
        <is>
          <t>土・木・水・火</t>
        </is>
      </c>
      <c r="F135" s="48" t="inlineStr">
        <is>
          <t>宮原・岡田</t>
        </is>
      </c>
      <c r="G135" s="48" t="inlineStr">
        <is>
          <t>一般廃・産廃</t>
        </is>
      </c>
      <c r="H135" s="50" t="n">
        <v>128</v>
      </c>
      <c r="I135" s="51">
        <f>ROUND(H135*4.33,0)</f>
        <v/>
      </c>
      <c r="J135" s="43" t="n">
        <v>0</v>
      </c>
      <c r="K135" s="44">
        <f>IF(J135&gt;0,I135*J135,"")</f>
        <v/>
      </c>
    </row>
    <row r="136" ht="18" customHeight="1">
      <c r="A136" s="45" t="inlineStr">
        <is>
          <t>MT-040</t>
        </is>
      </c>
      <c r="B136" s="46" t="inlineStr">
        <is>
          <t>大江戸線新御徒町駅</t>
        </is>
      </c>
      <c r="C136" s="47" t="inlineStr">
        <is>
          <t>都営地下鉄</t>
        </is>
      </c>
      <c r="D136" s="48" t="inlineStr">
        <is>
          <t>東京都台東区元浅草１－５－２</t>
        </is>
      </c>
      <c r="E136" s="49" t="inlineStr">
        <is>
          <t>土</t>
        </is>
      </c>
      <c r="F136" s="48" t="inlineStr">
        <is>
          <t>宮原・玉山</t>
        </is>
      </c>
      <c r="G136" s="48" t="inlineStr">
        <is>
          <t>産廃</t>
        </is>
      </c>
      <c r="H136" s="50" t="n">
        <v>16</v>
      </c>
      <c r="I136" s="51">
        <f>ROUND(H136*4.33,0)</f>
        <v/>
      </c>
      <c r="J136" s="43" t="n">
        <v>0</v>
      </c>
      <c r="K136" s="44">
        <f>IF(J136&gt;0,I136*J136,"")</f>
        <v/>
      </c>
    </row>
    <row r="137" ht="18" customHeight="1">
      <c r="A137" s="45" t="inlineStr">
        <is>
          <t>MT-041</t>
        </is>
      </c>
      <c r="B137" s="46" t="inlineStr">
        <is>
          <t>大江戸線新江古田駅</t>
        </is>
      </c>
      <c r="C137" s="47" t="inlineStr">
        <is>
          <t>都営地下鉄</t>
        </is>
      </c>
      <c r="D137" s="48" t="inlineStr">
        <is>
          <t>東京都中野区江原町２－２９－１３</t>
        </is>
      </c>
      <c r="E137" s="49" t="inlineStr">
        <is>
          <t>土・月・木</t>
        </is>
      </c>
      <c r="F137" s="48" t="inlineStr">
        <is>
          <t>大迫・宮原</t>
        </is>
      </c>
      <c r="G137" s="48" t="inlineStr">
        <is>
          <t>一般廃・産廃</t>
        </is>
      </c>
      <c r="H137" s="50" t="n">
        <v>48</v>
      </c>
      <c r="I137" s="51">
        <f>ROUND(H137*4.33,0)</f>
        <v/>
      </c>
      <c r="J137" s="43" t="n">
        <v>0</v>
      </c>
      <c r="K137" s="44">
        <f>IF(J137&gt;0,I137*J137,"")</f>
        <v/>
      </c>
    </row>
    <row r="138" ht="18" customHeight="1">
      <c r="A138" s="45" t="inlineStr">
        <is>
          <t>MT-042</t>
        </is>
      </c>
      <c r="B138" s="46" t="inlineStr">
        <is>
          <t>大江戸線春日駅</t>
        </is>
      </c>
      <c r="C138" s="47" t="inlineStr">
        <is>
          <t>都営地下鉄</t>
        </is>
      </c>
      <c r="D138" s="48" t="inlineStr">
        <is>
          <t>東京都文京区春日１－１６－１７</t>
        </is>
      </c>
      <c r="E138" s="49" t="inlineStr">
        <is>
          <t>土</t>
        </is>
      </c>
      <c r="F138" s="48" t="inlineStr">
        <is>
          <t>渡辺・柳沼</t>
        </is>
      </c>
      <c r="G138" s="48" t="inlineStr">
        <is>
          <t>産廃</t>
        </is>
      </c>
      <c r="H138" s="50" t="n">
        <v>0</v>
      </c>
      <c r="I138" s="51" t="n">
        <v>0</v>
      </c>
      <c r="J138" s="43" t="n">
        <v>0</v>
      </c>
      <c r="K138" s="44">
        <f>IF(J138&gt;0,I138*J138,"")</f>
        <v/>
      </c>
    </row>
    <row r="139" ht="18" customHeight="1">
      <c r="A139" s="45" t="inlineStr">
        <is>
          <t>MT-043</t>
        </is>
      </c>
      <c r="B139" s="46" t="inlineStr">
        <is>
          <t>大江戸線月島駅</t>
        </is>
      </c>
      <c r="C139" s="47" t="inlineStr">
        <is>
          <t>都営地下鉄</t>
        </is>
      </c>
      <c r="D139" s="48" t="inlineStr">
        <is>
          <t>東京都中央区月島１－５－４</t>
        </is>
      </c>
      <c r="E139" s="49" t="inlineStr">
        <is>
          <t>土・水・火</t>
        </is>
      </c>
      <c r="F139" s="48" t="inlineStr">
        <is>
          <t>宮原・岡田</t>
        </is>
      </c>
      <c r="G139" s="48" t="inlineStr">
        <is>
          <t>一般廃・産廃</t>
        </is>
      </c>
      <c r="H139" s="50" t="n">
        <v>72</v>
      </c>
      <c r="I139" s="51">
        <f>ROUND(H139*4.33,0)</f>
        <v/>
      </c>
      <c r="J139" s="43" t="n">
        <v>0</v>
      </c>
      <c r="K139" s="44">
        <f>IF(J139&gt;0,I139*J139,"")</f>
        <v/>
      </c>
    </row>
    <row r="140" ht="18" customHeight="1">
      <c r="A140" s="45" t="inlineStr">
        <is>
          <t>MT-044</t>
        </is>
      </c>
      <c r="B140" s="46" t="inlineStr">
        <is>
          <t>大江戸線本郷三丁目駅</t>
        </is>
      </c>
      <c r="C140" s="47" t="inlineStr">
        <is>
          <t>都営地下鉄</t>
        </is>
      </c>
      <c r="D140" s="48" t="inlineStr">
        <is>
          <t>東京都文京区本郷２－４０－８</t>
        </is>
      </c>
      <c r="E140" s="49" t="inlineStr">
        <is>
          <t>土</t>
        </is>
      </c>
      <c r="F140" s="48" t="inlineStr">
        <is>
          <t>渡辺・柳沼</t>
        </is>
      </c>
      <c r="G140" s="48" t="inlineStr">
        <is>
          <t>産廃</t>
        </is>
      </c>
      <c r="H140" s="50" t="n">
        <v>8</v>
      </c>
      <c r="I140" s="51">
        <f>ROUND(H140*4.33,0)</f>
        <v/>
      </c>
      <c r="J140" s="43" t="n">
        <v>0</v>
      </c>
      <c r="K140" s="44">
        <f>IF(J140&gt;0,I140*J140,"")</f>
        <v/>
      </c>
    </row>
    <row r="141" ht="18" customHeight="1">
      <c r="A141" s="45" t="inlineStr">
        <is>
          <t>MT-045</t>
        </is>
      </c>
      <c r="B141" s="46" t="inlineStr">
        <is>
          <t>大江戸線東中野駅</t>
        </is>
      </c>
      <c r="C141" s="47" t="inlineStr">
        <is>
          <t>都営地下鉄</t>
        </is>
      </c>
      <c r="D141" s="48" t="inlineStr">
        <is>
          <t>東京都中野区東中野３－８－１６</t>
        </is>
      </c>
      <c r="E141" s="49" t="inlineStr">
        <is>
          <t>土・月・木</t>
        </is>
      </c>
      <c r="F141" s="48" t="inlineStr">
        <is>
          <t>大迫・宮原</t>
        </is>
      </c>
      <c r="G141" s="48" t="inlineStr">
        <is>
          <t>一般廃・産廃</t>
        </is>
      </c>
      <c r="H141" s="50" t="n">
        <v>74</v>
      </c>
      <c r="I141" s="51">
        <f>ROUND(H141*4.33,0)</f>
        <v/>
      </c>
      <c r="J141" s="43" t="n">
        <v>0</v>
      </c>
      <c r="K141" s="44">
        <f>IF(J141&gt;0,I141*J141,"")</f>
        <v/>
      </c>
    </row>
    <row r="142" ht="18" customHeight="1">
      <c r="A142" s="45" t="inlineStr">
        <is>
          <t>MT-046</t>
        </is>
      </c>
      <c r="B142" s="46" t="inlineStr">
        <is>
          <t>大江戸線東新宿駅</t>
        </is>
      </c>
      <c r="C142" s="47" t="inlineStr">
        <is>
          <t>都営地下鉄</t>
        </is>
      </c>
      <c r="D142" s="48" t="inlineStr">
        <is>
          <t>東京都新宿区新宿７－２７－３</t>
        </is>
      </c>
      <c r="E142" s="49" t="inlineStr">
        <is>
          <t>土・月・木・火</t>
        </is>
      </c>
      <c r="F142" s="48" t="inlineStr">
        <is>
          <t>大迫・宮原</t>
        </is>
      </c>
      <c r="G142" s="48" t="inlineStr">
        <is>
          <t>一般廃・産廃</t>
        </is>
      </c>
      <c r="H142" s="50" t="n">
        <v>84</v>
      </c>
      <c r="I142" s="51">
        <f>ROUND(H142*4.33,0)</f>
        <v/>
      </c>
      <c r="J142" s="43" t="n">
        <v>0</v>
      </c>
      <c r="K142" s="44">
        <f>IF(J142&gt;0,I142*J142,"")</f>
        <v/>
      </c>
    </row>
    <row r="143" ht="18" customHeight="1">
      <c r="A143" s="45" t="inlineStr">
        <is>
          <t>MT-047</t>
        </is>
      </c>
      <c r="B143" s="46" t="inlineStr">
        <is>
          <t>大江戸線森下駅</t>
        </is>
      </c>
      <c r="C143" s="47" t="inlineStr">
        <is>
          <t>都営地下鉄</t>
        </is>
      </c>
      <c r="D143" s="48" t="inlineStr">
        <is>
          <t>東京都江東区森下２－１７－１７</t>
        </is>
      </c>
      <c r="E143" s="49" t="inlineStr">
        <is>
          <t>月・木・金</t>
        </is>
      </c>
      <c r="F143" s="48" t="inlineStr">
        <is>
          <t>宮原・岡田</t>
        </is>
      </c>
      <c r="G143" s="48" t="inlineStr">
        <is>
          <t>一般廃・産廃</t>
        </is>
      </c>
      <c r="H143" s="50" t="n">
        <v>38</v>
      </c>
      <c r="I143" s="51">
        <f>ROUND(H143*4.33,0)</f>
        <v/>
      </c>
      <c r="J143" s="43" t="n">
        <v>0</v>
      </c>
      <c r="K143" s="44">
        <f>IF(J143&gt;0,I143*J143,"")</f>
        <v/>
      </c>
    </row>
    <row r="144" ht="18" customHeight="1">
      <c r="A144" s="45" t="inlineStr">
        <is>
          <t>MT-048</t>
        </is>
      </c>
      <c r="B144" s="46" t="inlineStr">
        <is>
          <t>大江戸線汐留駅</t>
        </is>
      </c>
      <c r="C144" s="47" t="inlineStr">
        <is>
          <t>都営地下鉄</t>
        </is>
      </c>
      <c r="D144" s="48" t="inlineStr">
        <is>
          <t>東京都港区東新橋１－５－８</t>
        </is>
      </c>
      <c r="E144" s="49" t="inlineStr">
        <is>
          <t>土・木</t>
        </is>
      </c>
      <c r="F144" s="48" t="inlineStr">
        <is>
          <t>宮原・玉山・岡田</t>
        </is>
      </c>
      <c r="G144" s="48" t="inlineStr">
        <is>
          <t>一般廃・産廃</t>
        </is>
      </c>
      <c r="H144" s="50" t="n">
        <v>64</v>
      </c>
      <c r="I144" s="51">
        <f>ROUND(H144*4.33,0)</f>
        <v/>
      </c>
      <c r="J144" s="43" t="n">
        <v>0</v>
      </c>
      <c r="K144" s="44">
        <f>IF(J144&gt;0,I144*J144,"")</f>
        <v/>
      </c>
    </row>
    <row r="145" ht="18" customHeight="1">
      <c r="A145" s="45" t="inlineStr">
        <is>
          <t>MT-049</t>
        </is>
      </c>
      <c r="B145" s="46" t="inlineStr">
        <is>
          <t>大江戸線清澄白河駅</t>
        </is>
      </c>
      <c r="C145" s="47" t="inlineStr">
        <is>
          <t>都営地下鉄</t>
        </is>
      </c>
      <c r="D145" s="48" t="inlineStr">
        <is>
          <t>東京都江東区清澄３－１１－４</t>
        </is>
      </c>
      <c r="E145" s="49" t="inlineStr">
        <is>
          <t>土・木・水</t>
        </is>
      </c>
      <c r="F145" s="48" t="inlineStr">
        <is>
          <t>宮原・岡田</t>
        </is>
      </c>
      <c r="G145" s="48" t="inlineStr">
        <is>
          <t>一般廃・産廃</t>
        </is>
      </c>
      <c r="H145" s="50" t="n">
        <v>56</v>
      </c>
      <c r="I145" s="51">
        <f>ROUND(H145*4.33,0)</f>
        <v/>
      </c>
      <c r="J145" s="43" t="n">
        <v>0</v>
      </c>
      <c r="K145" s="44">
        <f>IF(J145&gt;0,I145*J145,"")</f>
        <v/>
      </c>
    </row>
    <row r="146" ht="18" customHeight="1">
      <c r="A146" s="45" t="inlineStr">
        <is>
          <t>MT-050</t>
        </is>
      </c>
      <c r="B146" s="46" t="inlineStr">
        <is>
          <t>大江戸線牛込柳町駅</t>
        </is>
      </c>
      <c r="C146" s="47" t="inlineStr">
        <is>
          <t>都営地下鉄</t>
        </is>
      </c>
      <c r="D146" s="48" t="inlineStr">
        <is>
          <t>東京都新宿区原町２－３－２</t>
        </is>
      </c>
      <c r="E146" s="49" t="inlineStr">
        <is>
          <t>土・月・木</t>
        </is>
      </c>
      <c r="F146" s="48" t="inlineStr">
        <is>
          <t>大迫・宮原</t>
        </is>
      </c>
      <c r="G146" s="48" t="inlineStr">
        <is>
          <t>一般廃・産廃</t>
        </is>
      </c>
      <c r="H146" s="50" t="n">
        <v>72</v>
      </c>
      <c r="I146" s="51">
        <f>ROUND(H146*4.33,0)</f>
        <v/>
      </c>
      <c r="J146" s="43" t="n">
        <v>0</v>
      </c>
      <c r="K146" s="44">
        <f>IF(J146&gt;0,I146*J146,"")</f>
        <v/>
      </c>
    </row>
    <row r="147" ht="18" customHeight="1">
      <c r="A147" s="45" t="inlineStr">
        <is>
          <t>MT-051</t>
        </is>
      </c>
      <c r="B147" s="46" t="inlineStr">
        <is>
          <t>大江戸線牛込神楽坂駅</t>
        </is>
      </c>
      <c r="C147" s="47" t="inlineStr">
        <is>
          <t>都営地下鉄</t>
        </is>
      </c>
      <c r="D147" s="48" t="inlineStr">
        <is>
          <t>東京都新宿区箪笥町１５</t>
        </is>
      </c>
      <c r="E147" s="49" t="inlineStr">
        <is>
          <t>土・月・木</t>
        </is>
      </c>
      <c r="F147" s="48" t="inlineStr">
        <is>
          <t>大迫・宮原</t>
        </is>
      </c>
      <c r="G147" s="48" t="inlineStr">
        <is>
          <t>一般廃・産廃</t>
        </is>
      </c>
      <c r="H147" s="50" t="n">
        <v>56</v>
      </c>
      <c r="I147" s="51">
        <f>ROUND(H147*4.33,0)</f>
        <v/>
      </c>
      <c r="J147" s="43" t="n">
        <v>0</v>
      </c>
      <c r="K147" s="44">
        <f>IF(J147&gt;0,I147*J147,"")</f>
        <v/>
      </c>
    </row>
    <row r="148" ht="18" customHeight="1">
      <c r="A148" s="45" t="inlineStr">
        <is>
          <t>MT-052</t>
        </is>
      </c>
      <c r="B148" s="46" t="inlineStr">
        <is>
          <t>大江戸線築地市場駅</t>
        </is>
      </c>
      <c r="C148" s="47" t="inlineStr">
        <is>
          <t>都営地下鉄</t>
        </is>
      </c>
      <c r="D148" s="48" t="inlineStr">
        <is>
          <t>東京都中央区築地５－１－２</t>
        </is>
      </c>
      <c r="E148" s="49" t="inlineStr">
        <is>
          <t>土・火</t>
        </is>
      </c>
      <c r="F148" s="48" t="inlineStr">
        <is>
          <t>宮原・玉山・岡田</t>
        </is>
      </c>
      <c r="G148" s="48" t="inlineStr">
        <is>
          <t>一般廃・産廃</t>
        </is>
      </c>
      <c r="H148" s="50" t="n">
        <v>64</v>
      </c>
      <c r="I148" s="51">
        <f>ROUND(H148*4.33,0)</f>
        <v/>
      </c>
      <c r="J148" s="43" t="n">
        <v>0</v>
      </c>
      <c r="K148" s="44">
        <f>IF(J148&gt;0,I148*J148,"")</f>
        <v/>
      </c>
    </row>
    <row r="149" ht="18" customHeight="1">
      <c r="A149" s="45" t="inlineStr">
        <is>
          <t>MT-053</t>
        </is>
      </c>
      <c r="B149" s="46" t="inlineStr">
        <is>
          <t>大江戸線練馬春日町駅</t>
        </is>
      </c>
      <c r="C149" s="47" t="inlineStr">
        <is>
          <t>都営地下鉄</t>
        </is>
      </c>
      <c r="D149" s="48" t="inlineStr">
        <is>
          <t>東京都練馬区春日町３－２９－２５</t>
        </is>
      </c>
      <c r="E149" s="49" t="inlineStr">
        <is>
          <t>土・火</t>
        </is>
      </c>
      <c r="F149" s="48" t="inlineStr">
        <is>
          <t>大迫・宮原</t>
        </is>
      </c>
      <c r="G149" s="48" t="inlineStr">
        <is>
          <t>一般廃・産廃</t>
        </is>
      </c>
      <c r="H149" s="50" t="n">
        <v>66</v>
      </c>
      <c r="I149" s="51">
        <f>ROUND(H149*4.33,0)</f>
        <v/>
      </c>
      <c r="J149" s="43" t="n">
        <v>0</v>
      </c>
      <c r="K149" s="44">
        <f>IF(J149&gt;0,I149*J149,"")</f>
        <v/>
      </c>
    </row>
    <row r="150" ht="18" customHeight="1">
      <c r="A150" s="45" t="inlineStr">
        <is>
          <t>MT-054</t>
        </is>
      </c>
      <c r="B150" s="46" t="inlineStr">
        <is>
          <t>大江戸線練馬駅</t>
        </is>
      </c>
      <c r="C150" s="47" t="inlineStr">
        <is>
          <t>都営地下鉄</t>
        </is>
      </c>
      <c r="D150" s="48" t="inlineStr">
        <is>
          <t>東京都練馬区豊玉北５－１７－１２</t>
        </is>
      </c>
      <c r="E150" s="49" t="inlineStr">
        <is>
          <t>土・月・木・火</t>
        </is>
      </c>
      <c r="F150" s="48" t="inlineStr">
        <is>
          <t>大迫・宮原</t>
        </is>
      </c>
      <c r="G150" s="48" t="inlineStr">
        <is>
          <t>一般廃・産廃</t>
        </is>
      </c>
      <c r="H150" s="50" t="n">
        <v>102</v>
      </c>
      <c r="I150" s="51">
        <f>ROUND(H150*4.33,0)</f>
        <v/>
      </c>
      <c r="J150" s="43" t="n">
        <v>0</v>
      </c>
      <c r="K150" s="44">
        <f>IF(J150&gt;0,I150*J150,"")</f>
        <v/>
      </c>
    </row>
    <row r="151" ht="18" customHeight="1">
      <c r="A151" s="45" t="inlineStr">
        <is>
          <t>MT-055</t>
        </is>
      </c>
      <c r="B151" s="46" t="inlineStr">
        <is>
          <t>大江戸線若松河田駅</t>
        </is>
      </c>
      <c r="C151" s="47" t="inlineStr">
        <is>
          <t>都営地下鉄</t>
        </is>
      </c>
      <c r="D151" s="48" t="inlineStr">
        <is>
          <t>東京都新宿区河田町１０－１０</t>
        </is>
      </c>
      <c r="E151" s="49" t="inlineStr">
        <is>
          <t>土・月・火</t>
        </is>
      </c>
      <c r="F151" s="48" t="inlineStr">
        <is>
          <t>大迫・宮原</t>
        </is>
      </c>
      <c r="G151" s="48" t="inlineStr">
        <is>
          <t>一般廃・産廃</t>
        </is>
      </c>
      <c r="H151" s="50" t="n">
        <v>56</v>
      </c>
      <c r="I151" s="51">
        <f>ROUND(H151*4.33,0)</f>
        <v/>
      </c>
      <c r="J151" s="43" t="n">
        <v>0</v>
      </c>
      <c r="K151" s="44">
        <f>IF(J151&gt;0,I151*J151,"")</f>
        <v/>
      </c>
    </row>
    <row r="152" ht="18" customHeight="1">
      <c r="A152" s="45" t="inlineStr">
        <is>
          <t>MT-056</t>
        </is>
      </c>
      <c r="B152" s="46" t="inlineStr">
        <is>
          <t>大江戸線落合南長崎駅</t>
        </is>
      </c>
      <c r="C152" s="47" t="inlineStr">
        <is>
          <t>都営地下鉄</t>
        </is>
      </c>
      <c r="D152" s="48" t="inlineStr">
        <is>
          <t>東京都新宿区西落合３－１－１</t>
        </is>
      </c>
      <c r="E152" s="49" t="inlineStr">
        <is>
          <t>木・火</t>
        </is>
      </c>
      <c r="F152" s="48" t="inlineStr">
        <is>
          <t>大迫・宮原</t>
        </is>
      </c>
      <c r="G152" s="48" t="inlineStr">
        <is>
          <t>一般廃・産廃</t>
        </is>
      </c>
      <c r="H152" s="50" t="n">
        <v>56</v>
      </c>
      <c r="I152" s="51">
        <f>ROUND(H152*4.33,0)</f>
        <v/>
      </c>
      <c r="J152" s="43" t="n">
        <v>0</v>
      </c>
      <c r="K152" s="44">
        <f>IF(J152&gt;0,I152*J152,"")</f>
        <v/>
      </c>
    </row>
    <row r="153" ht="18" customHeight="1">
      <c r="A153" s="45" t="inlineStr">
        <is>
          <t>MT-057</t>
        </is>
      </c>
      <c r="B153" s="46" t="inlineStr">
        <is>
          <t>大江戸線蔵前駅</t>
        </is>
      </c>
      <c r="C153" s="47" t="inlineStr">
        <is>
          <t>都営地下鉄</t>
        </is>
      </c>
      <c r="D153" s="48" t="inlineStr">
        <is>
          <t>東京都台東区寿３－３－１</t>
        </is>
      </c>
      <c r="E153" s="49" t="inlineStr">
        <is>
          <t>土・月・金</t>
        </is>
      </c>
      <c r="F153" s="48" t="inlineStr">
        <is>
          <t>宮原・玉山・岡田</t>
        </is>
      </c>
      <c r="G153" s="48" t="inlineStr">
        <is>
          <t>一般廃・産廃</t>
        </is>
      </c>
      <c r="H153" s="50" t="n">
        <v>46</v>
      </c>
      <c r="I153" s="51">
        <f>ROUND(H153*4.33,0)</f>
        <v/>
      </c>
      <c r="J153" s="43" t="n">
        <v>0</v>
      </c>
      <c r="K153" s="44">
        <f>IF(J153&gt;0,I153*J153,"")</f>
        <v/>
      </c>
    </row>
    <row r="154" ht="18" customHeight="1">
      <c r="A154" s="45" t="inlineStr">
        <is>
          <t>MT-058</t>
        </is>
      </c>
      <c r="B154" s="46" t="inlineStr">
        <is>
          <t>大江戸線西新宿五丁目駅</t>
        </is>
      </c>
      <c r="C154" s="47" t="inlineStr">
        <is>
          <t>都営地下鉄</t>
        </is>
      </c>
      <c r="D154" s="48" t="inlineStr">
        <is>
          <t>東京都新宿区西新宿５－２５－９</t>
        </is>
      </c>
      <c r="E154" s="49" t="inlineStr">
        <is>
          <t>土・火</t>
        </is>
      </c>
      <c r="F154" s="48" t="inlineStr">
        <is>
          <t>大迫・宮原</t>
        </is>
      </c>
      <c r="G154" s="48" t="inlineStr">
        <is>
          <t>一般廃・産廃</t>
        </is>
      </c>
      <c r="H154" s="50" t="n">
        <v>44</v>
      </c>
      <c r="I154" s="51">
        <f>ROUND(H154*4.33,0)</f>
        <v/>
      </c>
      <c r="J154" s="43" t="n">
        <v>0</v>
      </c>
      <c r="K154" s="44">
        <f>IF(J154&gt;0,I154*J154,"")</f>
        <v/>
      </c>
    </row>
    <row r="155" ht="18" customHeight="1">
      <c r="A155" s="45" t="inlineStr">
        <is>
          <t>MT-059</t>
        </is>
      </c>
      <c r="B155" s="46" t="inlineStr">
        <is>
          <t>大江戸線豊島園駅</t>
        </is>
      </c>
      <c r="C155" s="47" t="inlineStr">
        <is>
          <t>都営地下鉄</t>
        </is>
      </c>
      <c r="D155" s="48" t="inlineStr">
        <is>
          <t>東京都練馬区練馬４－１４－１７</t>
        </is>
      </c>
      <c r="E155" s="49" t="inlineStr">
        <is>
          <t>土・月・火</t>
        </is>
      </c>
      <c r="F155" s="48" t="inlineStr">
        <is>
          <t>大迫・宮原</t>
        </is>
      </c>
      <c r="G155" s="48" t="inlineStr">
        <is>
          <t>一般廃・産廃</t>
        </is>
      </c>
      <c r="H155" s="50" t="n">
        <v>88</v>
      </c>
      <c r="I155" s="51">
        <f>ROUND(H155*4.33,0)</f>
        <v/>
      </c>
      <c r="J155" s="43" t="n">
        <v>0</v>
      </c>
      <c r="K155" s="44">
        <f>IF(J155&gt;0,I155*J155,"")</f>
        <v/>
      </c>
    </row>
    <row r="156" ht="18" customHeight="1">
      <c r="A156" s="45" t="inlineStr">
        <is>
          <t>MT-060</t>
        </is>
      </c>
      <c r="B156" s="46" t="inlineStr">
        <is>
          <t>大江戸線赤羽橋駅</t>
        </is>
      </c>
      <c r="C156" s="47" t="inlineStr">
        <is>
          <t>都営地下鉄</t>
        </is>
      </c>
      <c r="D156" s="48" t="inlineStr">
        <is>
          <t>東京都港区麻布十番１－４－６</t>
        </is>
      </c>
      <c r="E156" s="49" t="inlineStr">
        <is>
          <t>土・水・火</t>
        </is>
      </c>
      <c r="F156" s="48" t="inlineStr">
        <is>
          <t>宮原・岡田</t>
        </is>
      </c>
      <c r="G156" s="48" t="inlineStr">
        <is>
          <t>一般廃・産廃</t>
        </is>
      </c>
      <c r="H156" s="50" t="n">
        <v>72</v>
      </c>
      <c r="I156" s="51">
        <f>ROUND(H156*4.33,0)</f>
        <v/>
      </c>
      <c r="J156" s="43" t="n">
        <v>0</v>
      </c>
      <c r="K156" s="44">
        <f>IF(J156&gt;0,I156*J156,"")</f>
        <v/>
      </c>
    </row>
    <row r="157" ht="18" customHeight="1">
      <c r="A157" s="45" t="inlineStr">
        <is>
          <t>MT-061</t>
        </is>
      </c>
      <c r="B157" s="46" t="inlineStr">
        <is>
          <t>大江戸線都庁前駅</t>
        </is>
      </c>
      <c r="C157" s="47" t="inlineStr">
        <is>
          <t>都営地下鉄</t>
        </is>
      </c>
      <c r="D157" s="48" t="inlineStr">
        <is>
          <t>東京都新宿区西新宿２－８－１</t>
        </is>
      </c>
      <c r="E157" s="49" t="inlineStr">
        <is>
          <t>土・木・火</t>
        </is>
      </c>
      <c r="F157" s="48" t="inlineStr">
        <is>
          <t>大迫・宮原</t>
        </is>
      </c>
      <c r="G157" s="48" t="inlineStr">
        <is>
          <t>一般廃・産廃</t>
        </is>
      </c>
      <c r="H157" s="50" t="n">
        <v>208</v>
      </c>
      <c r="I157" s="51">
        <f>ROUND(H157*4.33,0)</f>
        <v/>
      </c>
      <c r="J157" s="43" t="n">
        <v>0</v>
      </c>
      <c r="K157" s="44">
        <f>IF(J157&gt;0,I157*J157,"")</f>
        <v/>
      </c>
    </row>
    <row r="158" ht="18" customHeight="1">
      <c r="A158" s="45" t="inlineStr">
        <is>
          <t>MT-062</t>
        </is>
      </c>
      <c r="B158" s="46" t="inlineStr">
        <is>
          <t>大江戸線門前仲町駅</t>
        </is>
      </c>
      <c r="C158" s="47" t="inlineStr">
        <is>
          <t>都営地下鉄</t>
        </is>
      </c>
      <c r="D158" s="48" t="inlineStr">
        <is>
          <t>東京都江東区門前仲町２－５－２</t>
        </is>
      </c>
      <c r="E158" s="49" t="inlineStr">
        <is>
          <t>土・木・水・火</t>
        </is>
      </c>
      <c r="F158" s="48" t="inlineStr">
        <is>
          <t>宮原・岡田</t>
        </is>
      </c>
      <c r="G158" s="48" t="inlineStr">
        <is>
          <t>一般廃・産廃</t>
        </is>
      </c>
      <c r="H158" s="50" t="n">
        <v>164</v>
      </c>
      <c r="I158" s="51">
        <f>ROUND(H158*4.33,0)</f>
        <v/>
      </c>
      <c r="J158" s="43" t="n">
        <v>0</v>
      </c>
      <c r="K158" s="44">
        <f>IF(J158&gt;0,I158*J158,"")</f>
        <v/>
      </c>
    </row>
    <row r="159" ht="18" customHeight="1">
      <c r="A159" s="45" t="inlineStr">
        <is>
          <t>MT-063</t>
        </is>
      </c>
      <c r="B159" s="46" t="inlineStr">
        <is>
          <t>大江戸線青山一丁目駅</t>
        </is>
      </c>
      <c r="C159" s="47" t="inlineStr">
        <is>
          <t>都営地下鉄</t>
        </is>
      </c>
      <c r="D159" s="48" t="inlineStr">
        <is>
          <t>東京都港区北青山１－２－４</t>
        </is>
      </c>
      <c r="E159" s="49" t="inlineStr">
        <is>
          <t>土・木・水・火</t>
        </is>
      </c>
      <c r="F159" s="48" t="inlineStr">
        <is>
          <t>宮原・岡田</t>
        </is>
      </c>
      <c r="G159" s="48" t="inlineStr">
        <is>
          <t>一般廃・産廃</t>
        </is>
      </c>
      <c r="H159" s="50" t="n">
        <v>122</v>
      </c>
      <c r="I159" s="51">
        <f>ROUND(H159*4.33,0)</f>
        <v/>
      </c>
      <c r="J159" s="43" t="n">
        <v>0</v>
      </c>
      <c r="K159" s="44">
        <f>IF(J159&gt;0,I159*J159,"")</f>
        <v/>
      </c>
    </row>
    <row r="160" ht="18" customHeight="1">
      <c r="A160" s="45" t="inlineStr">
        <is>
          <t>MT-064</t>
        </is>
      </c>
      <c r="B160" s="46" t="inlineStr">
        <is>
          <t>大江戸線飯田橋駅</t>
        </is>
      </c>
      <c r="C160" s="47" t="inlineStr">
        <is>
          <t>都営地下鉄</t>
        </is>
      </c>
      <c r="D160" s="48" t="inlineStr">
        <is>
          <t>東京都文京区後楽１－９－５</t>
        </is>
      </c>
      <c r="E160" s="49" t="inlineStr">
        <is>
          <t>土・木・火</t>
        </is>
      </c>
      <c r="F160" s="48" t="inlineStr">
        <is>
          <t>大迫・宮原</t>
        </is>
      </c>
      <c r="G160" s="48" t="inlineStr">
        <is>
          <t>一般廃・産廃</t>
        </is>
      </c>
      <c r="H160" s="50" t="n">
        <v>56</v>
      </c>
      <c r="I160" s="51">
        <f>ROUND(H160*4.33,0)</f>
        <v/>
      </c>
      <c r="J160" s="43" t="n">
        <v>0</v>
      </c>
      <c r="K160" s="44">
        <f>IF(J160&gt;0,I160*J160,"")</f>
        <v/>
      </c>
    </row>
    <row r="161" ht="18" customHeight="1">
      <c r="A161" s="45" t="inlineStr">
        <is>
          <t>MT-065</t>
        </is>
      </c>
      <c r="B161" s="46" t="inlineStr">
        <is>
          <t>大江戸線麻布十番駅</t>
        </is>
      </c>
      <c r="C161" s="47" t="inlineStr">
        <is>
          <t>都営地下鉄</t>
        </is>
      </c>
      <c r="D161" s="48" t="inlineStr">
        <is>
          <t>東京都港区麻布十番１－４－６</t>
        </is>
      </c>
      <c r="E161" s="49" t="inlineStr">
        <is>
          <t>土・水</t>
        </is>
      </c>
      <c r="F161" s="48" t="inlineStr">
        <is>
          <t>宮原・岡田</t>
        </is>
      </c>
      <c r="G161" s="48" t="inlineStr">
        <is>
          <t>一般廃・産廃</t>
        </is>
      </c>
      <c r="H161" s="50" t="n">
        <v>56</v>
      </c>
      <c r="I161" s="51">
        <f>ROUND(H161*4.33,0)</f>
        <v/>
      </c>
      <c r="J161" s="43" t="n">
        <v>0</v>
      </c>
      <c r="K161" s="44">
        <f>IF(J161&gt;0,I161*J161,"")</f>
        <v/>
      </c>
    </row>
    <row r="162" ht="18" customHeight="1">
      <c r="A162" s="45" t="inlineStr">
        <is>
          <t>MT-066</t>
        </is>
      </c>
      <c r="B162" s="46" t="inlineStr">
        <is>
          <t>新宿線一之江駅</t>
        </is>
      </c>
      <c r="C162" s="47" t="inlineStr">
        <is>
          <t>都営地下鉄</t>
        </is>
      </c>
      <c r="D162" s="48" t="inlineStr">
        <is>
          <t>新宿線江戸川区春江町４－２</t>
        </is>
      </c>
      <c r="E162" s="49" t="inlineStr">
        <is>
          <t>月・水・火・金</t>
        </is>
      </c>
      <c r="F162" s="48" t="inlineStr">
        <is>
          <t>宮原・岡田</t>
        </is>
      </c>
      <c r="G162" s="48" t="inlineStr">
        <is>
          <t>一般廃・産廃</t>
        </is>
      </c>
      <c r="H162" s="50" t="n">
        <v>94</v>
      </c>
      <c r="I162" s="51">
        <f>ROUND(H162*4.33,0)</f>
        <v/>
      </c>
      <c r="J162" s="43" t="n">
        <v>0</v>
      </c>
      <c r="K162" s="44">
        <f>IF(J162&gt;0,I162*J162,"")</f>
        <v/>
      </c>
    </row>
    <row r="163" ht="18" customHeight="1">
      <c r="A163" s="45" t="inlineStr">
        <is>
          <t>MT-067</t>
        </is>
      </c>
      <c r="B163" s="46" t="inlineStr">
        <is>
          <t>新宿線九段下駅</t>
        </is>
      </c>
      <c r="C163" s="47" t="inlineStr">
        <is>
          <t>都営地下鉄</t>
        </is>
      </c>
      <c r="D163" s="48" t="inlineStr">
        <is>
          <t>東京都千代田区九段北１－１３－１９</t>
        </is>
      </c>
      <c r="E163" s="49" t="inlineStr">
        <is>
          <t>土・月・水・金</t>
        </is>
      </c>
      <c r="F163" s="48" t="inlineStr">
        <is>
          <t>宮原・玉山・岡田</t>
        </is>
      </c>
      <c r="G163" s="48" t="inlineStr">
        <is>
          <t>一般廃・産廃</t>
        </is>
      </c>
      <c r="H163" s="50" t="n">
        <v>100</v>
      </c>
      <c r="I163" s="51">
        <f>ROUND(H163*4.33,0)</f>
        <v/>
      </c>
      <c r="J163" s="43" t="n">
        <v>0</v>
      </c>
      <c r="K163" s="44">
        <f>IF(J163&gt;0,I163*J163,"")</f>
        <v/>
      </c>
    </row>
    <row r="164" ht="18" customHeight="1">
      <c r="A164" s="45" t="inlineStr">
        <is>
          <t>MT-068</t>
        </is>
      </c>
      <c r="B164" s="46" t="inlineStr">
        <is>
          <t>新宿線住吉駅</t>
        </is>
      </c>
      <c r="C164" s="47" t="inlineStr">
        <is>
          <t>都営地下鉄</t>
        </is>
      </c>
      <c r="D164" s="48" t="inlineStr">
        <is>
          <t>東京都江東区住吉２－２３－１２</t>
        </is>
      </c>
      <c r="E164" s="49" t="inlineStr">
        <is>
          <t>月・水</t>
        </is>
      </c>
      <c r="F164" s="48" t="inlineStr">
        <is>
          <t>宮原・岡田</t>
        </is>
      </c>
      <c r="G164" s="48" t="inlineStr">
        <is>
          <t>一般廃・産廃</t>
        </is>
      </c>
      <c r="H164" s="50" t="n">
        <v>48</v>
      </c>
      <c r="I164" s="51">
        <f>ROUND(H164*4.33,0)</f>
        <v/>
      </c>
      <c r="J164" s="43" t="n">
        <v>0</v>
      </c>
      <c r="K164" s="44">
        <f>IF(J164&gt;0,I164*J164,"")</f>
        <v/>
      </c>
    </row>
    <row r="165" ht="18" customHeight="1">
      <c r="A165" s="45" t="inlineStr">
        <is>
          <t>MT-069</t>
        </is>
      </c>
      <c r="B165" s="46" t="inlineStr">
        <is>
          <t>新宿線大島駅</t>
        </is>
      </c>
      <c r="C165" s="47" t="inlineStr">
        <is>
          <t>都営地下鉄</t>
        </is>
      </c>
      <c r="D165" s="48" t="inlineStr">
        <is>
          <t>東京都江東区大島５－１０－８</t>
        </is>
      </c>
      <c r="E165" s="49" t="inlineStr">
        <is>
          <t>月・木・水・金</t>
        </is>
      </c>
      <c r="F165" s="48" t="inlineStr">
        <is>
          <t>宮原・岡田</t>
        </is>
      </c>
      <c r="G165" s="48" t="inlineStr">
        <is>
          <t>一般廃・産廃</t>
        </is>
      </c>
      <c r="H165" s="50" t="n">
        <v>64</v>
      </c>
      <c r="I165" s="51">
        <f>ROUND(H165*4.33,0)</f>
        <v/>
      </c>
      <c r="J165" s="43" t="n">
        <v>0</v>
      </c>
      <c r="K165" s="44">
        <f>IF(J165&gt;0,I165*J165,"")</f>
        <v/>
      </c>
    </row>
    <row r="166" ht="18" customHeight="1">
      <c r="A166" s="45" t="inlineStr">
        <is>
          <t>MT-070</t>
        </is>
      </c>
      <c r="B166" s="46" t="inlineStr">
        <is>
          <t>新宿線小川町駅</t>
        </is>
      </c>
      <c r="C166" s="47" t="inlineStr">
        <is>
          <t>都営地下鉄</t>
        </is>
      </c>
      <c r="D166" s="48" t="inlineStr">
        <is>
          <t>東京都千代田区神田小川町１－６</t>
        </is>
      </c>
      <c r="E166" s="49" t="inlineStr">
        <is>
          <t>土・月・水・金</t>
        </is>
      </c>
      <c r="F166" s="48" t="inlineStr">
        <is>
          <t>宮原・玉山・岡田</t>
        </is>
      </c>
      <c r="G166" s="48" t="inlineStr">
        <is>
          <t>一般廃・産廃</t>
        </is>
      </c>
      <c r="H166" s="50" t="n">
        <v>110</v>
      </c>
      <c r="I166" s="51">
        <f>ROUND(H166*4.33,0)</f>
        <v/>
      </c>
      <c r="J166" s="43" t="n">
        <v>0</v>
      </c>
      <c r="K166" s="44">
        <f>IF(J166&gt;0,I166*J166,"")</f>
        <v/>
      </c>
    </row>
    <row r="167" ht="18" customHeight="1">
      <c r="A167" s="45" t="inlineStr">
        <is>
          <t>MT-071</t>
        </is>
      </c>
      <c r="B167" s="46" t="inlineStr">
        <is>
          <t>新宿線岩本町駅</t>
        </is>
      </c>
      <c r="C167" s="47" t="inlineStr">
        <is>
          <t>都営地下鉄</t>
        </is>
      </c>
      <c r="D167" s="48" t="inlineStr">
        <is>
          <t>東京都千代田区神田岩本町１</t>
        </is>
      </c>
      <c r="E167" s="49" t="inlineStr">
        <is>
          <t>月・水・火・金</t>
        </is>
      </c>
      <c r="F167" s="48" t="inlineStr">
        <is>
          <t>宮原・岡田</t>
        </is>
      </c>
      <c r="G167" s="48" t="inlineStr">
        <is>
          <t>一般廃・産廃</t>
        </is>
      </c>
      <c r="H167" s="50" t="n">
        <v>110</v>
      </c>
      <c r="I167" s="51">
        <f>ROUND(H167*4.33,0)</f>
        <v/>
      </c>
      <c r="J167" s="43" t="n">
        <v>0</v>
      </c>
      <c r="K167" s="44">
        <f>IF(J167&gt;0,I167*J167,"")</f>
        <v/>
      </c>
    </row>
    <row r="168" ht="18" customHeight="1">
      <c r="A168" s="45" t="inlineStr">
        <is>
          <t>MT-072</t>
        </is>
      </c>
      <c r="B168" s="46" t="inlineStr">
        <is>
          <t>新宿線市ヶ谷駅</t>
        </is>
      </c>
      <c r="C168" s="47" t="inlineStr">
        <is>
          <t>都営地下鉄</t>
        </is>
      </c>
      <c r="D168" s="48" t="inlineStr">
        <is>
          <t>東京都千代田区九段南４－８－２２</t>
        </is>
      </c>
      <c r="E168" s="49" t="inlineStr">
        <is>
          <t>月・水・火・金</t>
        </is>
      </c>
      <c r="F168" s="48" t="inlineStr">
        <is>
          <t>宮原・岡田</t>
        </is>
      </c>
      <c r="G168" s="48" t="inlineStr">
        <is>
          <t>一般廃・産廃</t>
        </is>
      </c>
      <c r="H168" s="50" t="n">
        <v>128</v>
      </c>
      <c r="I168" s="51">
        <f>ROUND(H168*4.33,0)</f>
        <v/>
      </c>
      <c r="J168" s="43" t="n">
        <v>0</v>
      </c>
      <c r="K168" s="44">
        <f>IF(J168&gt;0,I168*J168,"")</f>
        <v/>
      </c>
    </row>
    <row r="169" ht="18" customHeight="1">
      <c r="A169" s="45" t="inlineStr">
        <is>
          <t>MT-073</t>
        </is>
      </c>
      <c r="B169" s="46" t="inlineStr">
        <is>
          <t>新宿線新宿三丁目駅</t>
        </is>
      </c>
      <c r="C169" s="47" t="inlineStr">
        <is>
          <t>都営地下鉄</t>
        </is>
      </c>
      <c r="D169" s="48" t="inlineStr">
        <is>
          <t>東京都新宿区新宿３－３－２</t>
        </is>
      </c>
      <c r="E169" s="49" t="inlineStr">
        <is>
          <t>月・水・火・金</t>
        </is>
      </c>
      <c r="F169" s="48" t="inlineStr">
        <is>
          <t>宮原・岡田</t>
        </is>
      </c>
      <c r="G169" s="48" t="inlineStr">
        <is>
          <t>一般廃・産廃</t>
        </is>
      </c>
      <c r="H169" s="50" t="n">
        <v>162</v>
      </c>
      <c r="I169" s="51">
        <f>ROUND(H169*4.33,0)</f>
        <v/>
      </c>
      <c r="J169" s="43" t="n">
        <v>0</v>
      </c>
      <c r="K169" s="44">
        <f>IF(J169&gt;0,I169*J169,"")</f>
        <v/>
      </c>
    </row>
    <row r="170" ht="18" customHeight="1">
      <c r="A170" s="45" t="inlineStr">
        <is>
          <t>MT-074</t>
        </is>
      </c>
      <c r="B170" s="46" t="inlineStr">
        <is>
          <t>新宿線曙橋駅</t>
        </is>
      </c>
      <c r="C170" s="47" t="inlineStr">
        <is>
          <t>都営地下鉄</t>
        </is>
      </c>
      <c r="D170" s="48" t="inlineStr">
        <is>
          <t>東京都新宿区住吉町７－１</t>
        </is>
      </c>
      <c r="E170" s="49" t="inlineStr">
        <is>
          <t>月・木・水</t>
        </is>
      </c>
      <c r="F170" s="48" t="inlineStr">
        <is>
          <t>宮原・岡田</t>
        </is>
      </c>
      <c r="G170" s="48" t="inlineStr">
        <is>
          <t>一般廃・産廃</t>
        </is>
      </c>
      <c r="H170" s="50" t="n">
        <v>116</v>
      </c>
      <c r="I170" s="51">
        <f>ROUND(H170*4.33,0)</f>
        <v/>
      </c>
      <c r="J170" s="43" t="n">
        <v>0</v>
      </c>
      <c r="K170" s="44">
        <f>IF(J170&gt;0,I170*J170,"")</f>
        <v/>
      </c>
    </row>
    <row r="171" ht="18" customHeight="1">
      <c r="A171" s="45" t="inlineStr">
        <is>
          <t>MT-075</t>
        </is>
      </c>
      <c r="B171" s="46" t="inlineStr">
        <is>
          <t>新宿線東大島駅</t>
        </is>
      </c>
      <c r="C171" s="47" t="inlineStr">
        <is>
          <t>都営地下鉄</t>
        </is>
      </c>
      <c r="D171" s="48" t="inlineStr">
        <is>
          <t>東京都江東区大島９－３－１４</t>
        </is>
      </c>
      <c r="E171" s="49" t="inlineStr">
        <is>
          <t>月・木・水・金</t>
        </is>
      </c>
      <c r="F171" s="48" t="inlineStr">
        <is>
          <t>宮原・岡田</t>
        </is>
      </c>
      <c r="G171" s="48" t="inlineStr">
        <is>
          <t>一般廃・産廃</t>
        </is>
      </c>
      <c r="H171" s="50" t="n">
        <v>132</v>
      </c>
      <c r="I171" s="51">
        <f>ROUND(H171*4.33,0)</f>
        <v/>
      </c>
      <c r="J171" s="43" t="n">
        <v>0</v>
      </c>
      <c r="K171" s="44">
        <f>IF(J171&gt;0,I171*J171,"")</f>
        <v/>
      </c>
    </row>
    <row r="172" ht="18" customHeight="1">
      <c r="A172" s="45" t="inlineStr">
        <is>
          <t>MT-076</t>
        </is>
      </c>
      <c r="B172" s="46" t="inlineStr">
        <is>
          <t>新宿線森下駅</t>
        </is>
      </c>
      <c r="C172" s="47" t="inlineStr">
        <is>
          <t>都営地下鉄</t>
        </is>
      </c>
      <c r="D172" s="48" t="inlineStr">
        <is>
          <t>東京都江東区森下１－１３－１０</t>
        </is>
      </c>
      <c r="E172" s="49" t="inlineStr">
        <is>
          <t>月・木・金</t>
        </is>
      </c>
      <c r="F172" s="48" t="inlineStr">
        <is>
          <t>宮原・岡田</t>
        </is>
      </c>
      <c r="G172" s="48" t="inlineStr">
        <is>
          <t>一般廃・産廃</t>
        </is>
      </c>
      <c r="H172" s="50" t="n">
        <v>48</v>
      </c>
      <c r="I172" s="51">
        <f>ROUND(H172*4.33,0)</f>
        <v/>
      </c>
      <c r="J172" s="43" t="n">
        <v>0</v>
      </c>
      <c r="K172" s="44">
        <f>IF(J172&gt;0,I172*J172,"")</f>
        <v/>
      </c>
    </row>
    <row r="173" ht="18" customHeight="1">
      <c r="A173" s="45" t="inlineStr">
        <is>
          <t>MT-077</t>
        </is>
      </c>
      <c r="B173" s="46" t="inlineStr">
        <is>
          <t>新宿線浜町駅</t>
        </is>
      </c>
      <c r="C173" s="47" t="inlineStr">
        <is>
          <t>都営地下鉄</t>
        </is>
      </c>
      <c r="D173" s="48" t="inlineStr">
        <is>
          <t>東京都中央区日本橋浜町２－５９－３</t>
        </is>
      </c>
      <c r="E173" s="49" t="inlineStr">
        <is>
          <t>水・火・金</t>
        </is>
      </c>
      <c r="F173" s="48" t="inlineStr">
        <is>
          <t>宮原・岡田</t>
        </is>
      </c>
      <c r="G173" s="48" t="inlineStr">
        <is>
          <t>一般廃・産廃</t>
        </is>
      </c>
      <c r="H173" s="50" t="n">
        <v>54</v>
      </c>
      <c r="I173" s="51">
        <f>ROUND(H173*4.33,0)</f>
        <v/>
      </c>
      <c r="J173" s="43" t="n">
        <v>0</v>
      </c>
      <c r="K173" s="44">
        <f>IF(J173&gt;0,I173*J173,"")</f>
        <v/>
      </c>
    </row>
    <row r="174" ht="18" customHeight="1">
      <c r="A174" s="45" t="inlineStr">
        <is>
          <t>MT-078</t>
        </is>
      </c>
      <c r="B174" s="46" t="inlineStr">
        <is>
          <t>新宿線瑞江駅</t>
        </is>
      </c>
      <c r="C174" s="47" t="inlineStr">
        <is>
          <t>都営地下鉄</t>
        </is>
      </c>
      <c r="D174" s="48" t="inlineStr">
        <is>
          <t>新宿線江戸川区瑞江２－２－１</t>
        </is>
      </c>
      <c r="E174" s="49" t="inlineStr">
        <is>
          <t>月・木・水・金</t>
        </is>
      </c>
      <c r="F174" s="48" t="inlineStr">
        <is>
          <t>宮原・岡田</t>
        </is>
      </c>
      <c r="G174" s="48" t="inlineStr">
        <is>
          <t>一般廃・産廃</t>
        </is>
      </c>
      <c r="H174" s="50" t="n">
        <v>94</v>
      </c>
      <c r="I174" s="51">
        <f>ROUND(H174*4.33,0)</f>
        <v/>
      </c>
      <c r="J174" s="43" t="n">
        <v>0</v>
      </c>
      <c r="K174" s="44">
        <f>IF(J174&gt;0,I174*J174,"")</f>
        <v/>
      </c>
    </row>
    <row r="175" ht="18" customHeight="1">
      <c r="A175" s="45" t="inlineStr">
        <is>
          <t>MT-079</t>
        </is>
      </c>
      <c r="B175" s="46" t="inlineStr">
        <is>
          <t>新宿線神保町駅</t>
        </is>
      </c>
      <c r="C175" s="47" t="inlineStr">
        <is>
          <t>都営地下鉄</t>
        </is>
      </c>
      <c r="D175" s="48" t="inlineStr">
        <is>
          <t>東京都千代田区神田神保町２－７</t>
        </is>
      </c>
      <c r="E175" s="49" t="inlineStr">
        <is>
          <t>月・水・火・金</t>
        </is>
      </c>
      <c r="F175" s="48" t="inlineStr">
        <is>
          <t>宮原・岡田</t>
        </is>
      </c>
      <c r="G175" s="48" t="inlineStr">
        <is>
          <t>一般廃・産廃</t>
        </is>
      </c>
      <c r="H175" s="50" t="n">
        <v>100</v>
      </c>
      <c r="I175" s="51">
        <f>ROUND(H175*4.33,0)</f>
        <v/>
      </c>
      <c r="J175" s="43" t="n">
        <v>0</v>
      </c>
      <c r="K175" s="44">
        <f>IF(J175&gt;0,I175*J175,"")</f>
        <v/>
      </c>
    </row>
    <row r="176" ht="18" customHeight="1">
      <c r="A176" s="45" t="inlineStr">
        <is>
          <t>MT-080</t>
        </is>
      </c>
      <c r="B176" s="46" t="inlineStr">
        <is>
          <t>新宿線篠崎駅</t>
        </is>
      </c>
      <c r="C176" s="47" t="inlineStr">
        <is>
          <t>都営地下鉄</t>
        </is>
      </c>
      <c r="D176" s="48" t="inlineStr">
        <is>
          <t>東京都江戸川区篠崎町７－２７－１</t>
        </is>
      </c>
      <c r="E176" s="49" t="inlineStr">
        <is>
          <t>月・木・水</t>
        </is>
      </c>
      <c r="F176" s="48" t="inlineStr">
        <is>
          <t>宮原・岡田</t>
        </is>
      </c>
      <c r="G176" s="48" t="inlineStr">
        <is>
          <t>一般廃・産廃</t>
        </is>
      </c>
      <c r="H176" s="50" t="n">
        <v>64</v>
      </c>
      <c r="I176" s="51">
        <f>ROUND(H176*4.33,0)</f>
        <v/>
      </c>
      <c r="J176" s="43" t="n">
        <v>0</v>
      </c>
      <c r="K176" s="44">
        <f>IF(J176&gt;0,I176*J176,"")</f>
        <v/>
      </c>
    </row>
    <row r="177" ht="18" customHeight="1">
      <c r="A177" s="45" t="inlineStr">
        <is>
          <t>MT-081</t>
        </is>
      </c>
      <c r="B177" s="46" t="inlineStr">
        <is>
          <t>新宿線船堀駅</t>
        </is>
      </c>
      <c r="C177" s="47" t="inlineStr">
        <is>
          <t>都営地下鉄</t>
        </is>
      </c>
      <c r="D177" s="48" t="inlineStr">
        <is>
          <t>東京都江戸川区船堀３－６－１</t>
        </is>
      </c>
      <c r="E177" s="49" t="inlineStr">
        <is>
          <t>月・水・火・金</t>
        </is>
      </c>
      <c r="F177" s="48" t="inlineStr">
        <is>
          <t>宮原・岡田</t>
        </is>
      </c>
      <c r="G177" s="48" t="inlineStr">
        <is>
          <t>一般廃・産廃</t>
        </is>
      </c>
      <c r="H177" s="50" t="n">
        <v>84</v>
      </c>
      <c r="I177" s="51">
        <f>ROUND(H177*4.33,0)</f>
        <v/>
      </c>
      <c r="J177" s="43" t="n">
        <v>0</v>
      </c>
      <c r="K177" s="44">
        <f>IF(J177&gt;0,I177*J177,"")</f>
        <v/>
      </c>
    </row>
    <row r="178" ht="18" customHeight="1">
      <c r="A178" s="45" t="inlineStr">
        <is>
          <t>MT-082</t>
        </is>
      </c>
      <c r="B178" s="46" t="inlineStr">
        <is>
          <t>新宿線菊川駅</t>
        </is>
      </c>
      <c r="C178" s="47" t="inlineStr">
        <is>
          <t>都営地下鉄</t>
        </is>
      </c>
      <c r="D178" s="48" t="inlineStr">
        <is>
          <t>東京都墨田区菊川３－１６－２</t>
        </is>
      </c>
      <c r="E178" s="49" t="inlineStr">
        <is>
          <t>月・火・金</t>
        </is>
      </c>
      <c r="F178" s="48" t="inlineStr">
        <is>
          <t>宮原・岡田</t>
        </is>
      </c>
      <c r="G178" s="48" t="inlineStr">
        <is>
          <t>一般廃・産廃</t>
        </is>
      </c>
      <c r="H178" s="50" t="n">
        <v>48</v>
      </c>
      <c r="I178" s="51">
        <f>ROUND(H178*4.33,0)</f>
        <v/>
      </c>
      <c r="J178" s="43" t="n">
        <v>0</v>
      </c>
      <c r="K178" s="44">
        <f>IF(J178&gt;0,I178*J178,"")</f>
        <v/>
      </c>
    </row>
    <row r="179" ht="18" customHeight="1">
      <c r="A179" s="45" t="inlineStr">
        <is>
          <t>MT-083</t>
        </is>
      </c>
      <c r="B179" s="46" t="inlineStr">
        <is>
          <t>新宿線西大島駅</t>
        </is>
      </c>
      <c r="C179" s="47" t="inlineStr">
        <is>
          <t>都営地下鉄</t>
        </is>
      </c>
      <c r="D179" s="48" t="inlineStr">
        <is>
          <t>東京都江東区大島２－４１－１９</t>
        </is>
      </c>
      <c r="E179" s="49" t="inlineStr">
        <is>
          <t>月・木・水・金</t>
        </is>
      </c>
      <c r="F179" s="48" t="inlineStr">
        <is>
          <t>宮原・岡田</t>
        </is>
      </c>
      <c r="G179" s="48" t="inlineStr">
        <is>
          <t>一般廃・産廃</t>
        </is>
      </c>
      <c r="H179" s="50" t="n">
        <v>66</v>
      </c>
      <c r="I179" s="51">
        <f>ROUND(H179*4.33,0)</f>
        <v/>
      </c>
      <c r="J179" s="43" t="n">
        <v>0</v>
      </c>
      <c r="K179" s="44">
        <f>IF(J179&gt;0,I179*J179,"")</f>
        <v/>
      </c>
    </row>
    <row r="180" ht="18" customHeight="1">
      <c r="A180" s="45" t="inlineStr">
        <is>
          <t>MT-084</t>
        </is>
      </c>
      <c r="B180" s="46" t="inlineStr">
        <is>
          <t>新宿線馬喰横山駅</t>
        </is>
      </c>
      <c r="C180" s="47" t="inlineStr">
        <is>
          <t>都営地下鉄</t>
        </is>
      </c>
      <c r="D180" s="48" t="inlineStr">
        <is>
          <t>東京都中央区日本橋横山町４－１３</t>
        </is>
      </c>
      <c r="E180" s="49" t="inlineStr">
        <is>
          <t>月・水・金</t>
        </is>
      </c>
      <c r="F180" s="48" t="inlineStr">
        <is>
          <t>宮原・岡田</t>
        </is>
      </c>
      <c r="G180" s="48" t="inlineStr">
        <is>
          <t>一般廃・産廃</t>
        </is>
      </c>
      <c r="H180" s="50" t="n">
        <v>220</v>
      </c>
      <c r="I180" s="51">
        <f>ROUND(H180*4.33,0)</f>
        <v/>
      </c>
      <c r="J180" s="43" t="n">
        <v>0</v>
      </c>
      <c r="K180" s="44">
        <f>IF(J180&gt;0,I180*J180,"")</f>
        <v/>
      </c>
    </row>
    <row r="181" ht="18" customHeight="1">
      <c r="A181" s="45" t="inlineStr">
        <is>
          <t>MT-085</t>
        </is>
      </c>
      <c r="B181" s="46" t="inlineStr">
        <is>
          <t>日暮里・舎人ライナー舎人駅</t>
        </is>
      </c>
      <c r="C181" s="47" t="inlineStr">
        <is>
          <t>都営地下鉄</t>
        </is>
      </c>
      <c r="D181" s="48" t="inlineStr">
        <is>
          <t>東京都足立区舎人１－１６－１５</t>
        </is>
      </c>
      <c r="E181" s="49" t="inlineStr">
        <is>
          <t>土</t>
        </is>
      </c>
      <c r="F181" s="48" t="inlineStr">
        <is>
          <t>渡辺・柳沼</t>
        </is>
      </c>
      <c r="G181" s="48" t="inlineStr">
        <is>
          <t>産廃</t>
        </is>
      </c>
      <c r="H181" s="50" t="n">
        <v>56</v>
      </c>
      <c r="I181" s="51">
        <f>ROUND(H181*4.33,0)</f>
        <v/>
      </c>
      <c r="J181" s="43" t="n">
        <v>0</v>
      </c>
      <c r="K181" s="44">
        <f>IF(J181&gt;0,I181*J181,"")</f>
        <v/>
      </c>
    </row>
    <row r="182" ht="18" customHeight="1">
      <c r="A182" s="45" t="inlineStr">
        <is>
          <t>MT-086</t>
        </is>
      </c>
      <c r="B182" s="46" t="inlineStr">
        <is>
          <t>日暮里舎人ライナー日暮里駅</t>
        </is>
      </c>
      <c r="C182" s="47" t="inlineStr">
        <is>
          <t>都営地下鉄</t>
        </is>
      </c>
      <c r="D182" s="48" t="inlineStr">
        <is>
          <t>東京都荒川区西日暮里２－１９－２</t>
        </is>
      </c>
      <c r="E182" s="49" t="inlineStr">
        <is>
          <t>土・木・火・金</t>
        </is>
      </c>
      <c r="F182" s="48" t="inlineStr">
        <is>
          <t>宮原・岡田</t>
        </is>
      </c>
      <c r="G182" s="48" t="inlineStr">
        <is>
          <t>一般廃・産廃</t>
        </is>
      </c>
      <c r="H182" s="50" t="n">
        <v>114</v>
      </c>
      <c r="I182" s="51">
        <f>ROUND(H182*4.33,0)</f>
        <v/>
      </c>
      <c r="J182" s="43" t="n">
        <v>0</v>
      </c>
      <c r="K182" s="44">
        <f>IF(J182&gt;0,I182*J182,"")</f>
        <v/>
      </c>
    </row>
    <row r="183" ht="18" customHeight="1">
      <c r="A183" s="45" t="inlineStr">
        <is>
          <t>MT-087</t>
        </is>
      </c>
      <c r="B183" s="46" t="inlineStr">
        <is>
          <t>日暮里舎人ライナー舎人駅</t>
        </is>
      </c>
      <c r="C183" s="47" t="inlineStr">
        <is>
          <t>都営地下鉄</t>
        </is>
      </c>
      <c r="D183" s="48" t="inlineStr">
        <is>
          <t>東京都足立区舎人１－１６－１５</t>
        </is>
      </c>
      <c r="E183" s="49" t="inlineStr">
        <is>
          <t>木</t>
        </is>
      </c>
      <c r="F183" s="48" t="inlineStr">
        <is>
          <t>岡田</t>
        </is>
      </c>
      <c r="G183" s="48" t="inlineStr">
        <is>
          <t>一般廃</t>
        </is>
      </c>
      <c r="H183" s="50" t="n">
        <v>120</v>
      </c>
      <c r="I183" s="51">
        <f>ROUND(H183*4.33,0)</f>
        <v/>
      </c>
      <c r="J183" s="43" t="n">
        <v>0</v>
      </c>
      <c r="K183" s="44">
        <f>IF(J183&gt;0,I183*J183,"")</f>
        <v/>
      </c>
    </row>
    <row r="184" ht="18" customHeight="1">
      <c r="A184" s="45" t="inlineStr">
        <is>
          <t>MT-088</t>
        </is>
      </c>
      <c r="B184" s="46" t="inlineStr">
        <is>
          <t>日暮里舎人ライナー西日暮里駅</t>
        </is>
      </c>
      <c r="C184" s="47" t="inlineStr">
        <is>
          <t>都営地下鉄</t>
        </is>
      </c>
      <c r="D184" s="48" t="inlineStr">
        <is>
          <t>東京都荒川区西日暮里５－３１－７</t>
        </is>
      </c>
      <c r="E184" s="49" t="inlineStr">
        <is>
          <t>土・火・金</t>
        </is>
      </c>
      <c r="F184" s="48" t="inlineStr">
        <is>
          <t>宮原・岡田</t>
        </is>
      </c>
      <c r="G184" s="48" t="inlineStr">
        <is>
          <t>一般廃・産廃</t>
        </is>
      </c>
      <c r="H184" s="50" t="n">
        <v>46</v>
      </c>
      <c r="I184" s="51">
        <f>ROUND(H184*4.33,0)</f>
        <v/>
      </c>
      <c r="J184" s="43" t="n">
        <v>0</v>
      </c>
      <c r="K184" s="44">
        <f>IF(J184&gt;0,I184*J184,"")</f>
        <v/>
      </c>
    </row>
    <row r="185" ht="18" customHeight="1">
      <c r="A185" s="45" t="inlineStr">
        <is>
          <t>MT-089</t>
        </is>
      </c>
      <c r="B185" s="46" t="inlineStr">
        <is>
          <t>旧西馬込乗務区庁舎（都交通局）</t>
        </is>
      </c>
      <c r="C185" s="47" t="inlineStr">
        <is>
          <t>都営地下鉄</t>
        </is>
      </c>
      <c r="D185" s="48" t="inlineStr">
        <is>
          <t>東京都大田区南馬込５－４２－５</t>
        </is>
      </c>
      <c r="E185" s="49" t="inlineStr">
        <is>
          <t>金</t>
        </is>
      </c>
      <c r="F185" s="48" t="inlineStr">
        <is>
          <t>宮原</t>
        </is>
      </c>
      <c r="G185" s="48" t="inlineStr">
        <is>
          <t>産廃</t>
        </is>
      </c>
      <c r="H185" s="50" t="n">
        <v>0</v>
      </c>
      <c r="I185" s="51" t="n">
        <v>0</v>
      </c>
      <c r="J185" s="43" t="n">
        <v>0</v>
      </c>
      <c r="K185" s="44">
        <f>IF(J185&gt;0,I185*J185,"")</f>
        <v/>
      </c>
    </row>
    <row r="186" ht="18" customHeight="1">
      <c r="A186" s="45" t="inlineStr">
        <is>
          <t>MT-090</t>
        </is>
      </c>
      <c r="B186" s="46" t="inlineStr">
        <is>
          <t>浅草線三田駅</t>
        </is>
      </c>
      <c r="C186" s="47" t="inlineStr">
        <is>
          <t>都営地下鉄</t>
        </is>
      </c>
      <c r="D186" s="48" t="inlineStr">
        <is>
          <t>東京都港区芝５－３４－１０</t>
        </is>
      </c>
      <c r="E186" s="49" t="inlineStr">
        <is>
          <t>土・木・火・金</t>
        </is>
      </c>
      <c r="F186" s="48" t="inlineStr">
        <is>
          <t>宮原・岡田</t>
        </is>
      </c>
      <c r="G186" s="48" t="inlineStr">
        <is>
          <t>一般廃・産廃</t>
        </is>
      </c>
      <c r="H186" s="50" t="n">
        <v>108</v>
      </c>
      <c r="I186" s="51">
        <f>ROUND(H186*4.33,0)</f>
        <v/>
      </c>
      <c r="J186" s="43" t="n">
        <v>0</v>
      </c>
      <c r="K186" s="44">
        <f>IF(J186&gt;0,I186*J186,"")</f>
        <v/>
      </c>
    </row>
    <row r="187" ht="18" customHeight="1">
      <c r="A187" s="45" t="inlineStr">
        <is>
          <t>MT-091</t>
        </is>
      </c>
      <c r="B187" s="46" t="inlineStr">
        <is>
          <t>浅草線中延駅</t>
        </is>
      </c>
      <c r="C187" s="47" t="inlineStr">
        <is>
          <t>都営地下鉄</t>
        </is>
      </c>
      <c r="D187" s="48" t="inlineStr">
        <is>
          <t>東京都品川区東中延２－９－１２</t>
        </is>
      </c>
      <c r="E187" s="49" t="inlineStr">
        <is>
          <t>金</t>
        </is>
      </c>
      <c r="F187" s="48" t="inlineStr">
        <is>
          <t>宮原</t>
        </is>
      </c>
      <c r="G187" s="48" t="inlineStr">
        <is>
          <t>産廃</t>
        </is>
      </c>
      <c r="H187" s="50" t="n">
        <v>32</v>
      </c>
      <c r="I187" s="51">
        <f>ROUND(H187*4.33,0)</f>
        <v/>
      </c>
      <c r="J187" s="43" t="n">
        <v>0</v>
      </c>
      <c r="K187" s="44">
        <f>IF(J187&gt;0,I187*J187,"")</f>
        <v/>
      </c>
    </row>
    <row r="188" ht="18" customHeight="1">
      <c r="A188" s="45" t="inlineStr">
        <is>
          <t>MT-092</t>
        </is>
      </c>
      <c r="B188" s="46" t="inlineStr">
        <is>
          <t>浅草線五反田駅</t>
        </is>
      </c>
      <c r="C188" s="47" t="inlineStr">
        <is>
          <t>都営地下鉄</t>
        </is>
      </c>
      <c r="D188" s="48" t="inlineStr">
        <is>
          <t>東京都品川区東五反田１－２６－２</t>
        </is>
      </c>
      <c r="E188" s="49" t="inlineStr">
        <is>
          <t>金</t>
        </is>
      </c>
      <c r="F188" s="48" t="inlineStr">
        <is>
          <t>宮原</t>
        </is>
      </c>
      <c r="G188" s="48" t="inlineStr">
        <is>
          <t>産廃</t>
        </is>
      </c>
      <c r="H188" s="50" t="n">
        <v>24</v>
      </c>
      <c r="I188" s="51">
        <f>ROUND(H188*4.33,0)</f>
        <v/>
      </c>
      <c r="J188" s="43" t="n">
        <v>0</v>
      </c>
      <c r="K188" s="44">
        <f>IF(J188&gt;0,I188*J188,"")</f>
        <v/>
      </c>
    </row>
    <row r="189" ht="18" customHeight="1">
      <c r="A189" s="45" t="inlineStr">
        <is>
          <t>MT-093</t>
        </is>
      </c>
      <c r="B189" s="46" t="inlineStr">
        <is>
          <t>浅草線人形町駅</t>
        </is>
      </c>
      <c r="C189" s="47" t="inlineStr">
        <is>
          <t>都営地下鉄</t>
        </is>
      </c>
      <c r="D189" s="48" t="inlineStr">
        <is>
          <t>東京都中央区日本橋人形町３－７－１３</t>
        </is>
      </c>
      <c r="E189" s="49" t="inlineStr">
        <is>
          <t>月・水・火・金</t>
        </is>
      </c>
      <c r="F189" s="48" t="inlineStr">
        <is>
          <t>宮原・岡田</t>
        </is>
      </c>
      <c r="G189" s="48" t="inlineStr">
        <is>
          <t>一般廃・産廃</t>
        </is>
      </c>
      <c r="H189" s="50" t="n">
        <v>114</v>
      </c>
      <c r="I189" s="51">
        <f>ROUND(H189*4.33,0)</f>
        <v/>
      </c>
      <c r="J189" s="43" t="n">
        <v>0</v>
      </c>
      <c r="K189" s="44">
        <f>IF(J189&gt;0,I189*J189,"")</f>
        <v/>
      </c>
    </row>
    <row r="190" ht="18" customHeight="1">
      <c r="A190" s="45" t="inlineStr">
        <is>
          <t>MT-094</t>
        </is>
      </c>
      <c r="B190" s="46" t="inlineStr">
        <is>
          <t>浅草線宝町駅</t>
        </is>
      </c>
      <c r="C190" s="47" t="inlineStr">
        <is>
          <t>都営地下鉄</t>
        </is>
      </c>
      <c r="D190" s="48" t="inlineStr">
        <is>
          <t>東京都中央区京橋２－１３－１１</t>
        </is>
      </c>
      <c r="E190" s="49" t="inlineStr">
        <is>
          <t>土</t>
        </is>
      </c>
      <c r="F190" s="48" t="inlineStr">
        <is>
          <t>宮原・玉山</t>
        </is>
      </c>
      <c r="G190" s="48" t="inlineStr">
        <is>
          <t>産廃</t>
        </is>
      </c>
      <c r="H190" s="50" t="n">
        <v>8</v>
      </c>
      <c r="I190" s="51">
        <f>ROUND(H190*4.33,0)</f>
        <v/>
      </c>
      <c r="J190" s="43" t="n">
        <v>0</v>
      </c>
      <c r="K190" s="44">
        <f>IF(J190&gt;0,I190*J190,"")</f>
        <v/>
      </c>
    </row>
    <row r="191" ht="18" customHeight="1">
      <c r="A191" s="45" t="inlineStr">
        <is>
          <t>MT-095</t>
        </is>
      </c>
      <c r="B191" s="46" t="inlineStr">
        <is>
          <t>浅草線戸越駅</t>
        </is>
      </c>
      <c r="C191" s="47" t="inlineStr">
        <is>
          <t>都営地下鉄</t>
        </is>
      </c>
      <c r="D191" s="48" t="inlineStr">
        <is>
          <t>東京都品川区戸越３－４－１７</t>
        </is>
      </c>
      <c r="E191" s="49" t="inlineStr">
        <is>
          <t>金</t>
        </is>
      </c>
      <c r="F191" s="48" t="inlineStr">
        <is>
          <t>宮原</t>
        </is>
      </c>
      <c r="G191" s="48" t="inlineStr">
        <is>
          <t>産廃</t>
        </is>
      </c>
      <c r="H191" s="50" t="n">
        <v>16</v>
      </c>
      <c r="I191" s="51">
        <f>ROUND(H191*4.33,0)</f>
        <v/>
      </c>
      <c r="J191" s="43" t="n">
        <v>0</v>
      </c>
      <c r="K191" s="44">
        <f>IF(J191&gt;0,I191*J191,"")</f>
        <v/>
      </c>
    </row>
    <row r="192" ht="18" customHeight="1">
      <c r="A192" s="45" t="inlineStr">
        <is>
          <t>MT-096</t>
        </is>
      </c>
      <c r="B192" s="46" t="inlineStr">
        <is>
          <t>浅草線新橋駅</t>
        </is>
      </c>
      <c r="C192" s="47" t="inlineStr">
        <is>
          <t>都営地下鉄</t>
        </is>
      </c>
      <c r="D192" s="48" t="inlineStr">
        <is>
          <t>東京都港区新橋２－２１－１</t>
        </is>
      </c>
      <c r="E192" s="49" t="inlineStr">
        <is>
          <t>金</t>
        </is>
      </c>
      <c r="F192" s="48" t="inlineStr">
        <is>
          <t>宮原</t>
        </is>
      </c>
      <c r="G192" s="48" t="inlineStr">
        <is>
          <t>産廃</t>
        </is>
      </c>
      <c r="H192" s="50" t="n">
        <v>40</v>
      </c>
      <c r="I192" s="51">
        <f>ROUND(H192*4.33,0)</f>
        <v/>
      </c>
      <c r="J192" s="43" t="n">
        <v>0</v>
      </c>
      <c r="K192" s="44">
        <f>IF(J192&gt;0,I192*J192,"")</f>
        <v/>
      </c>
    </row>
    <row r="193" ht="18" customHeight="1">
      <c r="A193" s="45" t="inlineStr">
        <is>
          <t>MT-097</t>
        </is>
      </c>
      <c r="B193" s="46" t="inlineStr">
        <is>
          <t>浅草線日本橋駅</t>
        </is>
      </c>
      <c r="C193" s="47" t="inlineStr">
        <is>
          <t>都営地下鉄</t>
        </is>
      </c>
      <c r="D193" s="48" t="inlineStr">
        <is>
          <t>東京都中央区日本橋１－１３－１</t>
        </is>
      </c>
      <c r="E193" s="49" t="inlineStr">
        <is>
          <t>木</t>
        </is>
      </c>
      <c r="F193" s="48" t="inlineStr">
        <is>
          <t>宮原</t>
        </is>
      </c>
      <c r="G193" s="48" t="inlineStr">
        <is>
          <t>産廃</t>
        </is>
      </c>
      <c r="H193" s="50" t="n">
        <v>24</v>
      </c>
      <c r="I193" s="51">
        <f>ROUND(H193*4.33,0)</f>
        <v/>
      </c>
      <c r="J193" s="43" t="n">
        <v>0</v>
      </c>
      <c r="K193" s="44">
        <f>IF(J193&gt;0,I193*J193,"")</f>
        <v/>
      </c>
    </row>
    <row r="194" ht="18" customHeight="1">
      <c r="A194" s="45" t="inlineStr">
        <is>
          <t>MT-098</t>
        </is>
      </c>
      <c r="B194" s="46" t="inlineStr">
        <is>
          <t>浅草線本所吾妻橋駅</t>
        </is>
      </c>
      <c r="C194" s="47" t="inlineStr">
        <is>
          <t>都営地下鉄</t>
        </is>
      </c>
      <c r="D194" s="48" t="inlineStr">
        <is>
          <t>東京都墨田区吾妻橋３－７－１６</t>
        </is>
      </c>
      <c r="E194" s="49" t="inlineStr">
        <is>
          <t>土・木・火</t>
        </is>
      </c>
      <c r="F194" s="48" t="inlineStr">
        <is>
          <t>宮原・玉山・岡田</t>
        </is>
      </c>
      <c r="G194" s="48" t="inlineStr">
        <is>
          <t>一般廃・産廃</t>
        </is>
      </c>
      <c r="H194" s="50" t="n">
        <v>66</v>
      </c>
      <c r="I194" s="51">
        <f>ROUND(H194*4.33,0)</f>
        <v/>
      </c>
      <c r="J194" s="43" t="n">
        <v>0</v>
      </c>
      <c r="K194" s="44">
        <f>IF(J194&gt;0,I194*J194,"")</f>
        <v/>
      </c>
    </row>
    <row r="195" ht="18" customHeight="1">
      <c r="A195" s="45" t="inlineStr">
        <is>
          <t>MT-099</t>
        </is>
      </c>
      <c r="B195" s="46" t="inlineStr">
        <is>
          <t>浅草線東日本橋駅</t>
        </is>
      </c>
      <c r="C195" s="47" t="inlineStr">
        <is>
          <t>都営地下鉄</t>
        </is>
      </c>
      <c r="D195" s="48" t="inlineStr">
        <is>
          <t>東京都中央区東日本橋３－１１－８</t>
        </is>
      </c>
      <c r="E195" s="49" t="inlineStr">
        <is>
          <t>土・月・水</t>
        </is>
      </c>
      <c r="F195" s="48" t="inlineStr">
        <is>
          <t>宮原・玉山・岡田</t>
        </is>
      </c>
      <c r="G195" s="48" t="inlineStr">
        <is>
          <t>一般廃・産廃</t>
        </is>
      </c>
      <c r="H195" s="50" t="n">
        <v>74</v>
      </c>
      <c r="I195" s="51">
        <f>ROUND(H195*4.33,0)</f>
        <v/>
      </c>
      <c r="J195" s="43" t="n">
        <v>0</v>
      </c>
      <c r="K195" s="44">
        <f>IF(J195&gt;0,I195*J195,"")</f>
        <v/>
      </c>
    </row>
    <row r="196" ht="18" customHeight="1">
      <c r="A196" s="45" t="inlineStr">
        <is>
          <t>MT-100</t>
        </is>
      </c>
      <c r="B196" s="46" t="inlineStr">
        <is>
          <t>浅草線東銀座駅</t>
        </is>
      </c>
      <c r="C196" s="47" t="inlineStr">
        <is>
          <t>都営地下鉄</t>
        </is>
      </c>
      <c r="D196" s="48" t="inlineStr">
        <is>
          <t>東京都中央区銀座４－１０－１０</t>
        </is>
      </c>
      <c r="E196" s="49" t="inlineStr">
        <is>
          <t>土</t>
        </is>
      </c>
      <c r="F196" s="48" t="inlineStr">
        <is>
          <t>宮原・玉山</t>
        </is>
      </c>
      <c r="G196" s="48" t="inlineStr">
        <is>
          <t>産廃</t>
        </is>
      </c>
      <c r="H196" s="50" t="n">
        <v>48</v>
      </c>
      <c r="I196" s="51">
        <f>ROUND(H196*4.33,0)</f>
        <v/>
      </c>
      <c r="J196" s="43" t="n">
        <v>0</v>
      </c>
      <c r="K196" s="44">
        <f>IF(J196&gt;0,I196*J196,"")</f>
        <v/>
      </c>
    </row>
    <row r="197" ht="18" customHeight="1">
      <c r="A197" s="45" t="inlineStr">
        <is>
          <t>MT-101</t>
        </is>
      </c>
      <c r="B197" s="46" t="inlineStr">
        <is>
          <t>浅草線泉岳寺駅</t>
        </is>
      </c>
      <c r="C197" s="47" t="inlineStr">
        <is>
          <t>都営地下鉄</t>
        </is>
      </c>
      <c r="D197" s="48" t="inlineStr">
        <is>
          <t>東京都港区高輪２－１６－３４</t>
        </is>
      </c>
      <c r="E197" s="49" t="inlineStr">
        <is>
          <t>土・木・火・金</t>
        </is>
      </c>
      <c r="F197" s="48" t="inlineStr">
        <is>
          <t>宮原・岡田</t>
        </is>
      </c>
      <c r="G197" s="48" t="inlineStr">
        <is>
          <t>一般廃・産廃</t>
        </is>
      </c>
      <c r="H197" s="50" t="n">
        <v>108</v>
      </c>
      <c r="I197" s="51">
        <f>ROUND(H197*4.33,0)</f>
        <v/>
      </c>
      <c r="J197" s="43" t="n">
        <v>0</v>
      </c>
      <c r="K197" s="44">
        <f>IF(J197&gt;0,I197*J197,"")</f>
        <v/>
      </c>
    </row>
    <row r="198" ht="18" customHeight="1">
      <c r="A198" s="45" t="inlineStr">
        <is>
          <t>MT-102</t>
        </is>
      </c>
      <c r="B198" s="46" t="inlineStr">
        <is>
          <t>浅草線浅草橋駅</t>
        </is>
      </c>
      <c r="C198" s="47" t="inlineStr">
        <is>
          <t>都営地下鉄</t>
        </is>
      </c>
      <c r="D198" s="48" t="inlineStr">
        <is>
          <t>東京都台東区浅草橋１－１８－１１</t>
        </is>
      </c>
      <c r="E198" s="49" t="inlineStr">
        <is>
          <t>土・月・水・金</t>
        </is>
      </c>
      <c r="F198" s="48" t="inlineStr">
        <is>
          <t>宮原・玉山・岡田</t>
        </is>
      </c>
      <c r="G198" s="48" t="inlineStr">
        <is>
          <t>一般廃・産廃</t>
        </is>
      </c>
      <c r="H198" s="50" t="n">
        <v>102</v>
      </c>
      <c r="I198" s="51">
        <f>ROUND(H198*4.33,0)</f>
        <v/>
      </c>
      <c r="J198" s="43" t="n">
        <v>0</v>
      </c>
      <c r="K198" s="44">
        <f>IF(J198&gt;0,I198*J198,"")</f>
        <v/>
      </c>
    </row>
    <row r="199" ht="18" customHeight="1">
      <c r="A199" s="45" t="inlineStr">
        <is>
          <t>MT-103</t>
        </is>
      </c>
      <c r="B199" s="46" t="inlineStr">
        <is>
          <t>浅草線浅草駅</t>
        </is>
      </c>
      <c r="C199" s="47" t="inlineStr">
        <is>
          <t>都営地下鉄</t>
        </is>
      </c>
      <c r="D199" s="48" t="inlineStr">
        <is>
          <t>東京都台東区駒形１－１２－１４</t>
        </is>
      </c>
      <c r="E199" s="49" t="inlineStr">
        <is>
          <t>土・月・水・金</t>
        </is>
      </c>
      <c r="F199" s="48" t="inlineStr">
        <is>
          <t>宮原・玉山・岡田</t>
        </is>
      </c>
      <c r="G199" s="48" t="inlineStr">
        <is>
          <t>一般廃・産廃</t>
        </is>
      </c>
      <c r="H199" s="50" t="n">
        <v>158</v>
      </c>
      <c r="I199" s="51">
        <f>ROUND(H199*4.33,0)</f>
        <v/>
      </c>
      <c r="J199" s="43" t="n">
        <v>0</v>
      </c>
      <c r="K199" s="44">
        <f>IF(J199&gt;0,I199*J199,"")</f>
        <v/>
      </c>
    </row>
    <row r="200" ht="18" customHeight="1">
      <c r="A200" s="45" t="inlineStr">
        <is>
          <t>MT-104</t>
        </is>
      </c>
      <c r="B200" s="46" t="inlineStr">
        <is>
          <t>浅草線蔵前駅</t>
        </is>
      </c>
      <c r="C200" s="47" t="inlineStr">
        <is>
          <t>都営地下鉄</t>
        </is>
      </c>
      <c r="D200" s="48" t="inlineStr">
        <is>
          <t>東京都台東区蔵前２－３－１</t>
        </is>
      </c>
      <c r="E200" s="49" t="inlineStr">
        <is>
          <t>月・水・金</t>
        </is>
      </c>
      <c r="F200" s="48" t="inlineStr">
        <is>
          <t>宮原・岡田</t>
        </is>
      </c>
      <c r="G200" s="48" t="inlineStr">
        <is>
          <t>一般廃・産廃</t>
        </is>
      </c>
      <c r="H200" s="50" t="n">
        <v>100</v>
      </c>
      <c r="I200" s="51">
        <f>ROUND(H200*4.33,0)</f>
        <v/>
      </c>
      <c r="J200" s="43" t="n">
        <v>0</v>
      </c>
      <c r="K200" s="44">
        <f>IF(J200&gt;0,I200*J200,"")</f>
        <v/>
      </c>
    </row>
    <row r="201" ht="18" customHeight="1">
      <c r="A201" s="45" t="inlineStr">
        <is>
          <t>MT-105</t>
        </is>
      </c>
      <c r="B201" s="46" t="inlineStr">
        <is>
          <t>浅草線西馬込駅</t>
        </is>
      </c>
      <c r="C201" s="47" t="inlineStr">
        <is>
          <t>都営地下鉄</t>
        </is>
      </c>
      <c r="D201" s="48" t="inlineStr">
        <is>
          <t>東京都大田区西馬込２－１－６</t>
        </is>
      </c>
      <c r="E201" s="49" t="inlineStr">
        <is>
          <t>金</t>
        </is>
      </c>
      <c r="F201" s="48" t="inlineStr">
        <is>
          <t>宮原</t>
        </is>
      </c>
      <c r="G201" s="48" t="inlineStr">
        <is>
          <t>産廃</t>
        </is>
      </c>
      <c r="H201" s="50" t="n">
        <v>40</v>
      </c>
      <c r="I201" s="51">
        <f>ROUND(H201*4.33,0)</f>
        <v/>
      </c>
      <c r="J201" s="43" t="n">
        <v>0</v>
      </c>
      <c r="K201" s="44">
        <f>IF(J201&gt;0,I201*J201,"")</f>
        <v/>
      </c>
    </row>
    <row r="202" ht="18" customHeight="1">
      <c r="A202" s="45" t="inlineStr">
        <is>
          <t>MT-106</t>
        </is>
      </c>
      <c r="B202" s="46" t="inlineStr">
        <is>
          <t>浅草線馬込駅</t>
        </is>
      </c>
      <c r="C202" s="47" t="inlineStr">
        <is>
          <t>都営地下鉄</t>
        </is>
      </c>
      <c r="D202" s="48" t="inlineStr">
        <is>
          <t>東京都大田区北馬込２－９－１２</t>
        </is>
      </c>
      <c r="E202" s="49" t="inlineStr">
        <is>
          <t>金</t>
        </is>
      </c>
      <c r="F202" s="48" t="inlineStr">
        <is>
          <t>宮原</t>
        </is>
      </c>
      <c r="G202" s="48" t="inlineStr">
        <is>
          <t>産廃</t>
        </is>
      </c>
      <c r="H202" s="50" t="n">
        <v>32</v>
      </c>
      <c r="I202" s="51">
        <f>ROUND(H202*4.33,0)</f>
        <v/>
      </c>
      <c r="J202" s="43" t="n">
        <v>0</v>
      </c>
      <c r="K202" s="44">
        <f>IF(J202&gt;0,I202*J202,"")</f>
        <v/>
      </c>
    </row>
    <row r="203" ht="18" customHeight="1">
      <c r="A203" s="45" t="inlineStr">
        <is>
          <t>MT-107</t>
        </is>
      </c>
      <c r="B203" s="46" t="inlineStr">
        <is>
          <t>浅草線高輪台駅</t>
        </is>
      </c>
      <c r="C203" s="47" t="inlineStr">
        <is>
          <t>都営地下鉄</t>
        </is>
      </c>
      <c r="D203" s="48" t="inlineStr">
        <is>
          <t>東京都港区白金台２－２６－７</t>
        </is>
      </c>
      <c r="E203" s="49" t="inlineStr">
        <is>
          <t>金</t>
        </is>
      </c>
      <c r="F203" s="48" t="inlineStr">
        <is>
          <t>宮原</t>
        </is>
      </c>
      <c r="G203" s="48" t="inlineStr">
        <is>
          <t>産廃</t>
        </is>
      </c>
      <c r="H203" s="50" t="n">
        <v>32</v>
      </c>
      <c r="I203" s="51">
        <f>ROUND(H203*4.33,0)</f>
        <v/>
      </c>
      <c r="J203" s="43" t="n">
        <v>0</v>
      </c>
      <c r="K203" s="44">
        <f>IF(J203&gt;0,I203*J203,"")</f>
        <v/>
      </c>
    </row>
    <row r="204" ht="18" customHeight="1">
      <c r="A204" s="45" t="inlineStr">
        <is>
          <t>MT-108</t>
        </is>
      </c>
      <c r="B204" s="46" t="inlineStr">
        <is>
          <t>荒川電車営業所</t>
        </is>
      </c>
      <c r="C204" s="47" t="inlineStr">
        <is>
          <t>都営地下鉄</t>
        </is>
      </c>
      <c r="D204" s="48" t="inlineStr">
        <is>
          <t>東京都荒川区西尾久８－３３－７</t>
        </is>
      </c>
      <c r="E204" s="49" t="inlineStr">
        <is>
          <t>土・木・火</t>
        </is>
      </c>
      <c r="F204" s="48" t="inlineStr">
        <is>
          <t>岡田</t>
        </is>
      </c>
      <c r="G204" s="48" t="inlineStr">
        <is>
          <t>一般廃</t>
        </is>
      </c>
      <c r="H204" s="50" t="n">
        <v>240</v>
      </c>
      <c r="I204" s="51">
        <f>ROUND(H204*4.33,0)</f>
        <v/>
      </c>
      <c r="J204" s="43" t="n">
        <v>0</v>
      </c>
      <c r="K204" s="44">
        <f>IF(J204&gt;0,I204*J204,"")</f>
        <v/>
      </c>
    </row>
    <row r="205" ht="18" customHeight="1">
      <c r="A205" s="45" t="inlineStr">
        <is>
          <t>MT-109</t>
        </is>
      </c>
      <c r="B205" s="46" t="inlineStr">
        <is>
          <t>荒川電車営業所（都交通局）</t>
        </is>
      </c>
      <c r="C205" s="47" t="inlineStr">
        <is>
          <t>都営地下鉄</t>
        </is>
      </c>
      <c r="D205" s="48" t="inlineStr">
        <is>
          <t>東京都荒川区西尾久８－３３－７</t>
        </is>
      </c>
      <c r="E205" s="49" t="inlineStr">
        <is>
          <t>金</t>
        </is>
      </c>
      <c r="F205" s="48" t="inlineStr">
        <is>
          <t>宮原</t>
        </is>
      </c>
      <c r="G205" s="48" t="inlineStr">
        <is>
          <t>産廃</t>
        </is>
      </c>
      <c r="H205" s="50" t="n">
        <v>144</v>
      </c>
      <c r="I205" s="51">
        <f>ROUND(H205*4.33,0)</f>
        <v/>
      </c>
      <c r="J205" s="43" t="n">
        <v>0</v>
      </c>
      <c r="K205" s="44">
        <f>IF(J205&gt;0,I205*J205,"")</f>
        <v/>
      </c>
    </row>
    <row r="206" ht="18" customHeight="1">
      <c r="A206" s="45" t="inlineStr">
        <is>
          <t>MT-110</t>
        </is>
      </c>
      <c r="B206" s="46" t="inlineStr">
        <is>
          <t>都営新宿線本八幡駅</t>
        </is>
      </c>
      <c r="C206" s="47" t="inlineStr">
        <is>
          <t>都営地下鉄</t>
        </is>
      </c>
      <c r="D206" s="48" t="inlineStr">
        <is>
          <t>千葉県市川市八幡２－１６－１３</t>
        </is>
      </c>
      <c r="E206" s="49" t="inlineStr">
        <is>
          <t>木</t>
        </is>
      </c>
      <c r="F206" s="48" t="inlineStr">
        <is>
          <t>宮原</t>
        </is>
      </c>
      <c r="G206" s="48" t="inlineStr">
        <is>
          <t>産廃</t>
        </is>
      </c>
      <c r="H206" s="50" t="n">
        <v>0</v>
      </c>
      <c r="I206" s="51" t="n">
        <v>0</v>
      </c>
      <c r="J206" s="43" t="n">
        <v>0</v>
      </c>
      <c r="K206" s="44">
        <f>IF(J206&gt;0,I206*J206,"")</f>
        <v/>
      </c>
    </row>
    <row r="207" ht="18" customHeight="1">
      <c r="A207" s="52" t="inlineStr">
        <is>
          <t>GN-001</t>
        </is>
      </c>
      <c r="B207" s="53" t="inlineStr">
        <is>
          <t>(有)NTサービス</t>
        </is>
      </c>
      <c r="C207" s="54" t="inlineStr">
        <is>
          <t>一般事業者</t>
        </is>
      </c>
      <c r="D207" s="55" t="inlineStr">
        <is>
          <t>東京都大田区久が原３－４１－１２シンワビル１F</t>
        </is>
      </c>
      <c r="E207" s="56" t="inlineStr">
        <is>
          <t>土・木・火</t>
        </is>
      </c>
      <c r="F207" s="55" t="inlineStr">
        <is>
          <t>白</t>
        </is>
      </c>
      <c r="G207" s="55" t="inlineStr">
        <is>
          <t>一般廃</t>
        </is>
      </c>
      <c r="H207" s="57" t="n">
        <v>560</v>
      </c>
      <c r="I207" s="58">
        <f>ROUND(H207*4.33,0)</f>
        <v/>
      </c>
      <c r="J207" s="43" t="n">
        <v>0</v>
      </c>
      <c r="K207" s="44">
        <f>IF(J207&gt;0,I207*J207,"")</f>
        <v/>
      </c>
    </row>
    <row r="208" ht="18" customHeight="1">
      <c r="A208" s="52" t="inlineStr">
        <is>
          <t>GN-002</t>
        </is>
      </c>
      <c r="B208" s="53" t="inlineStr">
        <is>
          <t>(有)NT・サービス</t>
        </is>
      </c>
      <c r="C208" s="54" t="inlineStr">
        <is>
          <t>一般事業者</t>
        </is>
      </c>
      <c r="D208" s="55" t="inlineStr">
        <is>
          <t>東京都大田区久が原３－４１－１２シンワビル１F</t>
        </is>
      </c>
      <c r="E208" s="56" t="inlineStr">
        <is>
          <t>月</t>
        </is>
      </c>
      <c r="F208" s="55" t="inlineStr">
        <is>
          <t>千葉</t>
        </is>
      </c>
      <c r="G208" s="55" t="inlineStr">
        <is>
          <t>産廃</t>
        </is>
      </c>
      <c r="H208" s="57" t="n">
        <v>40</v>
      </c>
      <c r="I208" s="58">
        <f>ROUND(H208*4.33,0)</f>
        <v/>
      </c>
      <c r="J208" s="43" t="n">
        <v>0</v>
      </c>
      <c r="K208" s="44">
        <f>IF(J208&gt;0,I208*J208,"")</f>
        <v/>
      </c>
    </row>
    <row r="209" ht="18" customHeight="1">
      <c r="A209" s="52" t="inlineStr">
        <is>
          <t>GN-003</t>
        </is>
      </c>
      <c r="B209" s="53" t="inlineStr">
        <is>
          <t>(株)ハピラルテストソリューションズ</t>
        </is>
      </c>
      <c r="C209" s="54" t="inlineStr">
        <is>
          <t>一般事業者</t>
        </is>
      </c>
      <c r="D209" s="55" t="inlineStr">
        <is>
          <t>東京都渋谷区千駄ヶ谷１－２５－１１</t>
        </is>
      </c>
      <c r="E209" s="56" t="inlineStr">
        <is>
          <t>土・木</t>
        </is>
      </c>
      <c r="F209" s="55" t="inlineStr">
        <is>
          <t>岡田</t>
        </is>
      </c>
      <c r="G209" s="55" t="inlineStr">
        <is>
          <t>一般廃</t>
        </is>
      </c>
      <c r="H209" s="57" t="n">
        <v>28</v>
      </c>
      <c r="I209" s="58">
        <f>ROUND(H209*4.33,0)</f>
        <v/>
      </c>
      <c r="J209" s="43" t="n">
        <v>0</v>
      </c>
      <c r="K209" s="44">
        <f>IF(J209&gt;0,I209*J209,"")</f>
        <v/>
      </c>
    </row>
    <row r="210" ht="18" customHeight="1">
      <c r="A210" s="52" t="inlineStr">
        <is>
          <t>GN-004</t>
        </is>
      </c>
      <c r="B210" s="53" t="inlineStr">
        <is>
          <t>(株)ハピラル・テストソリューションズ</t>
        </is>
      </c>
      <c r="C210" s="54" t="inlineStr">
        <is>
          <t>一般事業者</t>
        </is>
      </c>
      <c r="D210" s="55" t="inlineStr">
        <is>
          <t>東京都渋谷区千駄ヶ谷１－２５－１１外苑西オフィス</t>
        </is>
      </c>
      <c r="E210" s="56" t="inlineStr">
        <is>
          <t>水</t>
        </is>
      </c>
      <c r="F210" s="55" t="inlineStr">
        <is>
          <t>長野</t>
        </is>
      </c>
      <c r="G210" s="55" t="inlineStr">
        <is>
          <t>産廃</t>
        </is>
      </c>
      <c r="H210" s="57" t="n">
        <v>30</v>
      </c>
      <c r="I210" s="58">
        <f>ROUND(H210*4.33,0)</f>
        <v/>
      </c>
      <c r="J210" s="43" t="n">
        <v>0</v>
      </c>
      <c r="K210" s="44">
        <f>IF(J210&gt;0,I210*J210,"")</f>
        <v/>
      </c>
    </row>
    <row r="211" ht="18" customHeight="1">
      <c r="A211" s="52" t="inlineStr">
        <is>
          <t>GN-005</t>
        </is>
      </c>
      <c r="B211" s="53" t="inlineStr">
        <is>
          <t>(株)ユタカ</t>
        </is>
      </c>
      <c r="C211" s="54" t="inlineStr">
        <is>
          <t>一般事業者</t>
        </is>
      </c>
      <c r="D211" s="55" t="inlineStr">
        <is>
          <t>東京都大田区京浜島２－２－２</t>
        </is>
      </c>
      <c r="E211" s="56" t="inlineStr">
        <is>
          <t>月・火・金</t>
        </is>
      </c>
      <c r="F211" s="55" t="inlineStr">
        <is>
          <t>白・鈴木</t>
        </is>
      </c>
      <c r="G211" s="55" t="inlineStr">
        <is>
          <t>一般廃・不燃物</t>
        </is>
      </c>
      <c r="H211" s="57" t="n">
        <v>1508</v>
      </c>
      <c r="I211" s="58">
        <f>ROUND(H211*4.33,0)</f>
        <v/>
      </c>
      <c r="J211" s="43" t="n">
        <v>0</v>
      </c>
      <c r="K211" s="44">
        <f>IF(J211&gt;0,I211*J211,"")</f>
        <v/>
      </c>
    </row>
    <row r="212" ht="18" customHeight="1">
      <c r="A212" s="52" t="inlineStr">
        <is>
          <t>GN-006</t>
        </is>
      </c>
      <c r="B212" s="53" t="inlineStr">
        <is>
          <t>(株)前川試験機製作所</t>
        </is>
      </c>
      <c r="C212" s="54" t="inlineStr">
        <is>
          <t>一般事業者</t>
        </is>
      </c>
      <c r="D212" s="55" t="inlineStr">
        <is>
          <t>東京都大田区大森南２－１６－１</t>
        </is>
      </c>
      <c r="E212" s="56" t="inlineStr">
        <is>
          <t>・水・金</t>
        </is>
      </c>
      <c r="F212" s="55" t="inlineStr">
        <is>
          <t>千葉・白</t>
        </is>
      </c>
      <c r="G212" s="55" t="inlineStr">
        <is>
          <t>一般廃・産廃</t>
        </is>
      </c>
      <c r="H212" s="57" t="n">
        <v>140</v>
      </c>
      <c r="I212" s="58">
        <f>ROUND(H212*4.33,0)</f>
        <v/>
      </c>
      <c r="J212" s="43" t="n">
        <v>0</v>
      </c>
      <c r="K212" s="44">
        <f>IF(J212&gt;0,I212*J212,"")</f>
        <v/>
      </c>
    </row>
    <row r="213" ht="18" customHeight="1">
      <c r="A213" s="52" t="inlineStr">
        <is>
          <t>GN-007</t>
        </is>
      </c>
      <c r="B213" s="53" t="inlineStr">
        <is>
          <t>(株)銀座マギー　田園調布ビル</t>
        </is>
      </c>
      <c r="C213" s="54" t="inlineStr">
        <is>
          <t>一般事業者</t>
        </is>
      </c>
      <c r="D213" s="55" t="inlineStr">
        <is>
          <t>東京都大田区田園調布１－３３－１</t>
        </is>
      </c>
      <c r="E213" s="56" t="inlineStr">
        <is>
          <t>月</t>
        </is>
      </c>
      <c r="F213" s="55" t="inlineStr">
        <is>
          <t>千葉</t>
        </is>
      </c>
      <c r="G213" s="55" t="inlineStr">
        <is>
          <t>産廃</t>
        </is>
      </c>
      <c r="H213" s="57" t="n">
        <v>30</v>
      </c>
      <c r="I213" s="58">
        <f>ROUND(H213*4.33,0)</f>
        <v/>
      </c>
      <c r="J213" s="43" t="n">
        <v>0</v>
      </c>
      <c r="K213" s="44">
        <f>IF(J213&gt;0,I213*J213,"")</f>
        <v/>
      </c>
    </row>
    <row r="214" ht="18" customHeight="1">
      <c r="A214" s="52" t="inlineStr">
        <is>
          <t>GN-008</t>
        </is>
      </c>
      <c r="B214" s="53" t="inlineStr">
        <is>
          <t>(株)銀座マギー田園調布ビル</t>
        </is>
      </c>
      <c r="C214" s="54" t="inlineStr">
        <is>
          <t>一般事業者</t>
        </is>
      </c>
      <c r="D214" s="55" t="inlineStr">
        <is>
          <t>東京都大田区田園調布１－３３－１</t>
        </is>
      </c>
      <c r="E214" s="56" t="inlineStr">
        <is>
          <t>木</t>
        </is>
      </c>
      <c r="F214" s="55" t="inlineStr">
        <is>
          <t>白</t>
        </is>
      </c>
      <c r="G214" s="55" t="inlineStr">
        <is>
          <t>一般廃</t>
        </is>
      </c>
      <c r="H214" s="57" t="n">
        <v>10</v>
      </c>
      <c r="I214" s="58">
        <f>ROUND(H214*4.33,0)</f>
        <v/>
      </c>
      <c r="J214" s="43" t="n">
        <v>0</v>
      </c>
      <c r="K214" s="44">
        <f>IF(J214&gt;0,I214*J214,"")</f>
        <v/>
      </c>
    </row>
    <row r="215" ht="18" customHeight="1">
      <c r="A215" s="52" t="inlineStr">
        <is>
          <t>GN-009</t>
        </is>
      </c>
      <c r="B215" s="53" t="inlineStr">
        <is>
          <t>ADI</t>
        </is>
      </c>
      <c r="C215" s="54" t="inlineStr">
        <is>
          <t>一般事業者</t>
        </is>
      </c>
      <c r="D215" s="55" t="inlineStr">
        <is>
          <t>東京都目黒区上目黒３－４６－７　プラスキューブ１F</t>
        </is>
      </c>
      <c r="E215" s="56" t="inlineStr">
        <is>
          <t>土・月・木・水・火・金</t>
        </is>
      </c>
      <c r="F215" s="55" t="inlineStr">
        <is>
          <t>千葉・長谷川</t>
        </is>
      </c>
      <c r="G215" s="55" t="inlineStr">
        <is>
          <t>一般廃・産廃</t>
        </is>
      </c>
      <c r="H215" s="57" t="n">
        <v>80</v>
      </c>
      <c r="I215" s="58">
        <f>ROUND(H215*4.33,0)</f>
        <v/>
      </c>
      <c r="J215" s="43" t="n">
        <v>0</v>
      </c>
      <c r="K215" s="44">
        <f>IF(J215&gt;0,I215*J215,"")</f>
        <v/>
      </c>
    </row>
    <row r="216" ht="18" customHeight="1">
      <c r="A216" s="52" t="inlineStr">
        <is>
          <t>GN-010</t>
        </is>
      </c>
      <c r="B216" s="53" t="inlineStr">
        <is>
          <t>ALWAYS OUT OF STOCK</t>
        </is>
      </c>
      <c r="C216" s="54" t="inlineStr">
        <is>
          <t>一般事業者</t>
        </is>
      </c>
      <c r="D216" s="55" t="inlineStr">
        <is>
          <t>東京都目黒区上目黒３－４３－１８　K4</t>
        </is>
      </c>
      <c r="E216" s="56" t="inlineStr">
        <is>
          <t>土・月・木・水・火・金</t>
        </is>
      </c>
      <c r="F216" s="55" t="inlineStr">
        <is>
          <t>千葉・長谷川</t>
        </is>
      </c>
      <c r="G216" s="55" t="inlineStr">
        <is>
          <t>一般廃・産廃</t>
        </is>
      </c>
      <c r="H216" s="57" t="n">
        <v>0</v>
      </c>
      <c r="I216" s="58" t="n">
        <v>0</v>
      </c>
      <c r="J216" s="43" t="n">
        <v>0</v>
      </c>
      <c r="K216" s="44">
        <f>IF(J216&gt;0,I216*J216,"")</f>
        <v/>
      </c>
    </row>
    <row r="217" ht="18" customHeight="1">
      <c r="A217" s="52" t="inlineStr">
        <is>
          <t>GN-011</t>
        </is>
      </c>
      <c r="B217" s="53" t="inlineStr">
        <is>
          <t>ASReal</t>
        </is>
      </c>
      <c r="C217" s="54" t="inlineStr">
        <is>
          <t>一般事業者</t>
        </is>
      </c>
      <c r="D217" s="55" t="inlineStr">
        <is>
          <t>東京都目黒区上目黒３－４３－２０　K1</t>
        </is>
      </c>
      <c r="E217" s="56" t="inlineStr">
        <is>
          <t>土・月・木・水・火・金</t>
        </is>
      </c>
      <c r="F217" s="55" t="inlineStr">
        <is>
          <t>千葉・長谷川</t>
        </is>
      </c>
      <c r="G217" s="55" t="inlineStr">
        <is>
          <t>一般廃・産廃</t>
        </is>
      </c>
      <c r="H217" s="57" t="n">
        <v>0</v>
      </c>
      <c r="I217" s="58" t="n">
        <v>0</v>
      </c>
      <c r="J217" s="43" t="n">
        <v>0</v>
      </c>
      <c r="K217" s="44">
        <f>IF(J217&gt;0,I217*J217,"")</f>
        <v/>
      </c>
    </row>
    <row r="218" ht="18" customHeight="1">
      <c r="A218" s="52" t="inlineStr">
        <is>
          <t>GN-012</t>
        </is>
      </c>
      <c r="B218" s="53" t="inlineStr">
        <is>
          <t>Ben's Cookies 自由が丘店</t>
        </is>
      </c>
      <c r="C218" s="54" t="inlineStr">
        <is>
          <t>一般事業者</t>
        </is>
      </c>
      <c r="D218" s="55" t="inlineStr">
        <is>
          <t>東京都目黒区自由が丘１－９－８　東急線「自由が丘駅」構内</t>
        </is>
      </c>
      <c r="E218" s="56" t="inlineStr">
        <is>
          <t>・木・火</t>
        </is>
      </c>
      <c r="F218" s="55" t="inlineStr">
        <is>
          <t>千葉</t>
        </is>
      </c>
      <c r="G218" s="55" t="inlineStr">
        <is>
          <t>産廃</t>
        </is>
      </c>
      <c r="H218" s="57" t="n">
        <v>4</v>
      </c>
      <c r="I218" s="58">
        <f>ROUND(H218*4.33,0)</f>
        <v/>
      </c>
      <c r="J218" s="43" t="n">
        <v>0</v>
      </c>
      <c r="K218" s="44">
        <f>IF(J218&gt;0,I218*J218,"")</f>
        <v/>
      </c>
    </row>
    <row r="219" ht="18" customHeight="1">
      <c r="A219" s="52" t="inlineStr">
        <is>
          <t>GN-013</t>
        </is>
      </c>
      <c r="B219" s="53" t="inlineStr">
        <is>
          <t>CAGCHIYA TAP ROOM　自由が丘店</t>
        </is>
      </c>
      <c r="C219" s="54" t="inlineStr">
        <is>
          <t>一般事業者</t>
        </is>
      </c>
      <c r="D219" s="55" t="inlineStr">
        <is>
          <t>東京都世田谷区奥沢５－４２－３　トレインチ自由が丘B101</t>
        </is>
      </c>
      <c r="E219" s="56" t="inlineStr">
        <is>
          <t>・日・木・火</t>
        </is>
      </c>
      <c r="F219" s="55" t="inlineStr">
        <is>
          <t>中條・千葉</t>
        </is>
      </c>
      <c r="G219" s="55" t="inlineStr">
        <is>
          <t>一般廃・産廃</t>
        </is>
      </c>
      <c r="H219" s="57" t="n">
        <v>13</v>
      </c>
      <c r="I219" s="58">
        <f>ROUND(H219*4.33,0)</f>
        <v/>
      </c>
      <c r="J219" s="43" t="n">
        <v>0</v>
      </c>
      <c r="K219" s="44">
        <f>IF(J219&gt;0,I219*J219,"")</f>
        <v/>
      </c>
    </row>
    <row r="220" ht="18" customHeight="1">
      <c r="A220" s="52" t="inlineStr">
        <is>
          <t>GN-014</t>
        </is>
      </c>
      <c r="B220" s="53" t="inlineStr">
        <is>
          <t>CHANCEジム中目黒店</t>
        </is>
      </c>
      <c r="C220" s="54" t="inlineStr">
        <is>
          <t>一般事業者</t>
        </is>
      </c>
      <c r="D220" s="55" t="inlineStr">
        <is>
          <t>東京都目黒区上目黒２－４４－２４コムズ中目黒　３F</t>
        </is>
      </c>
      <c r="E220" s="56" t="inlineStr">
        <is>
          <t>・土・月・木・水・火・金</t>
        </is>
      </c>
      <c r="F220" s="55" t="inlineStr">
        <is>
          <t>千葉・長谷川</t>
        </is>
      </c>
      <c r="G220" s="55" t="inlineStr">
        <is>
          <t>一般廃・産廃</t>
        </is>
      </c>
      <c r="H220" s="57" t="n">
        <v>8</v>
      </c>
      <c r="I220" s="58">
        <f>ROUND(H220*4.33,0)</f>
        <v/>
      </c>
      <c r="J220" s="43" t="n">
        <v>0</v>
      </c>
      <c r="K220" s="44">
        <f>IF(J220&gt;0,I220*J220,"")</f>
        <v/>
      </c>
    </row>
    <row r="221" ht="18" customHeight="1">
      <c r="A221" s="52" t="inlineStr">
        <is>
          <t>GN-015</t>
        </is>
      </c>
      <c r="B221" s="53" t="inlineStr">
        <is>
          <t>CHI-FO</t>
        </is>
      </c>
      <c r="C221" s="54" t="inlineStr">
        <is>
          <t>一般事業者</t>
        </is>
      </c>
      <c r="D221" s="55" t="inlineStr">
        <is>
          <t>東京都目黒区鷹番２－２１－１９　１０BL-E1</t>
        </is>
      </c>
      <c r="E221" s="56" t="inlineStr">
        <is>
          <t>土・月・木・水・火・金</t>
        </is>
      </c>
      <c r="F221" s="55" t="inlineStr">
        <is>
          <t>中條・千葉・長谷川</t>
        </is>
      </c>
      <c r="G221" s="55" t="inlineStr">
        <is>
          <t>一般廃・瓶缶・産廃</t>
        </is>
      </c>
      <c r="H221" s="57" t="n">
        <v>56</v>
      </c>
      <c r="I221" s="58">
        <f>ROUND(H221*4.33,0)</f>
        <v/>
      </c>
      <c r="J221" s="43" t="n">
        <v>0</v>
      </c>
      <c r="K221" s="44">
        <f>IF(J221&gt;0,I221*J221,"")</f>
        <v/>
      </c>
    </row>
    <row r="222" ht="18" customHeight="1">
      <c r="A222" s="52" t="inlineStr">
        <is>
          <t>GN-016</t>
        </is>
      </c>
      <c r="B222" s="53" t="inlineStr">
        <is>
          <t>CHIYA-BA</t>
        </is>
      </c>
      <c r="C222" s="54" t="inlineStr">
        <is>
          <t>一般事業者</t>
        </is>
      </c>
      <c r="D222" s="55" t="inlineStr">
        <is>
          <t>東京都目黒区上目黒３－４５－１２　J２</t>
        </is>
      </c>
      <c r="E222" s="56" t="inlineStr">
        <is>
          <t>土・月・木・水・火・金</t>
        </is>
      </c>
      <c r="F222" s="55" t="inlineStr">
        <is>
          <t>千葉・長谷川</t>
        </is>
      </c>
      <c r="G222" s="55" t="inlineStr">
        <is>
          <t>一般廃・産廃</t>
        </is>
      </c>
      <c r="H222" s="57" t="n">
        <v>65</v>
      </c>
      <c r="I222" s="58">
        <f>ROUND(H222*4.33,0)</f>
        <v/>
      </c>
      <c r="J222" s="43" t="n">
        <v>0</v>
      </c>
      <c r="K222" s="44">
        <f>IF(J222&gt;0,I222*J222,"")</f>
        <v/>
      </c>
    </row>
    <row r="223" ht="18" customHeight="1">
      <c r="A223" s="52" t="inlineStr">
        <is>
          <t>GN-017</t>
        </is>
      </c>
      <c r="B223" s="53" t="inlineStr">
        <is>
          <t>CREPE by SIDER</t>
        </is>
      </c>
      <c r="C223" s="54" t="inlineStr">
        <is>
          <t>一般事業者</t>
        </is>
      </c>
      <c r="D223" s="55" t="inlineStr">
        <is>
          <t>東京都目黒区鷹番３－４－２５　GAKUDAI PARK STREET 14-4</t>
        </is>
      </c>
      <c r="E223" s="56" t="inlineStr">
        <is>
          <t>・土・日・月・木・水・火・金</t>
        </is>
      </c>
      <c r="F223" s="55" t="inlineStr">
        <is>
          <t>中條・千葉・長谷川</t>
        </is>
      </c>
      <c r="G223" s="55" t="inlineStr">
        <is>
          <t>一般廃・産廃</t>
        </is>
      </c>
      <c r="H223" s="57" t="n">
        <v>45</v>
      </c>
      <c r="I223" s="58">
        <f>ROUND(H223*4.33,0)</f>
        <v/>
      </c>
      <c r="J223" s="43" t="n">
        <v>0</v>
      </c>
      <c r="K223" s="44">
        <f>IF(J223&gt;0,I223*J223,"")</f>
        <v/>
      </c>
    </row>
    <row r="224" ht="18" customHeight="1">
      <c r="A224" s="52" t="inlineStr">
        <is>
          <t>GN-018</t>
        </is>
      </c>
      <c r="B224" s="53" t="inlineStr">
        <is>
          <t>Caldo　NAKAMEGURO</t>
        </is>
      </c>
      <c r="C224" s="54" t="inlineStr">
        <is>
          <t>一般事業者</t>
        </is>
      </c>
      <c r="D224" s="55" t="inlineStr">
        <is>
          <t>東京都目黒区上目黒３－５－２　９F-３</t>
        </is>
      </c>
      <c r="E224" s="56" t="inlineStr">
        <is>
          <t>・土・日・月・木・水・火・金</t>
        </is>
      </c>
      <c r="F224" s="55" t="inlineStr">
        <is>
          <t>中條・千葉・長谷川</t>
        </is>
      </c>
      <c r="G224" s="55" t="inlineStr">
        <is>
          <t>一般廃・瓶缶・産廃</t>
        </is>
      </c>
      <c r="H224" s="57" t="n">
        <v>92</v>
      </c>
      <c r="I224" s="58">
        <f>ROUND(H224*4.33,0)</f>
        <v/>
      </c>
      <c r="J224" s="43" t="n">
        <v>0</v>
      </c>
      <c r="K224" s="44">
        <f>IF(J224&gt;0,I224*J224,"")</f>
        <v/>
      </c>
    </row>
    <row r="225" ht="18" customHeight="1">
      <c r="A225" s="52" t="inlineStr">
        <is>
          <t>GN-019</t>
        </is>
      </c>
      <c r="B225" s="53" t="inlineStr">
        <is>
          <t>Curry Kiosk CARMA</t>
        </is>
      </c>
      <c r="C225" s="54" t="inlineStr">
        <is>
          <t>一般事業者</t>
        </is>
      </c>
      <c r="D225" s="55" t="inlineStr">
        <is>
          <t>東京都目黒区碑文谷６－６－５　GAKUDAI COLLECTIV B-１</t>
        </is>
      </c>
      <c r="E225" s="56" t="inlineStr">
        <is>
          <t>土・月・木・水・火・金</t>
        </is>
      </c>
      <c r="F225" s="55" t="inlineStr">
        <is>
          <t>千葉・長谷川</t>
        </is>
      </c>
      <c r="G225" s="55" t="inlineStr">
        <is>
          <t>一般廃・産廃</t>
        </is>
      </c>
      <c r="H225" s="57" t="n">
        <v>55</v>
      </c>
      <c r="I225" s="58">
        <f>ROUND(H225*4.33,0)</f>
        <v/>
      </c>
      <c r="J225" s="43" t="n">
        <v>0</v>
      </c>
      <c r="K225" s="44">
        <f>IF(J225&gt;0,I225*J225,"")</f>
        <v/>
      </c>
    </row>
    <row r="226" ht="18" customHeight="1">
      <c r="A226" s="52" t="inlineStr">
        <is>
          <t>GN-020</t>
        </is>
      </c>
      <c r="B226" s="53" t="inlineStr">
        <is>
          <t>DDDD（ディフォー）</t>
        </is>
      </c>
      <c r="C226" s="54" t="inlineStr">
        <is>
          <t>一般事業者</t>
        </is>
      </c>
      <c r="D226" s="55" t="inlineStr">
        <is>
          <t>東京都渋谷区代官山町１３－１代官山ログロードL３　１F</t>
        </is>
      </c>
      <c r="E226" s="56" t="inlineStr">
        <is>
          <t>土・日・月・木・水・火・金</t>
        </is>
      </c>
      <c r="F226" s="55" t="inlineStr">
        <is>
          <t>中條・和田・荻野・長谷川・長野</t>
        </is>
      </c>
      <c r="G226" s="55" t="inlineStr">
        <is>
          <t>一般廃・段ボール・産廃</t>
        </is>
      </c>
      <c r="H226" s="57" t="n">
        <v>40</v>
      </c>
      <c r="I226" s="58">
        <f>ROUND(H226*4.33,0)</f>
        <v/>
      </c>
      <c r="J226" s="43" t="n">
        <v>0</v>
      </c>
      <c r="K226" s="44">
        <f>IF(J226&gt;0,I226*J226,"")</f>
        <v/>
      </c>
    </row>
    <row r="227" ht="18" customHeight="1">
      <c r="A227" s="52" t="inlineStr">
        <is>
          <t>GN-021</t>
        </is>
      </c>
      <c r="B227" s="53" t="inlineStr">
        <is>
          <t>DEAN&amp;DELUCA</t>
        </is>
      </c>
      <c r="C227" s="54" t="inlineStr">
        <is>
          <t>一般事業者</t>
        </is>
      </c>
      <c r="D227" s="55" t="inlineStr">
        <is>
          <t>東京都目黒区碑文谷５－１１－１３　高架下１７BL</t>
        </is>
      </c>
      <c r="E227" s="56" t="inlineStr">
        <is>
          <t>土・日・月・木・水・火・金</t>
        </is>
      </c>
      <c r="F227" s="55" t="inlineStr">
        <is>
          <t>中條・千葉・藤内・長谷川</t>
        </is>
      </c>
      <c r="G227" s="55" t="inlineStr">
        <is>
          <t>一般廃・段ボール・瓶缶・産廃</t>
        </is>
      </c>
      <c r="H227" s="57" t="n">
        <v>925</v>
      </c>
      <c r="I227" s="58">
        <f>ROUND(H227*4.33,0)</f>
        <v/>
      </c>
      <c r="J227" s="43" t="n">
        <v>0</v>
      </c>
      <c r="K227" s="44">
        <f>IF(J227&gt;0,I227*J227,"")</f>
        <v/>
      </c>
    </row>
    <row r="228" ht="18" customHeight="1">
      <c r="A228" s="52" t="inlineStr">
        <is>
          <t>GN-022</t>
        </is>
      </c>
      <c r="B228" s="53" t="inlineStr">
        <is>
          <t>DUMBO Doughnuts</t>
        </is>
      </c>
      <c r="C228" s="54" t="inlineStr">
        <is>
          <t>一般事業者</t>
        </is>
      </c>
      <c r="D228" s="55" t="inlineStr">
        <is>
          <t>東京都世田谷区奥沢５－４２－３　トレインチ自由が丘２F</t>
        </is>
      </c>
      <c r="E228" s="56" t="inlineStr">
        <is>
          <t>・日・木・火</t>
        </is>
      </c>
      <c r="F228" s="55" t="inlineStr">
        <is>
          <t>中條・千葉</t>
        </is>
      </c>
      <c r="G228" s="55" t="inlineStr">
        <is>
          <t>一般廃・産廃</t>
        </is>
      </c>
      <c r="H228" s="57" t="n">
        <v>27</v>
      </c>
      <c r="I228" s="58">
        <f>ROUND(H228*4.33,0)</f>
        <v/>
      </c>
      <c r="J228" s="43" t="n">
        <v>0</v>
      </c>
      <c r="K228" s="44">
        <f>IF(J228&gt;0,I228*J228,"")</f>
        <v/>
      </c>
    </row>
    <row r="229" ht="18" customHeight="1">
      <c r="A229" s="52" t="inlineStr">
        <is>
          <t>GN-023</t>
        </is>
      </c>
      <c r="B229" s="53" t="inlineStr">
        <is>
          <t>Dream Life</t>
        </is>
      </c>
      <c r="C229" s="54" t="inlineStr">
        <is>
          <t>一般事業者</t>
        </is>
      </c>
      <c r="D229" s="55" t="inlineStr">
        <is>
          <t>東京都目黒区上目黒３－４３－１６　L３</t>
        </is>
      </c>
      <c r="E229" s="56" t="inlineStr">
        <is>
          <t>土・月・木・水・火・金</t>
        </is>
      </c>
      <c r="F229" s="55" t="inlineStr">
        <is>
          <t>千葉・長谷川</t>
        </is>
      </c>
      <c r="G229" s="55" t="inlineStr">
        <is>
          <t>一般廃・産廃</t>
        </is>
      </c>
      <c r="H229" s="57" t="n">
        <v>4</v>
      </c>
      <c r="I229" s="58">
        <f>ROUND(H229*4.33,0)</f>
        <v/>
      </c>
      <c r="J229" s="43" t="n">
        <v>0</v>
      </c>
      <c r="K229" s="44">
        <f>IF(J229&gt;0,I229*J229,"")</f>
        <v/>
      </c>
    </row>
    <row r="230" ht="18" customHeight="1">
      <c r="A230" s="52" t="inlineStr">
        <is>
          <t>GN-024</t>
        </is>
      </c>
      <c r="B230" s="53" t="inlineStr">
        <is>
          <t>E-style大井町校</t>
        </is>
      </c>
      <c r="C230" s="54" t="inlineStr">
        <is>
          <t>一般事業者</t>
        </is>
      </c>
      <c r="D230" s="55" t="inlineStr">
        <is>
          <t>東京都品川区大井１－１－１</t>
        </is>
      </c>
      <c r="E230" s="56" t="inlineStr">
        <is>
          <t>月・木・水・金</t>
        </is>
      </c>
      <c r="F230" s="55" t="inlineStr">
        <is>
          <t>中條・千葉</t>
        </is>
      </c>
      <c r="G230" s="55" t="inlineStr">
        <is>
          <t>段ボール・産廃</t>
        </is>
      </c>
      <c r="H230" s="57" t="n">
        <v>4</v>
      </c>
      <c r="I230" s="58">
        <f>ROUND(H230*4.33,0)</f>
        <v/>
      </c>
      <c r="J230" s="43" t="n">
        <v>0</v>
      </c>
      <c r="K230" s="44">
        <f>IF(J230&gt;0,I230*J230,"")</f>
        <v/>
      </c>
    </row>
    <row r="231" ht="18" customHeight="1">
      <c r="A231" s="52" t="inlineStr">
        <is>
          <t>GN-025</t>
        </is>
      </c>
      <c r="B231" s="53" t="inlineStr">
        <is>
          <t>FACT</t>
        </is>
      </c>
      <c r="C231" s="54" t="inlineStr">
        <is>
          <t>一般事業者</t>
        </is>
      </c>
      <c r="D231" s="55" t="inlineStr">
        <is>
          <t>東京都目黒区上目黒３－４３－２０　NAKAME GALLERY STREET</t>
        </is>
      </c>
      <c r="E231" s="56" t="inlineStr">
        <is>
          <t>土・月・木・水・火・金</t>
        </is>
      </c>
      <c r="F231" s="55" t="inlineStr">
        <is>
          <t>千葉・長谷川</t>
        </is>
      </c>
      <c r="G231" s="55" t="inlineStr">
        <is>
          <t>一般廃・産廃</t>
        </is>
      </c>
      <c r="H231" s="57" t="n">
        <v>0</v>
      </c>
      <c r="I231" s="58" t="n">
        <v>0</v>
      </c>
      <c r="J231" s="43" t="n">
        <v>0</v>
      </c>
      <c r="K231" s="44">
        <f>IF(J231&gt;0,I231*J231,"")</f>
        <v/>
      </c>
    </row>
    <row r="232" ht="18" customHeight="1">
      <c r="A232" s="52" t="inlineStr">
        <is>
          <t>GN-026</t>
        </is>
      </c>
      <c r="B232" s="53" t="inlineStr">
        <is>
          <t>FRORIST KADAN</t>
        </is>
      </c>
      <c r="C232" s="54" t="inlineStr">
        <is>
          <t>一般事業者</t>
        </is>
      </c>
      <c r="D232" s="55" t="inlineStr">
        <is>
          <t>東京都世田谷区奥沢３－４７－８</t>
        </is>
      </c>
      <c r="E232" s="56" t="inlineStr">
        <is>
          <t>・木・火</t>
        </is>
      </c>
      <c r="F232" s="55" t="inlineStr">
        <is>
          <t>千葉</t>
        </is>
      </c>
      <c r="G232" s="55" t="inlineStr">
        <is>
          <t>産廃</t>
        </is>
      </c>
      <c r="H232" s="57" t="n">
        <v>0</v>
      </c>
      <c r="I232" s="58" t="n">
        <v>0</v>
      </c>
      <c r="J232" s="43" t="n">
        <v>0</v>
      </c>
      <c r="K232" s="44">
        <f>IF(J232&gt;0,I232*J232,"")</f>
        <v/>
      </c>
    </row>
    <row r="233" ht="18" customHeight="1">
      <c r="A233" s="52" t="inlineStr">
        <is>
          <t>GN-027</t>
        </is>
      </c>
      <c r="B233" s="53" t="inlineStr">
        <is>
          <t>Far Yeast Brewing</t>
        </is>
      </c>
      <c r="C233" s="54" t="inlineStr">
        <is>
          <t>一般事業者</t>
        </is>
      </c>
      <c r="D233" s="55" t="inlineStr">
        <is>
          <t>東京都品川区西五反田１－２２－４　C区画</t>
        </is>
      </c>
      <c r="E233" s="56" t="inlineStr">
        <is>
          <t>日・月・水・火・金</t>
        </is>
      </c>
      <c r="F233" s="55" t="inlineStr">
        <is>
          <t>中條・千葉</t>
        </is>
      </c>
      <c r="G233" s="55" t="inlineStr">
        <is>
          <t>一般廃・瓶缶・産廃</t>
        </is>
      </c>
      <c r="H233" s="57" t="n">
        <v>101</v>
      </c>
      <c r="I233" s="58">
        <f>ROUND(H233*4.33,0)</f>
        <v/>
      </c>
      <c r="J233" s="43" t="n">
        <v>0</v>
      </c>
      <c r="K233" s="44">
        <f>IF(J233&gt;0,I233*J233,"")</f>
        <v/>
      </c>
    </row>
    <row r="234" ht="18" customHeight="1">
      <c r="A234" s="52" t="inlineStr">
        <is>
          <t>GN-028</t>
        </is>
      </c>
      <c r="B234" s="53" t="inlineStr">
        <is>
          <t>GONZO　酒場シナトラ</t>
        </is>
      </c>
      <c r="C234" s="54" t="inlineStr">
        <is>
          <t>一般事業者</t>
        </is>
      </c>
      <c r="D234" s="55" t="inlineStr">
        <is>
          <t>東京都世田谷区奥沢５－４２－３　トレインチ自由が丘A-101 A-102</t>
        </is>
      </c>
      <c r="E234" s="56" t="inlineStr">
        <is>
          <t>・日・木・火</t>
        </is>
      </c>
      <c r="F234" s="55" t="inlineStr">
        <is>
          <t>中條・千葉</t>
        </is>
      </c>
      <c r="G234" s="55" t="inlineStr">
        <is>
          <t>一般廃・産廃</t>
        </is>
      </c>
      <c r="H234" s="57" t="n">
        <v>191</v>
      </c>
      <c r="I234" s="58">
        <f>ROUND(H234*4.33,0)</f>
        <v/>
      </c>
      <c r="J234" s="43" t="n">
        <v>0</v>
      </c>
      <c r="K234" s="44">
        <f>IF(J234&gt;0,I234*J234,"")</f>
        <v/>
      </c>
    </row>
    <row r="235" ht="18" customHeight="1">
      <c r="A235" s="52" t="inlineStr">
        <is>
          <t>GN-029</t>
        </is>
      </c>
      <c r="B235" s="53" t="inlineStr">
        <is>
          <t>GOOD LUCK 中目黒店</t>
        </is>
      </c>
      <c r="C235" s="54" t="inlineStr">
        <is>
          <t>一般事業者</t>
        </is>
      </c>
      <c r="D235" s="55" t="inlineStr">
        <is>
          <t>東京都目黒区上目黒１－２２－１２B-7</t>
        </is>
      </c>
      <c r="E235" s="56" t="inlineStr">
        <is>
          <t>土・日・月・木・水・火・金</t>
        </is>
      </c>
      <c r="F235" s="55" t="inlineStr">
        <is>
          <t>中條・千葉・長谷川・長野</t>
        </is>
      </c>
      <c r="G235" s="55" t="inlineStr">
        <is>
          <t>一般廃・産廃</t>
        </is>
      </c>
      <c r="H235" s="57" t="n">
        <v>74</v>
      </c>
      <c r="I235" s="58">
        <f>ROUND(H235*4.33,0)</f>
        <v/>
      </c>
      <c r="J235" s="43" t="n">
        <v>0</v>
      </c>
      <c r="K235" s="44">
        <f>IF(J235&gt;0,I235*J235,"")</f>
        <v/>
      </c>
    </row>
    <row r="236" ht="18" customHeight="1">
      <c r="A236" s="52" t="inlineStr">
        <is>
          <t>GN-030</t>
        </is>
      </c>
      <c r="B236" s="53" t="inlineStr">
        <is>
          <t>GOOD SOUND COFFEE 中目黒店</t>
        </is>
      </c>
      <c r="C236" s="54" t="inlineStr">
        <is>
          <t>一般事業者</t>
        </is>
      </c>
      <c r="D236" s="55" t="inlineStr">
        <is>
          <t>東京都目黒区上目黒１－６－５</t>
        </is>
      </c>
      <c r="E236" s="56" t="inlineStr">
        <is>
          <t>土・月・木・水・火・金</t>
        </is>
      </c>
      <c r="F236" s="55" t="inlineStr">
        <is>
          <t>藤内・長谷川・長野</t>
        </is>
      </c>
      <c r="G236" s="55" t="inlineStr">
        <is>
          <t>一般廃・段ボール・産廃</t>
        </is>
      </c>
      <c r="H236" s="57" t="n">
        <v>195</v>
      </c>
      <c r="I236" s="58">
        <f>ROUND(H236*4.33,0)</f>
        <v/>
      </c>
      <c r="J236" s="43" t="n">
        <v>0</v>
      </c>
      <c r="K236" s="44">
        <f>IF(J236&gt;0,I236*J236,"")</f>
        <v/>
      </c>
    </row>
    <row r="237" ht="18" customHeight="1">
      <c r="A237" s="52" t="inlineStr">
        <is>
          <t>GN-031</t>
        </is>
      </c>
      <c r="B237" s="53" t="inlineStr">
        <is>
          <t>GYM by LAVISUS</t>
        </is>
      </c>
      <c r="C237" s="54" t="inlineStr">
        <is>
          <t>一般事業者</t>
        </is>
      </c>
      <c r="D237" s="55" t="inlineStr">
        <is>
          <t>東京都目黒区上目黒３－４３－１６　L1</t>
        </is>
      </c>
      <c r="E237" s="56" t="inlineStr">
        <is>
          <t>土・月・木・水・火・金</t>
        </is>
      </c>
      <c r="F237" s="55" t="inlineStr">
        <is>
          <t>千葉・長谷川</t>
        </is>
      </c>
      <c r="G237" s="55" t="inlineStr">
        <is>
          <t>一般廃・産廃</t>
        </is>
      </c>
      <c r="H237" s="57" t="n">
        <v>0</v>
      </c>
      <c r="I237" s="58" t="n">
        <v>0</v>
      </c>
      <c r="J237" s="43" t="n">
        <v>0</v>
      </c>
      <c r="K237" s="44">
        <f>IF(J237&gt;0,I237*J237,"")</f>
        <v/>
      </c>
    </row>
    <row r="238" ht="18" customHeight="1">
      <c r="A238" s="52" t="inlineStr">
        <is>
          <t>GN-032</t>
        </is>
      </c>
      <c r="B238" s="53" t="inlineStr">
        <is>
          <t>HATSUMIMI</t>
        </is>
      </c>
      <c r="C238" s="54" t="inlineStr">
        <is>
          <t>一般事業者</t>
        </is>
      </c>
      <c r="D238" s="55" t="inlineStr">
        <is>
          <t>東京都目黒区鷹番２－２１－１７　１０BLD3</t>
        </is>
      </c>
      <c r="E238" s="56" t="inlineStr">
        <is>
          <t>土・月・木・水・火・金</t>
        </is>
      </c>
      <c r="F238" s="55" t="inlineStr">
        <is>
          <t>中條・千葉・長谷川</t>
        </is>
      </c>
      <c r="G238" s="55" t="inlineStr">
        <is>
          <t>一般廃・瓶缶・産廃</t>
        </is>
      </c>
      <c r="H238" s="57" t="n">
        <v>14</v>
      </c>
      <c r="I238" s="58">
        <f>ROUND(H238*4.33,0)</f>
        <v/>
      </c>
      <c r="J238" s="43" t="n">
        <v>0</v>
      </c>
      <c r="K238" s="44">
        <f>IF(J238&gt;0,I238*J238,"")</f>
        <v/>
      </c>
    </row>
    <row r="239" ht="18" customHeight="1">
      <c r="A239" s="52" t="inlineStr">
        <is>
          <t>GN-033</t>
        </is>
      </c>
      <c r="B239" s="53" t="inlineStr">
        <is>
          <t>HVEN</t>
        </is>
      </c>
      <c r="C239" s="54" t="inlineStr">
        <is>
          <t>一般事業者</t>
        </is>
      </c>
      <c r="D239" s="55" t="inlineStr">
        <is>
          <t>東京都目黒区上目黒１－６－１　０A－１</t>
        </is>
      </c>
      <c r="E239" s="56" t="inlineStr">
        <is>
          <t>土・月・木・水・火・金</t>
        </is>
      </c>
      <c r="F239" s="55" t="inlineStr">
        <is>
          <t>長谷川・長野</t>
        </is>
      </c>
      <c r="G239" s="55" t="inlineStr">
        <is>
          <t>一般廃・産廃</t>
        </is>
      </c>
      <c r="H239" s="57" t="n">
        <v>177</v>
      </c>
      <c r="I239" s="58">
        <f>ROUND(H239*4.33,0)</f>
        <v/>
      </c>
      <c r="J239" s="43" t="n">
        <v>0</v>
      </c>
      <c r="K239" s="44">
        <f>IF(J239&gt;0,I239*J239,"")</f>
        <v/>
      </c>
    </row>
    <row r="240" ht="18" customHeight="1">
      <c r="A240" s="52" t="inlineStr">
        <is>
          <t>GN-034</t>
        </is>
      </c>
      <c r="B240" s="53" t="inlineStr">
        <is>
          <t>I'm donut?中目黒店</t>
        </is>
      </c>
      <c r="C240" s="54" t="inlineStr">
        <is>
          <t>一般事業者</t>
        </is>
      </c>
      <c r="D240" s="55" t="inlineStr">
        <is>
          <t>東京都目黒区上目黒１－２２－１０</t>
        </is>
      </c>
      <c r="E240" s="56" t="inlineStr">
        <is>
          <t>土・日・月・木・水・火・金</t>
        </is>
      </c>
      <c r="F240" s="55" t="inlineStr">
        <is>
          <t>中條・千葉・長谷川・長野</t>
        </is>
      </c>
      <c r="G240" s="55" t="inlineStr">
        <is>
          <t>一般廃・産廃</t>
        </is>
      </c>
      <c r="H240" s="57" t="n">
        <v>340</v>
      </c>
      <c r="I240" s="58">
        <f>ROUND(H240*4.33,0)</f>
        <v/>
      </c>
      <c r="J240" s="43" t="n">
        <v>0</v>
      </c>
      <c r="K240" s="44">
        <f>IF(J240&gt;0,I240*J240,"")</f>
        <v/>
      </c>
    </row>
    <row r="241" ht="18" customHeight="1">
      <c r="A241" s="52" t="inlineStr">
        <is>
          <t>GN-035</t>
        </is>
      </c>
      <c r="B241" s="53" t="inlineStr">
        <is>
          <t>KBCほいくえん　大井町</t>
        </is>
      </c>
      <c r="C241" s="54" t="inlineStr">
        <is>
          <t>一般事業者</t>
        </is>
      </c>
      <c r="D241" s="55" t="inlineStr">
        <is>
          <t>東京都品川区二葉１－８－２０　高架下</t>
        </is>
      </c>
      <c r="E241" s="56" t="inlineStr">
        <is>
          <t>木・水・金</t>
        </is>
      </c>
      <c r="F241" s="55" t="inlineStr">
        <is>
          <t>中條・千葉</t>
        </is>
      </c>
      <c r="G241" s="55" t="inlineStr">
        <is>
          <t>産廃・資源</t>
        </is>
      </c>
      <c r="H241" s="57" t="n">
        <v>55</v>
      </c>
      <c r="I241" s="58">
        <f>ROUND(H241*4.33,0)</f>
        <v/>
      </c>
      <c r="J241" s="43" t="n">
        <v>0</v>
      </c>
      <c r="K241" s="44">
        <f>IF(J241&gt;0,I241*J241,"")</f>
        <v/>
      </c>
    </row>
    <row r="242" ht="18" customHeight="1">
      <c r="A242" s="52" t="inlineStr">
        <is>
          <t>GN-036</t>
        </is>
      </c>
      <c r="B242" s="53" t="inlineStr">
        <is>
          <t>KUROSHIRO</t>
        </is>
      </c>
      <c r="C242" s="54" t="inlineStr">
        <is>
          <t>一般事業者</t>
        </is>
      </c>
      <c r="D242" s="55" t="inlineStr">
        <is>
          <t>東京都目黒区上目黒３－４３－１８　K３</t>
        </is>
      </c>
      <c r="E242" s="56" t="inlineStr">
        <is>
          <t>土・月・木・水・火・金</t>
        </is>
      </c>
      <c r="F242" s="55" t="inlineStr">
        <is>
          <t>千葉・長谷川</t>
        </is>
      </c>
      <c r="G242" s="55" t="inlineStr">
        <is>
          <t>一般廃・産廃</t>
        </is>
      </c>
      <c r="H242" s="57" t="n">
        <v>1</v>
      </c>
      <c r="I242" s="58">
        <f>ROUND(H242*4.33,0)</f>
        <v/>
      </c>
      <c r="J242" s="43" t="n">
        <v>0</v>
      </c>
      <c r="K242" s="44">
        <f>IF(J242&gt;0,I242*J242,"")</f>
        <v/>
      </c>
    </row>
    <row r="243" ht="18" customHeight="1">
      <c r="A243" s="52" t="inlineStr">
        <is>
          <t>GN-037</t>
        </is>
      </c>
      <c r="B243" s="53" t="inlineStr">
        <is>
          <t>M&amp;Trees</t>
        </is>
      </c>
      <c r="C243" s="54" t="inlineStr">
        <is>
          <t>一般事業者</t>
        </is>
      </c>
      <c r="D243" s="55" t="inlineStr">
        <is>
          <t>東京都目黒区鷹番３－４－２５　学大小路</t>
        </is>
      </c>
      <c r="E243" s="56" t="inlineStr">
        <is>
          <t>・土・日・月・木・水・火・金</t>
        </is>
      </c>
      <c r="F243" s="55" t="inlineStr">
        <is>
          <t>中條・千葉・長谷川</t>
        </is>
      </c>
      <c r="G243" s="55" t="inlineStr">
        <is>
          <t>一般廃・産廃</t>
        </is>
      </c>
      <c r="H243" s="57" t="n">
        <v>21</v>
      </c>
      <c r="I243" s="58">
        <f>ROUND(H243*4.33,0)</f>
        <v/>
      </c>
      <c r="J243" s="43" t="n">
        <v>0</v>
      </c>
      <c r="K243" s="44">
        <f>IF(J243&gt;0,I243*J243,"")</f>
        <v/>
      </c>
    </row>
    <row r="244" ht="18" customHeight="1">
      <c r="A244" s="52" t="inlineStr">
        <is>
          <t>GN-038</t>
        </is>
      </c>
      <c r="B244" s="53" t="inlineStr">
        <is>
          <t>MAISON KUROSU</t>
        </is>
      </c>
      <c r="C244" s="54" t="inlineStr">
        <is>
          <t>一般事業者</t>
        </is>
      </c>
      <c r="D244" s="55" t="inlineStr">
        <is>
          <t>東京都目黒区碑文谷６－７－２２</t>
        </is>
      </c>
      <c r="E244" s="56" t="inlineStr">
        <is>
          <t>水</t>
        </is>
      </c>
      <c r="F244" s="55" t="inlineStr">
        <is>
          <t>千葉</t>
        </is>
      </c>
      <c r="G244" s="55" t="inlineStr">
        <is>
          <t>産廃</t>
        </is>
      </c>
      <c r="H244" s="57" t="n">
        <v>0</v>
      </c>
      <c r="I244" s="58" t="n">
        <v>0</v>
      </c>
      <c r="J244" s="43" t="n">
        <v>0</v>
      </c>
      <c r="K244" s="44">
        <f>IF(J244&gt;0,I244*J244,"")</f>
        <v/>
      </c>
    </row>
    <row r="245" ht="18" customHeight="1">
      <c r="A245" s="52" t="inlineStr">
        <is>
          <t>GN-039</t>
        </is>
      </c>
      <c r="B245" s="53" t="inlineStr">
        <is>
          <t>MAISON KUROSU　学芸大学</t>
        </is>
      </c>
      <c r="C245" s="54" t="inlineStr">
        <is>
          <t>一般事業者</t>
        </is>
      </c>
      <c r="D245" s="55" t="inlineStr">
        <is>
          <t>東京都目黒区碑文谷６－７－２２　１４BL</t>
        </is>
      </c>
      <c r="E245" s="56" t="inlineStr">
        <is>
          <t>日</t>
        </is>
      </c>
      <c r="F245" s="55" t="inlineStr">
        <is>
          <t>中條</t>
        </is>
      </c>
      <c r="G245" s="55" t="inlineStr">
        <is>
          <t>一般廃</t>
        </is>
      </c>
      <c r="H245" s="57" t="n">
        <v>0</v>
      </c>
      <c r="I245" s="58" t="n">
        <v>0</v>
      </c>
      <c r="J245" s="43" t="n">
        <v>0</v>
      </c>
      <c r="K245" s="44">
        <f>IF(J245&gt;0,I245*J245,"")</f>
        <v/>
      </c>
    </row>
    <row r="246" ht="18" customHeight="1">
      <c r="A246" s="52" t="inlineStr">
        <is>
          <t>GN-040</t>
        </is>
      </c>
      <c r="B246" s="53" t="inlineStr">
        <is>
          <t>MAISON KUROSU学芸</t>
        </is>
      </c>
      <c r="C246" s="54" t="inlineStr">
        <is>
          <t>一般事業者</t>
        </is>
      </c>
      <c r="D246" s="55" t="inlineStr">
        <is>
          <t>東京都目黒区碑文谷６－７－２２</t>
        </is>
      </c>
      <c r="E246" s="56" t="inlineStr">
        <is>
          <t>土・月・木・水・火・金</t>
        </is>
      </c>
      <c r="F246" s="55" t="inlineStr">
        <is>
          <t>長谷川</t>
        </is>
      </c>
      <c r="G246" s="55" t="inlineStr">
        <is>
          <t>一般廃</t>
        </is>
      </c>
      <c r="H246" s="57" t="n">
        <v>56.5</v>
      </c>
      <c r="I246" s="58">
        <f>ROUND(H246*4.33,0)</f>
        <v/>
      </c>
      <c r="J246" s="43" t="n">
        <v>0</v>
      </c>
      <c r="K246" s="44">
        <f>IF(J246&gt;0,I246*J246,"")</f>
        <v/>
      </c>
    </row>
    <row r="247" ht="18" customHeight="1">
      <c r="A247" s="52" t="inlineStr">
        <is>
          <t>GN-041</t>
        </is>
      </c>
      <c r="B247" s="53" t="inlineStr">
        <is>
          <t>MY SWEETS　二子玉川店</t>
        </is>
      </c>
      <c r="C247" s="54" t="inlineStr">
        <is>
          <t>一般事業者</t>
        </is>
      </c>
      <c r="D247" s="55" t="inlineStr">
        <is>
          <t>東京都世田谷区玉川２－２２－１３</t>
        </is>
      </c>
      <c r="E247" s="56" t="inlineStr">
        <is>
          <t>・日・木・火</t>
        </is>
      </c>
      <c r="F247" s="55" t="inlineStr">
        <is>
          <t>中條・千葉・長野</t>
        </is>
      </c>
      <c r="G247" s="55" t="inlineStr">
        <is>
          <t>一般廃・産廃</t>
        </is>
      </c>
      <c r="H247" s="57" t="n">
        <v>110</v>
      </c>
      <c r="I247" s="58">
        <f>ROUND(H247*4.33,0)</f>
        <v/>
      </c>
      <c r="J247" s="43" t="n">
        <v>0</v>
      </c>
      <c r="K247" s="44">
        <f>IF(J247&gt;0,I247*J247,"")</f>
        <v/>
      </c>
    </row>
    <row r="248" ht="18" customHeight="1">
      <c r="A248" s="52" t="inlineStr">
        <is>
          <t>GN-042</t>
        </is>
      </c>
      <c r="B248" s="53" t="inlineStr">
        <is>
          <t>MY SWEETS　大井町店</t>
        </is>
      </c>
      <c r="C248" s="54" t="inlineStr">
        <is>
          <t>一般事業者</t>
        </is>
      </c>
      <c r="D248" s="55" t="inlineStr">
        <is>
          <t>東京都品川区大井１－１－１</t>
        </is>
      </c>
      <c r="E248" s="56" t="inlineStr">
        <is>
          <t>月・木・水・金</t>
        </is>
      </c>
      <c r="F248" s="55" t="inlineStr">
        <is>
          <t>中條・千葉</t>
        </is>
      </c>
      <c r="G248" s="55" t="inlineStr">
        <is>
          <t>段ボール・産廃</t>
        </is>
      </c>
      <c r="H248" s="57" t="n">
        <v>44</v>
      </c>
      <c r="I248" s="58">
        <f>ROUND(H248*4.33,0)</f>
        <v/>
      </c>
      <c r="J248" s="43" t="n">
        <v>0</v>
      </c>
      <c r="K248" s="44">
        <f>IF(J248&gt;0,I248*J248,"")</f>
        <v/>
      </c>
    </row>
    <row r="249" ht="18" customHeight="1">
      <c r="A249" s="52" t="inlineStr">
        <is>
          <t>GN-043</t>
        </is>
      </c>
      <c r="B249" s="53" t="inlineStr">
        <is>
          <t>MY SWEETS　渋谷店</t>
        </is>
      </c>
      <c r="C249" s="54" t="inlineStr">
        <is>
          <t>一般事業者</t>
        </is>
      </c>
      <c r="D249" s="55" t="inlineStr">
        <is>
          <t>東京都渋谷区道玄坂２－１－１</t>
        </is>
      </c>
      <c r="E249" s="56" t="inlineStr">
        <is>
          <t>土・月・木・水・金</t>
        </is>
      </c>
      <c r="F249" s="55" t="inlineStr">
        <is>
          <t>中條・和田・荻野・長野</t>
        </is>
      </c>
      <c r="G249" s="55" t="inlineStr">
        <is>
          <t>段ボール・産廃・資源</t>
        </is>
      </c>
      <c r="H249" s="57" t="n">
        <v>4</v>
      </c>
      <c r="I249" s="58">
        <f>ROUND(H249*4.33,0)</f>
        <v/>
      </c>
      <c r="J249" s="43" t="n">
        <v>0</v>
      </c>
      <c r="K249" s="44">
        <f>IF(J249&gt;0,I249*J249,"")</f>
        <v/>
      </c>
    </row>
    <row r="250" ht="18" customHeight="1">
      <c r="A250" s="52" t="inlineStr">
        <is>
          <t>GN-044</t>
        </is>
      </c>
      <c r="B250" s="53" t="inlineStr">
        <is>
          <t>Mix Bar Rose</t>
        </is>
      </c>
      <c r="C250" s="54" t="inlineStr">
        <is>
          <t>一般事業者</t>
        </is>
      </c>
      <c r="D250" s="55" t="inlineStr">
        <is>
          <t>東京都目黒区鷹番２－２１－１７　学大横丁</t>
        </is>
      </c>
      <c r="E250" s="56" t="inlineStr">
        <is>
          <t>土・月・木・水・火・金</t>
        </is>
      </c>
      <c r="F250" s="55" t="inlineStr">
        <is>
          <t>中條・千葉・長谷川</t>
        </is>
      </c>
      <c r="G250" s="55" t="inlineStr">
        <is>
          <t>一般廃・瓶缶・産廃</t>
        </is>
      </c>
      <c r="H250" s="57" t="n">
        <v>0</v>
      </c>
      <c r="I250" s="58" t="n">
        <v>0</v>
      </c>
      <c r="J250" s="43" t="n">
        <v>0</v>
      </c>
      <c r="K250" s="44">
        <f>IF(J250&gt;0,I250*J250,"")</f>
        <v/>
      </c>
    </row>
    <row r="251" ht="18" customHeight="1">
      <c r="A251" s="52" t="inlineStr">
        <is>
          <t>GN-045</t>
        </is>
      </c>
      <c r="B251" s="53" t="inlineStr">
        <is>
          <t>NAKAMA-Lab</t>
        </is>
      </c>
      <c r="C251" s="54" t="inlineStr">
        <is>
          <t>一般事業者</t>
        </is>
      </c>
      <c r="D251" s="55" t="inlineStr">
        <is>
          <t>東京都目黒区上目黒３－４５－１２　J１</t>
        </is>
      </c>
      <c r="E251" s="56" t="inlineStr">
        <is>
          <t>土・月・木・水・火・金</t>
        </is>
      </c>
      <c r="F251" s="55" t="inlineStr">
        <is>
          <t>千葉・長谷川</t>
        </is>
      </c>
      <c r="G251" s="55" t="inlineStr">
        <is>
          <t>一般廃・産廃</t>
        </is>
      </c>
      <c r="H251" s="57" t="n">
        <v>0</v>
      </c>
      <c r="I251" s="58" t="n">
        <v>0</v>
      </c>
      <c r="J251" s="43" t="n">
        <v>0</v>
      </c>
      <c r="K251" s="44">
        <f>IF(J251&gt;0,I251*J251,"")</f>
        <v/>
      </c>
    </row>
    <row r="252" ht="18" customHeight="1">
      <c r="A252" s="52" t="inlineStr">
        <is>
          <t>GN-046</t>
        </is>
      </c>
      <c r="B252" s="53" t="inlineStr">
        <is>
          <t>NATURAL KITCHEN　自由が丘</t>
        </is>
      </c>
      <c r="C252" s="54" t="inlineStr">
        <is>
          <t>一般事業者</t>
        </is>
      </c>
      <c r="D252" s="55" t="inlineStr">
        <is>
          <t>東京都世田谷区奥沢５－４２－３　トレインチ自由が丘B-201</t>
        </is>
      </c>
      <c r="E252" s="56" t="inlineStr">
        <is>
          <t>・日・木・火</t>
        </is>
      </c>
      <c r="F252" s="55" t="inlineStr">
        <is>
          <t>中條・千葉</t>
        </is>
      </c>
      <c r="G252" s="55" t="inlineStr">
        <is>
          <t>一般廃・産廃</t>
        </is>
      </c>
      <c r="H252" s="57" t="n">
        <v>32</v>
      </c>
      <c r="I252" s="58">
        <f>ROUND(H252*4.33,0)</f>
        <v/>
      </c>
      <c r="J252" s="43" t="n">
        <v>0</v>
      </c>
      <c r="K252" s="44">
        <f>IF(J252&gt;0,I252*J252,"")</f>
        <v/>
      </c>
    </row>
    <row r="253" ht="18" customHeight="1">
      <c r="A253" s="52" t="inlineStr">
        <is>
          <t>GN-047</t>
        </is>
      </c>
      <c r="B253" s="53" t="inlineStr">
        <is>
          <t>NTサービス</t>
        </is>
      </c>
      <c r="C253" s="54" t="inlineStr">
        <is>
          <t>一般事業者</t>
        </is>
      </c>
      <c r="D253" s="55" t="inlineStr">
        <is>
          <t>東京都大田区久が原３－４１－１２シンワビル</t>
        </is>
      </c>
      <c r="E253" s="56" t="inlineStr">
        <is>
          <t>火</t>
        </is>
      </c>
      <c r="F253" s="55" t="inlineStr">
        <is>
          <t>中條</t>
        </is>
      </c>
      <c r="G253" s="55" t="inlineStr">
        <is>
          <t>瓶缶</t>
        </is>
      </c>
      <c r="H253" s="57" t="n">
        <v>10</v>
      </c>
      <c r="I253" s="58">
        <f>ROUND(H253*4.33,0)</f>
        <v/>
      </c>
      <c r="J253" s="43" t="n">
        <v>0</v>
      </c>
      <c r="K253" s="44">
        <f>IF(J253&gt;0,I253*J253,"")</f>
        <v/>
      </c>
    </row>
    <row r="254" ht="18" customHeight="1">
      <c r="A254" s="52" t="inlineStr">
        <is>
          <t>GN-048</t>
        </is>
      </c>
      <c r="B254" s="53" t="inlineStr">
        <is>
          <t>NewWork　都立大</t>
        </is>
      </c>
      <c r="C254" s="54" t="inlineStr">
        <is>
          <t>一般事業者</t>
        </is>
      </c>
      <c r="D254" s="55" t="inlineStr">
        <is>
          <t>東京都目黒区中根１－５－２　都立大高架下</t>
        </is>
      </c>
      <c r="E254" s="56" t="inlineStr">
        <is>
          <t>土・日・月・木・水・火・金</t>
        </is>
      </c>
      <c r="F254" s="55" t="inlineStr">
        <is>
          <t>中條・千葉・長谷川</t>
        </is>
      </c>
      <c r="G254" s="55" t="inlineStr">
        <is>
          <t>一般廃・瓶缶・産廃</t>
        </is>
      </c>
      <c r="H254" s="57" t="n">
        <v>16</v>
      </c>
      <c r="I254" s="58">
        <f>ROUND(H254*4.33,0)</f>
        <v/>
      </c>
      <c r="J254" s="43" t="n">
        <v>0</v>
      </c>
      <c r="K254" s="44">
        <f>IF(J254&gt;0,I254*J254,"")</f>
        <v/>
      </c>
    </row>
    <row r="255" ht="18" customHeight="1">
      <c r="A255" s="52" t="inlineStr">
        <is>
          <t>GN-049</t>
        </is>
      </c>
      <c r="B255" s="53" t="inlineStr">
        <is>
          <t>QBハウス　エトモ鵜の木店</t>
        </is>
      </c>
      <c r="C255" s="54" t="inlineStr">
        <is>
          <t>一般事業者</t>
        </is>
      </c>
      <c r="D255" s="55" t="inlineStr">
        <is>
          <t>東京都大田区鵜の木２－４－１　エトモ鵜の木</t>
        </is>
      </c>
      <c r="E255" s="56" t="inlineStr">
        <is>
          <t>火</t>
        </is>
      </c>
      <c r="F255" s="55" t="inlineStr">
        <is>
          <t>千葉</t>
        </is>
      </c>
      <c r="G255" s="55" t="inlineStr">
        <is>
          <t>産廃</t>
        </is>
      </c>
      <c r="H255" s="57" t="n">
        <v>0</v>
      </c>
      <c r="I255" s="58" t="n">
        <v>0</v>
      </c>
      <c r="J255" s="43" t="n">
        <v>0</v>
      </c>
      <c r="K255" s="44">
        <f>IF(J255&gt;0,I255*J255,"")</f>
        <v/>
      </c>
    </row>
    <row r="256" ht="18" customHeight="1">
      <c r="A256" s="52" t="inlineStr">
        <is>
          <t>GN-050</t>
        </is>
      </c>
      <c r="B256" s="53" t="inlineStr">
        <is>
          <t>QBハウス　下高井戸店</t>
        </is>
      </c>
      <c r="C256" s="54" t="inlineStr">
        <is>
          <t>一般事業者</t>
        </is>
      </c>
      <c r="D256" s="55" t="inlineStr">
        <is>
          <t>東京都世田谷区松原３－２９－１７</t>
        </is>
      </c>
      <c r="E256" s="56" t="inlineStr">
        <is>
          <t>土・木・火</t>
        </is>
      </c>
      <c r="F256" s="55" t="inlineStr">
        <is>
          <t>和田・荻野・長谷川・長野</t>
        </is>
      </c>
      <c r="G256" s="55" t="inlineStr">
        <is>
          <t>一般廃・段ボール・産廃</t>
        </is>
      </c>
      <c r="H256" s="57" t="n">
        <v>60</v>
      </c>
      <c r="I256" s="58">
        <f>ROUND(H256*4.33,0)</f>
        <v/>
      </c>
      <c r="J256" s="43" t="n">
        <v>0</v>
      </c>
      <c r="K256" s="44">
        <f>IF(J256&gt;0,I256*J256,"")</f>
        <v/>
      </c>
    </row>
    <row r="257" ht="18" customHeight="1">
      <c r="A257" s="52" t="inlineStr">
        <is>
          <t>GN-051</t>
        </is>
      </c>
      <c r="B257" s="53" t="inlineStr">
        <is>
          <t>SOIL</t>
        </is>
      </c>
      <c r="C257" s="54" t="inlineStr">
        <is>
          <t>一般事業者</t>
        </is>
      </c>
      <c r="D257" s="55" t="inlineStr">
        <is>
          <t>東京都渋谷区渋谷３－６－１４渋谷金王第二ビル</t>
        </is>
      </c>
      <c r="E257" s="56" t="inlineStr">
        <is>
          <t>土・月・木・水・火・金</t>
        </is>
      </c>
      <c r="F257" s="55" t="inlineStr">
        <is>
          <t>中條・長谷川・長野</t>
        </is>
      </c>
      <c r="G257" s="55" t="inlineStr">
        <is>
          <t>一般廃・段ボール・産廃</t>
        </is>
      </c>
      <c r="H257" s="57" t="n">
        <v>75</v>
      </c>
      <c r="I257" s="58">
        <f>ROUND(H257*4.33,0)</f>
        <v/>
      </c>
      <c r="J257" s="43" t="n">
        <v>0</v>
      </c>
      <c r="K257" s="44">
        <f>IF(J257&gt;0,I257*J257,"")</f>
        <v/>
      </c>
    </row>
    <row r="258" ht="18" customHeight="1">
      <c r="A258" s="52" t="inlineStr">
        <is>
          <t>GN-052</t>
        </is>
      </c>
      <c r="B258" s="53" t="inlineStr">
        <is>
          <t>SORENARI</t>
        </is>
      </c>
      <c r="C258" s="54" t="inlineStr">
        <is>
          <t>一般事業者</t>
        </is>
      </c>
      <c r="D258" s="55" t="inlineStr">
        <is>
          <t>東京都目黒区中根１－５－２　都立大高架下</t>
        </is>
      </c>
      <c r="E258" s="56" t="inlineStr">
        <is>
          <t>土・日・月・木・水・火・金</t>
        </is>
      </c>
      <c r="F258" s="55" t="inlineStr">
        <is>
          <t>中條・千葉・長谷川</t>
        </is>
      </c>
      <c r="G258" s="55" t="inlineStr">
        <is>
          <t>一般廃・瓶缶・産廃</t>
        </is>
      </c>
      <c r="H258" s="57" t="n">
        <v>10</v>
      </c>
      <c r="I258" s="58">
        <f>ROUND(H258*4.33,0)</f>
        <v/>
      </c>
      <c r="J258" s="43" t="n">
        <v>0</v>
      </c>
      <c r="K258" s="44">
        <f>IF(J258&gt;0,I258*J258,"")</f>
        <v/>
      </c>
    </row>
    <row r="259" ht="18" customHeight="1">
      <c r="A259" s="52" t="inlineStr">
        <is>
          <t>GN-053</t>
        </is>
      </c>
      <c r="B259" s="53" t="inlineStr">
        <is>
          <t>Soup Stock Tokyo 中目黒店</t>
        </is>
      </c>
      <c r="C259" s="54" t="inlineStr">
        <is>
          <t>一般事業者</t>
        </is>
      </c>
      <c r="D259" s="55" t="inlineStr">
        <is>
          <t>東京都目黒区上目黒１－２２－１２B-5ｂ</t>
        </is>
      </c>
      <c r="E259" s="56" t="inlineStr">
        <is>
          <t>土・日・月・木・水・火・金</t>
        </is>
      </c>
      <c r="F259" s="55" t="inlineStr">
        <is>
          <t>中條・千葉・長谷川・長野</t>
        </is>
      </c>
      <c r="G259" s="55" t="inlineStr">
        <is>
          <t>一般廃・産廃</t>
        </is>
      </c>
      <c r="H259" s="57" t="n">
        <v>362</v>
      </c>
      <c r="I259" s="58">
        <f>ROUND(H259*4.33,0)</f>
        <v/>
      </c>
      <c r="J259" s="43" t="n">
        <v>0</v>
      </c>
      <c r="K259" s="44">
        <f>IF(J259&gt;0,I259*J259,"")</f>
        <v/>
      </c>
    </row>
    <row r="260" ht="18" customHeight="1">
      <c r="A260" s="52" t="inlineStr">
        <is>
          <t>GN-054</t>
        </is>
      </c>
      <c r="B260" s="53" t="inlineStr">
        <is>
          <t>TOSCANA</t>
        </is>
      </c>
      <c r="C260" s="54" t="inlineStr">
        <is>
          <t>一般事業者</t>
        </is>
      </c>
      <c r="D260" s="55" t="inlineStr">
        <is>
          <t>東京都目黒区鷹番３－３－２学大市場　１３BL</t>
        </is>
      </c>
      <c r="E260" s="56" t="inlineStr">
        <is>
          <t>・土・日・月・木・水・火・金</t>
        </is>
      </c>
      <c r="F260" s="55" t="inlineStr">
        <is>
          <t>中條・千葉・長谷川</t>
        </is>
      </c>
      <c r="G260" s="55" t="inlineStr">
        <is>
          <t>一般廃・産廃</t>
        </is>
      </c>
      <c r="H260" s="57" t="n">
        <v>119</v>
      </c>
      <c r="I260" s="58">
        <f>ROUND(H260*4.33,0)</f>
        <v/>
      </c>
      <c r="J260" s="43" t="n">
        <v>0</v>
      </c>
      <c r="K260" s="44">
        <f>IF(J260&gt;0,I260*J260,"")</f>
        <v/>
      </c>
    </row>
    <row r="261" ht="18" customHeight="1">
      <c r="A261" s="52" t="inlineStr">
        <is>
          <t>GN-055</t>
        </is>
      </c>
      <c r="B261" s="53" t="inlineStr">
        <is>
          <t>TUTU</t>
        </is>
      </c>
      <c r="C261" s="54" t="inlineStr">
        <is>
          <t>一般事業者</t>
        </is>
      </c>
      <c r="D261" s="55" t="inlineStr">
        <is>
          <t>東京都目黒区鷹番３－４－２５　学大小路１４－１３</t>
        </is>
      </c>
      <c r="E261" s="56" t="inlineStr">
        <is>
          <t>・土・日・月・木・水・火・金</t>
        </is>
      </c>
      <c r="F261" s="55" t="inlineStr">
        <is>
          <t>中條・千葉・長谷川</t>
        </is>
      </c>
      <c r="G261" s="55" t="inlineStr">
        <is>
          <t>一般廃・産廃</t>
        </is>
      </c>
      <c r="H261" s="57" t="n">
        <v>130</v>
      </c>
      <c r="I261" s="58">
        <f>ROUND(H261*4.33,0)</f>
        <v/>
      </c>
      <c r="J261" s="43" t="n">
        <v>0</v>
      </c>
      <c r="K261" s="44">
        <f>IF(J261&gt;0,I261*J261,"")</f>
        <v/>
      </c>
    </row>
    <row r="262" ht="18" customHeight="1">
      <c r="A262" s="52" t="inlineStr">
        <is>
          <t>GN-056</t>
        </is>
      </c>
      <c r="B262" s="53" t="inlineStr">
        <is>
          <t>TWG　Tea　自由が丘</t>
        </is>
      </c>
      <c r="C262" s="54" t="inlineStr">
        <is>
          <t>一般事業者</t>
        </is>
      </c>
      <c r="D262" s="55" t="inlineStr">
        <is>
          <t>東京都目黒区自由が丘１－３０－１</t>
        </is>
      </c>
      <c r="E262" s="56" t="inlineStr">
        <is>
          <t>・木・火</t>
        </is>
      </c>
      <c r="F262" s="55" t="inlineStr">
        <is>
          <t>千葉</t>
        </is>
      </c>
      <c r="G262" s="55" t="inlineStr">
        <is>
          <t>産廃</t>
        </is>
      </c>
      <c r="H262" s="57" t="n">
        <v>60</v>
      </c>
      <c r="I262" s="58">
        <f>ROUND(H262*4.33,0)</f>
        <v/>
      </c>
      <c r="J262" s="43" t="n">
        <v>0</v>
      </c>
      <c r="K262" s="44">
        <f>IF(J262&gt;0,I262*J262,"")</f>
        <v/>
      </c>
    </row>
    <row r="263" ht="18" customHeight="1">
      <c r="A263" s="52" t="inlineStr">
        <is>
          <t>GN-057</t>
        </is>
      </c>
      <c r="B263" s="53" t="inlineStr">
        <is>
          <t>TW　ヨルの部</t>
        </is>
      </c>
      <c r="C263" s="54" t="inlineStr">
        <is>
          <t>一般事業者</t>
        </is>
      </c>
      <c r="D263" s="55" t="inlineStr">
        <is>
          <t>東京都目黒区鷹番２－２１－１９　１０BL-B5</t>
        </is>
      </c>
      <c r="E263" s="56" t="inlineStr">
        <is>
          <t>土・月・木・水・火・金</t>
        </is>
      </c>
      <c r="F263" s="55" t="inlineStr">
        <is>
          <t>中條・千葉・長谷川</t>
        </is>
      </c>
      <c r="G263" s="55" t="inlineStr">
        <is>
          <t>一般廃・瓶缶・産廃</t>
        </is>
      </c>
      <c r="H263" s="57" t="n">
        <v>11</v>
      </c>
      <c r="I263" s="58">
        <f>ROUND(H263*4.33,0)</f>
        <v/>
      </c>
      <c r="J263" s="43" t="n">
        <v>0</v>
      </c>
      <c r="K263" s="44">
        <f>IF(J263&gt;0,I263*J263,"")</f>
        <v/>
      </c>
    </row>
    <row r="264" ht="18" customHeight="1">
      <c r="A264" s="52" t="inlineStr">
        <is>
          <t>GN-058</t>
        </is>
      </c>
      <c r="B264" s="53" t="inlineStr">
        <is>
          <t>ToCo１０５</t>
        </is>
      </c>
      <c r="C264" s="54" t="inlineStr">
        <is>
          <t>一般事業者</t>
        </is>
      </c>
      <c r="D264" s="55" t="inlineStr">
        <is>
          <t>東京都目黒区鷹番２－２１－１５　２１０D4</t>
        </is>
      </c>
      <c r="E264" s="56" t="inlineStr">
        <is>
          <t>土・月・木・水・火・金</t>
        </is>
      </c>
      <c r="F264" s="55" t="inlineStr">
        <is>
          <t>中條・千葉・長谷川</t>
        </is>
      </c>
      <c r="G264" s="55" t="inlineStr">
        <is>
          <t>一般廃・瓶缶・産廃</t>
        </is>
      </c>
      <c r="H264" s="57" t="n">
        <v>12</v>
      </c>
      <c r="I264" s="58">
        <f>ROUND(H264*4.33,0)</f>
        <v/>
      </c>
      <c r="J264" s="43" t="n">
        <v>0</v>
      </c>
      <c r="K264" s="44">
        <f>IF(J264&gt;0,I264*J264,"")</f>
        <v/>
      </c>
    </row>
    <row r="265" ht="18" customHeight="1">
      <c r="A265" s="52" t="inlineStr">
        <is>
          <t>GN-059</t>
        </is>
      </c>
      <c r="B265" s="53" t="inlineStr">
        <is>
          <t>WACCAWACCA</t>
        </is>
      </c>
      <c r="C265" s="54" t="inlineStr">
        <is>
          <t>一般事業者</t>
        </is>
      </c>
      <c r="D265" s="55" t="inlineStr">
        <is>
          <t>東京都目黒区碑文谷６－６－７　GAKUDAI COLLECTIV E-1</t>
        </is>
      </c>
      <c r="E265" s="56" t="inlineStr">
        <is>
          <t>土・月・木・水・火・金</t>
        </is>
      </c>
      <c r="F265" s="55" t="inlineStr">
        <is>
          <t>千葉・長谷川</t>
        </is>
      </c>
      <c r="G265" s="55" t="inlineStr">
        <is>
          <t>一般廃・産廃</t>
        </is>
      </c>
      <c r="H265" s="57" t="n">
        <v>8</v>
      </c>
      <c r="I265" s="58">
        <f>ROUND(H265*4.33,0)</f>
        <v/>
      </c>
      <c r="J265" s="43" t="n">
        <v>0</v>
      </c>
      <c r="K265" s="44">
        <f>IF(J265&gt;0,I265*J265,"")</f>
        <v/>
      </c>
    </row>
    <row r="266" ht="18" customHeight="1">
      <c r="A266" s="52" t="inlineStr">
        <is>
          <t>GN-060</t>
        </is>
      </c>
      <c r="B266" s="53" t="inlineStr">
        <is>
          <t>WASH &amp; FOLD</t>
        </is>
      </c>
      <c r="C266" s="54" t="inlineStr">
        <is>
          <t>一般事業者</t>
        </is>
      </c>
      <c r="D266" s="55" t="inlineStr">
        <is>
          <t>東京都目黒区上目黒２－４５－１４　I敷地</t>
        </is>
      </c>
      <c r="E266" s="56" t="inlineStr">
        <is>
          <t>・土・月・木・水・火・金</t>
        </is>
      </c>
      <c r="F266" s="55" t="inlineStr">
        <is>
          <t>千葉・長谷川</t>
        </is>
      </c>
      <c r="G266" s="55" t="inlineStr">
        <is>
          <t>一般廃・産廃</t>
        </is>
      </c>
      <c r="H266" s="57" t="n">
        <v>14</v>
      </c>
      <c r="I266" s="58">
        <f>ROUND(H266*4.33,0)</f>
        <v/>
      </c>
      <c r="J266" s="43" t="n">
        <v>0</v>
      </c>
      <c r="K266" s="44">
        <f>IF(J266&gt;0,I266*J266,"")</f>
        <v/>
      </c>
    </row>
    <row r="267" ht="18" customHeight="1">
      <c r="A267" s="52" t="inlineStr">
        <is>
          <t>GN-061</t>
        </is>
      </c>
      <c r="B267" s="53" t="inlineStr">
        <is>
          <t>YES!! カツサンド</t>
        </is>
      </c>
      <c r="C267" s="54" t="inlineStr">
        <is>
          <t>一般事業者</t>
        </is>
      </c>
      <c r="D267" s="55" t="inlineStr">
        <is>
          <t>東京都目黒区鷹番２－２１－１５　１０BL D3</t>
        </is>
      </c>
      <c r="E267" s="56" t="inlineStr">
        <is>
          <t>土・月・木・水・火・金</t>
        </is>
      </c>
      <c r="F267" s="55" t="inlineStr">
        <is>
          <t>中條・千葉・長谷川</t>
        </is>
      </c>
      <c r="G267" s="55" t="inlineStr">
        <is>
          <t>一般廃・不燃物・産廃</t>
        </is>
      </c>
      <c r="H267" s="57" t="n">
        <v>21</v>
      </c>
      <c r="I267" s="58">
        <f>ROUND(H267*4.33,0)</f>
        <v/>
      </c>
      <c r="J267" s="43" t="n">
        <v>0</v>
      </c>
      <c r="K267" s="44">
        <f>IF(J267&gt;0,I267*J267,"")</f>
        <v/>
      </c>
    </row>
    <row r="268" ht="18" customHeight="1">
      <c r="A268" s="52" t="inlineStr">
        <is>
          <t>GN-062</t>
        </is>
      </c>
      <c r="B268" s="53" t="inlineStr">
        <is>
          <t>amber</t>
        </is>
      </c>
      <c r="C268" s="54" t="inlineStr">
        <is>
          <t>一般事業者</t>
        </is>
      </c>
      <c r="D268" s="55" t="inlineStr">
        <is>
          <t>東京都世田谷区奥沢５－４２－３　トレインチ自由が丘２F</t>
        </is>
      </c>
      <c r="E268" s="56" t="inlineStr">
        <is>
          <t>・日・木・火</t>
        </is>
      </c>
      <c r="F268" s="55" t="inlineStr">
        <is>
          <t>中條・千葉</t>
        </is>
      </c>
      <c r="G268" s="55" t="inlineStr">
        <is>
          <t>一般廃・産廃</t>
        </is>
      </c>
      <c r="H268" s="57" t="n">
        <v>52</v>
      </c>
      <c r="I268" s="58">
        <f>ROUND(H268*4.33,0)</f>
        <v/>
      </c>
      <c r="J268" s="43" t="n">
        <v>0</v>
      </c>
      <c r="K268" s="44">
        <f>IF(J268&gt;0,I268*J268,"")</f>
        <v/>
      </c>
    </row>
    <row r="269" ht="18" customHeight="1">
      <c r="A269" s="52" t="inlineStr">
        <is>
          <t>GN-063</t>
        </is>
      </c>
      <c r="B269" s="53" t="inlineStr">
        <is>
          <t>counter books</t>
        </is>
      </c>
      <c r="C269" s="54" t="inlineStr">
        <is>
          <t>一般事業者</t>
        </is>
      </c>
      <c r="D269" s="55" t="inlineStr">
        <is>
          <t>東京都目黒区鷹番３－４－２５　学大小路１４－１２</t>
        </is>
      </c>
      <c r="E269" s="56" t="inlineStr">
        <is>
          <t>・土・日・月・木・水・火・金</t>
        </is>
      </c>
      <c r="F269" s="55" t="inlineStr">
        <is>
          <t>中條・千葉・長谷川</t>
        </is>
      </c>
      <c r="G269" s="55" t="inlineStr">
        <is>
          <t>一般廃・産廃</t>
        </is>
      </c>
      <c r="H269" s="57" t="n">
        <v>60</v>
      </c>
      <c r="I269" s="58">
        <f>ROUND(H269*4.33,0)</f>
        <v/>
      </c>
      <c r="J269" s="43" t="n">
        <v>0</v>
      </c>
      <c r="K269" s="44">
        <f>IF(J269&gt;0,I269*J269,"")</f>
        <v/>
      </c>
    </row>
    <row r="270" ht="18" customHeight="1">
      <c r="A270" s="52" t="inlineStr">
        <is>
          <t>GN-064</t>
        </is>
      </c>
      <c r="B270" s="53" t="inlineStr">
        <is>
          <t>hammam</t>
        </is>
      </c>
      <c r="C270" s="54" t="inlineStr">
        <is>
          <t>一般事業者</t>
        </is>
      </c>
      <c r="D270" s="55" t="inlineStr">
        <is>
          <t>東京都目黒区鷹番２－２１－１４　学大横丁２１３</t>
        </is>
      </c>
      <c r="E270" s="56" t="inlineStr">
        <is>
          <t>土・月・木・水・火・金</t>
        </is>
      </c>
      <c r="F270" s="55" t="inlineStr">
        <is>
          <t>中條・千葉・長谷川</t>
        </is>
      </c>
      <c r="G270" s="55" t="inlineStr">
        <is>
          <t>一般廃・瓶缶・産廃</t>
        </is>
      </c>
      <c r="H270" s="57" t="n">
        <v>2</v>
      </c>
      <c r="I270" s="58">
        <f>ROUND(H270*4.33,0)</f>
        <v/>
      </c>
      <c r="J270" s="43" t="n">
        <v>0</v>
      </c>
      <c r="K270" s="44">
        <f>IF(J270&gt;0,I270*J270,"")</f>
        <v/>
      </c>
    </row>
    <row r="271" ht="18" customHeight="1">
      <c r="A271" s="52" t="inlineStr">
        <is>
          <t>GN-065</t>
        </is>
      </c>
      <c r="B271" s="53" t="inlineStr">
        <is>
          <t>inioi Lab.</t>
        </is>
      </c>
      <c r="C271" s="54" t="inlineStr">
        <is>
          <t>一般事業者</t>
        </is>
      </c>
      <c r="D271" s="55" t="inlineStr">
        <is>
          <t>東京都目黒区上目黒１－２２－１２B-６</t>
        </is>
      </c>
      <c r="E271" s="56" t="inlineStr">
        <is>
          <t>・土・日・月・木・水・火・金</t>
        </is>
      </c>
      <c r="F271" s="55" t="inlineStr">
        <is>
          <t>中條・千葉・長谷川・長野</t>
        </is>
      </c>
      <c r="G271" s="55" t="inlineStr">
        <is>
          <t>一般廃・産廃</t>
        </is>
      </c>
      <c r="H271" s="57" t="n">
        <v>6</v>
      </c>
      <c r="I271" s="58">
        <f>ROUND(H271*4.33,0)</f>
        <v/>
      </c>
      <c r="J271" s="43" t="n">
        <v>0</v>
      </c>
      <c r="K271" s="44">
        <f>IF(J271&gt;0,I271*J271,"")</f>
        <v/>
      </c>
    </row>
    <row r="272" ht="18" customHeight="1">
      <c r="A272" s="52" t="inlineStr">
        <is>
          <t>GN-066</t>
        </is>
      </c>
      <c r="B272" s="53" t="inlineStr">
        <is>
          <t>roobby-fit 下高井戸店</t>
        </is>
      </c>
      <c r="C272" s="54" t="inlineStr">
        <is>
          <t>一般事業者</t>
        </is>
      </c>
      <c r="D272" s="55" t="inlineStr">
        <is>
          <t>東京都世田谷区松原３－２９－１７</t>
        </is>
      </c>
      <c r="E272" s="56" t="inlineStr">
        <is>
          <t>土・木・火</t>
        </is>
      </c>
      <c r="F272" s="55" t="inlineStr">
        <is>
          <t>和田・荻野・長谷川・長野</t>
        </is>
      </c>
      <c r="G272" s="55" t="inlineStr">
        <is>
          <t>一般廃・段ボール・産廃</t>
        </is>
      </c>
      <c r="H272" s="57" t="n">
        <v>35</v>
      </c>
      <c r="I272" s="58">
        <f>ROUND(H272*4.33,0)</f>
        <v/>
      </c>
      <c r="J272" s="43" t="n">
        <v>0</v>
      </c>
      <c r="K272" s="44">
        <f>IF(J272&gt;0,I272*J272,"")</f>
        <v/>
      </c>
    </row>
    <row r="273" ht="18" customHeight="1">
      <c r="A273" s="52" t="inlineStr">
        <is>
          <t>GN-067</t>
        </is>
      </c>
      <c r="B273" s="53" t="inlineStr">
        <is>
          <t>roobby　雪が谷大塚駅</t>
        </is>
      </c>
      <c r="C273" s="54" t="inlineStr">
        <is>
          <t>一般事業者</t>
        </is>
      </c>
      <c r="D273" s="55" t="inlineStr">
        <is>
          <t>東京都大田区南雪谷２－２－１６</t>
        </is>
      </c>
      <c r="E273" s="56" t="inlineStr">
        <is>
          <t>・火</t>
        </is>
      </c>
      <c r="F273" s="55" t="inlineStr">
        <is>
          <t>千葉</t>
        </is>
      </c>
      <c r="G273" s="55" t="inlineStr">
        <is>
          <t>産廃</t>
        </is>
      </c>
      <c r="H273" s="57" t="n">
        <v>16</v>
      </c>
      <c r="I273" s="58">
        <f>ROUND(H273*4.33,0)</f>
        <v/>
      </c>
      <c r="J273" s="43" t="n">
        <v>0</v>
      </c>
      <c r="K273" s="44">
        <f>IF(J273&gt;0,I273*J273,"")</f>
        <v/>
      </c>
    </row>
    <row r="274" ht="18" customHeight="1">
      <c r="A274" s="52" t="inlineStr">
        <is>
          <t>GN-068</t>
        </is>
      </c>
      <c r="B274" s="53" t="inlineStr">
        <is>
          <t>sazan reef</t>
        </is>
      </c>
      <c r="C274" s="54" t="inlineStr">
        <is>
          <t>一般事業者</t>
        </is>
      </c>
      <c r="D274" s="55" t="inlineStr">
        <is>
          <t>東京都目黒区鷹番２－２１－１５　２１２１０BL</t>
        </is>
      </c>
      <c r="E274" s="56" t="inlineStr">
        <is>
          <t>土・月・木・水・火・金</t>
        </is>
      </c>
      <c r="F274" s="55" t="inlineStr">
        <is>
          <t>中條・千葉・長谷川</t>
        </is>
      </c>
      <c r="G274" s="55" t="inlineStr">
        <is>
          <t>一般廃・瓶缶・産廃</t>
        </is>
      </c>
      <c r="H274" s="57" t="n">
        <v>7</v>
      </c>
      <c r="I274" s="58">
        <f>ROUND(H274*4.33,0)</f>
        <v/>
      </c>
      <c r="J274" s="43" t="n">
        <v>0</v>
      </c>
      <c r="K274" s="44">
        <f>IF(J274&gt;0,I274*J274,"")</f>
        <v/>
      </c>
    </row>
    <row r="275" ht="18" customHeight="1">
      <c r="A275" s="52" t="inlineStr">
        <is>
          <t>GN-069</t>
        </is>
      </c>
      <c r="B275" s="53" t="inlineStr">
        <is>
          <t>simplace Gakugei-daigaku by New</t>
        </is>
      </c>
      <c r="C275" s="54" t="inlineStr">
        <is>
          <t>一般事業者</t>
        </is>
      </c>
      <c r="D275" s="55" t="inlineStr">
        <is>
          <t>東京都目黒区中央町２－３４－１８　９BL</t>
        </is>
      </c>
      <c r="E275" s="56" t="inlineStr">
        <is>
          <t>土・月・木・水・火・金</t>
        </is>
      </c>
      <c r="F275" s="55" t="inlineStr">
        <is>
          <t>長谷川</t>
        </is>
      </c>
      <c r="G275" s="55" t="inlineStr">
        <is>
          <t>一般廃</t>
        </is>
      </c>
      <c r="H275" s="57" t="n">
        <v>6</v>
      </c>
      <c r="I275" s="58">
        <f>ROUND(H275*4.33,0)</f>
        <v/>
      </c>
      <c r="J275" s="43" t="n">
        <v>0</v>
      </c>
      <c r="K275" s="44">
        <f>IF(J275&gt;0,I275*J275,"")</f>
        <v/>
      </c>
    </row>
    <row r="276" ht="18" customHeight="1">
      <c r="A276" s="52" t="inlineStr">
        <is>
          <t>GN-070</t>
        </is>
      </c>
      <c r="B276" s="53" t="inlineStr">
        <is>
          <t>simplace Gakugei-daigaku byNew</t>
        </is>
      </c>
      <c r="C276" s="54" t="inlineStr">
        <is>
          <t>一般事業者</t>
        </is>
      </c>
      <c r="D276" s="55" t="inlineStr">
        <is>
          <t>東京都目黒区中央町２－３４－１８</t>
        </is>
      </c>
      <c r="E276" s="56" t="inlineStr">
        <is>
          <t>月・水・火・金</t>
        </is>
      </c>
      <c r="F276" s="55" t="inlineStr">
        <is>
          <t>中條・千葉</t>
        </is>
      </c>
      <c r="G276" s="55" t="inlineStr">
        <is>
          <t>瓶缶・産廃</t>
        </is>
      </c>
      <c r="H276" s="57" t="n">
        <v>20</v>
      </c>
      <c r="I276" s="58">
        <f>ROUND(H276*4.33,0)</f>
        <v/>
      </c>
      <c r="J276" s="43" t="n">
        <v>0</v>
      </c>
      <c r="K276" s="44">
        <f>IF(J276&gt;0,I276*J276,"")</f>
        <v/>
      </c>
    </row>
    <row r="277" ht="18" customHeight="1">
      <c r="A277" s="52" t="inlineStr">
        <is>
          <t>GN-071</t>
        </is>
      </c>
      <c r="B277" s="53" t="inlineStr">
        <is>
          <t>tucan</t>
        </is>
      </c>
      <c r="C277" s="54" t="inlineStr">
        <is>
          <t>一般事業者</t>
        </is>
      </c>
      <c r="D277" s="55" t="inlineStr">
        <is>
          <t>東京都目黒区中根１－５－２　都立大高架下B７区画</t>
        </is>
      </c>
      <c r="E277" s="56" t="inlineStr">
        <is>
          <t>土・日・月・木・水・火・金</t>
        </is>
      </c>
      <c r="F277" s="55" t="inlineStr">
        <is>
          <t>中條・千葉・長谷川</t>
        </is>
      </c>
      <c r="G277" s="55" t="inlineStr">
        <is>
          <t>一般廃・瓶缶・産廃</t>
        </is>
      </c>
      <c r="H277" s="57" t="n">
        <v>19</v>
      </c>
      <c r="I277" s="58">
        <f>ROUND(H277*4.33,0)</f>
        <v/>
      </c>
      <c r="J277" s="43" t="n">
        <v>0</v>
      </c>
      <c r="K277" s="44">
        <f>IF(J277&gt;0,I277*J277,"")</f>
        <v/>
      </c>
    </row>
    <row r="278" ht="18" customHeight="1">
      <c r="A278" s="52" t="inlineStr">
        <is>
          <t>GN-072</t>
        </is>
      </c>
      <c r="B278" s="53" t="inlineStr">
        <is>
          <t>あおい皮膚科　駅ナカ上野毛</t>
        </is>
      </c>
      <c r="C278" s="54" t="inlineStr">
        <is>
          <t>一般事業者</t>
        </is>
      </c>
      <c r="D278" s="55" t="inlineStr">
        <is>
          <t>東京都世田谷区上野毛１－２６－６</t>
        </is>
      </c>
      <c r="E278" s="56" t="inlineStr">
        <is>
          <t>木</t>
        </is>
      </c>
      <c r="F278" s="55" t="inlineStr">
        <is>
          <t>中條・長野</t>
        </is>
      </c>
      <c r="G278" s="55" t="inlineStr">
        <is>
          <t>産廃・資源</t>
        </is>
      </c>
      <c r="H278" s="57" t="n">
        <v>3</v>
      </c>
      <c r="I278" s="58">
        <f>ROUND(H278*4.33,0)</f>
        <v/>
      </c>
      <c r="J278" s="43" t="n">
        <v>0</v>
      </c>
      <c r="K278" s="44">
        <f>IF(J278&gt;0,I278*J278,"")</f>
        <v/>
      </c>
    </row>
    <row r="279" ht="18" customHeight="1">
      <c r="A279" s="52" t="inlineStr">
        <is>
          <t>GN-073</t>
        </is>
      </c>
      <c r="B279" s="53" t="inlineStr">
        <is>
          <t>あそなる</t>
        </is>
      </c>
      <c r="C279" s="54" t="inlineStr">
        <is>
          <t>一般事業者</t>
        </is>
      </c>
      <c r="D279" s="55" t="inlineStr">
        <is>
          <t>東京都目黒区鷹番２－２１－１５　１１０D1</t>
        </is>
      </c>
      <c r="E279" s="56" t="inlineStr">
        <is>
          <t>土・月・木・水・火・金</t>
        </is>
      </c>
      <c r="F279" s="55" t="inlineStr">
        <is>
          <t>中條・千葉・長谷川</t>
        </is>
      </c>
      <c r="G279" s="55" t="inlineStr">
        <is>
          <t>一般廃・瓶缶・産廃</t>
        </is>
      </c>
      <c r="H279" s="57" t="n">
        <v>66</v>
      </c>
      <c r="I279" s="58">
        <f>ROUND(H279*4.33,0)</f>
        <v/>
      </c>
      <c r="J279" s="43" t="n">
        <v>0</v>
      </c>
      <c r="K279" s="44">
        <f>IF(J279&gt;0,I279*J279,"")</f>
        <v/>
      </c>
    </row>
    <row r="280" ht="18" customHeight="1">
      <c r="A280" s="52" t="inlineStr">
        <is>
          <t>GN-074</t>
        </is>
      </c>
      <c r="B280" s="53" t="inlineStr">
        <is>
          <t>あつあつ　リ・カーリカ</t>
        </is>
      </c>
      <c r="C280" s="54" t="inlineStr">
        <is>
          <t>一般事業者</t>
        </is>
      </c>
      <c r="D280" s="55" t="inlineStr">
        <is>
          <t>東京都目黒区鷹番２－２０－４</t>
        </is>
      </c>
      <c r="E280" s="56" t="inlineStr">
        <is>
          <t>土・日・月・木・水・火・金</t>
        </is>
      </c>
      <c r="F280" s="55" t="inlineStr">
        <is>
          <t>中條・千葉・長谷川</t>
        </is>
      </c>
      <c r="G280" s="55" t="inlineStr">
        <is>
          <t>一般廃・産廃</t>
        </is>
      </c>
      <c r="H280" s="57" t="n">
        <v>63</v>
      </c>
      <c r="I280" s="58">
        <f>ROUND(H280*4.33,0)</f>
        <v/>
      </c>
      <c r="J280" s="43" t="n">
        <v>0</v>
      </c>
      <c r="K280" s="44">
        <f>IF(J280&gt;0,I280*J280,"")</f>
        <v/>
      </c>
    </row>
    <row r="281" ht="18" customHeight="1">
      <c r="A281" s="52" t="inlineStr">
        <is>
          <t>GN-075</t>
        </is>
      </c>
      <c r="B281" s="53" t="inlineStr">
        <is>
          <t>あの小宮</t>
        </is>
      </c>
      <c r="C281" s="54" t="inlineStr">
        <is>
          <t>一般事業者</t>
        </is>
      </c>
      <c r="D281" s="55" t="inlineStr">
        <is>
          <t>東京都目黒区中根１－５－２　都立大高架下B館</t>
        </is>
      </c>
      <c r="E281" s="56" t="inlineStr">
        <is>
          <t>土・日・月・木・水・火・金</t>
        </is>
      </c>
      <c r="F281" s="55" t="inlineStr">
        <is>
          <t>中條・千葉・長谷川</t>
        </is>
      </c>
      <c r="G281" s="55" t="inlineStr">
        <is>
          <t>一般廃・瓶缶・産廃</t>
        </is>
      </c>
      <c r="H281" s="57" t="n">
        <v>519</v>
      </c>
      <c r="I281" s="58">
        <f>ROUND(H281*4.33,0)</f>
        <v/>
      </c>
      <c r="J281" s="43" t="n">
        <v>0</v>
      </c>
      <c r="K281" s="44">
        <f>IF(J281&gt;0,I281*J281,"")</f>
        <v/>
      </c>
    </row>
    <row r="282" ht="18" customHeight="1">
      <c r="A282" s="52" t="inlineStr">
        <is>
          <t>GN-076</t>
        </is>
      </c>
      <c r="B282" s="53" t="inlineStr">
        <is>
          <t>あぶり清水</t>
        </is>
      </c>
      <c r="C282" s="54" t="inlineStr">
        <is>
          <t>一般事業者</t>
        </is>
      </c>
      <c r="D282" s="55" t="inlineStr">
        <is>
          <t>東京都目黒区上目黒３－５－２　０H－４</t>
        </is>
      </c>
      <c r="E282" s="56" t="inlineStr">
        <is>
          <t>・土・月・木・水・火・金</t>
        </is>
      </c>
      <c r="F282" s="55" t="inlineStr">
        <is>
          <t>千葉・長谷川</t>
        </is>
      </c>
      <c r="G282" s="55" t="inlineStr">
        <is>
          <t>一般廃・産廃</t>
        </is>
      </c>
      <c r="H282" s="57" t="n">
        <v>36</v>
      </c>
      <c r="I282" s="58">
        <f>ROUND(H282*4.33,0)</f>
        <v/>
      </c>
      <c r="J282" s="43" t="n">
        <v>0</v>
      </c>
      <c r="K282" s="44">
        <f>IF(J282&gt;0,I282*J282,"")</f>
        <v/>
      </c>
    </row>
    <row r="283" ht="18" customHeight="1">
      <c r="A283" s="52" t="inlineStr">
        <is>
          <t>GN-077</t>
        </is>
      </c>
      <c r="B283" s="53" t="inlineStr">
        <is>
          <t>あらちゃん</t>
        </is>
      </c>
      <c r="C283" s="54" t="inlineStr">
        <is>
          <t>一般事業者</t>
        </is>
      </c>
      <c r="D283" s="55" t="inlineStr">
        <is>
          <t>東京都目黒区上目黒３－５－２　０H－３</t>
        </is>
      </c>
      <c r="E283" s="56" t="inlineStr">
        <is>
          <t>・土・月・木・水・火・金</t>
        </is>
      </c>
      <c r="F283" s="55" t="inlineStr">
        <is>
          <t>千葉・長谷川</t>
        </is>
      </c>
      <c r="G283" s="55" t="inlineStr">
        <is>
          <t>一般廃・産廃</t>
        </is>
      </c>
      <c r="H283" s="57" t="n">
        <v>50</v>
      </c>
      <c r="I283" s="58">
        <f>ROUND(H283*4.33,0)</f>
        <v/>
      </c>
      <c r="J283" s="43" t="n">
        <v>0</v>
      </c>
      <c r="K283" s="44">
        <f>IF(J283&gt;0,I283*J283,"")</f>
        <v/>
      </c>
    </row>
    <row r="284" ht="18" customHeight="1">
      <c r="A284" s="52" t="inlineStr">
        <is>
          <t>GN-078</t>
        </is>
      </c>
      <c r="B284" s="53" t="inlineStr">
        <is>
          <t>あーる工房</t>
        </is>
      </c>
      <c r="C284" s="54" t="inlineStr">
        <is>
          <t>一般事業者</t>
        </is>
      </c>
      <c r="D284" s="55" t="inlineStr">
        <is>
          <t>東京都目黒区中根１－５－２　都立大高架下A館</t>
        </is>
      </c>
      <c r="E284" s="56" t="inlineStr">
        <is>
          <t>土・日・月・木・水・火・金</t>
        </is>
      </c>
      <c r="F284" s="55" t="inlineStr">
        <is>
          <t>中條・千葉・長谷川</t>
        </is>
      </c>
      <c r="G284" s="55" t="inlineStr">
        <is>
          <t>一般廃・瓶缶・産廃</t>
        </is>
      </c>
      <c r="H284" s="57" t="n">
        <v>31</v>
      </c>
      <c r="I284" s="58">
        <f>ROUND(H284*4.33,0)</f>
        <v/>
      </c>
      <c r="J284" s="43" t="n">
        <v>0</v>
      </c>
      <c r="K284" s="44">
        <f>IF(J284&gt;0,I284*J284,"")</f>
        <v/>
      </c>
    </row>
    <row r="285" ht="18" customHeight="1">
      <c r="A285" s="52" t="inlineStr">
        <is>
          <t>GN-079</t>
        </is>
      </c>
      <c r="B285" s="53" t="inlineStr">
        <is>
          <t>いろは寿司　中目黒支店</t>
        </is>
      </c>
      <c r="C285" s="54" t="inlineStr">
        <is>
          <t>一般事業者</t>
        </is>
      </c>
      <c r="D285" s="55" t="inlineStr">
        <is>
          <t>東京都目黒区上目黒１－５－１３</t>
        </is>
      </c>
      <c r="E285" s="56" t="inlineStr">
        <is>
          <t>土・日・月・木・水・火・金</t>
        </is>
      </c>
      <c r="F285" s="55" t="inlineStr">
        <is>
          <t>中條・長谷川・長野</t>
        </is>
      </c>
      <c r="G285" s="55" t="inlineStr">
        <is>
          <t>一般廃・産廃</t>
        </is>
      </c>
      <c r="H285" s="57" t="n">
        <v>435</v>
      </c>
      <c r="I285" s="58">
        <f>ROUND(H285*4.33,0)</f>
        <v/>
      </c>
      <c r="J285" s="43" t="n">
        <v>0</v>
      </c>
      <c r="K285" s="44">
        <f>IF(J285&gt;0,I285*J285,"")</f>
        <v/>
      </c>
    </row>
    <row r="286" ht="18" customHeight="1">
      <c r="A286" s="52" t="inlineStr">
        <is>
          <t>GN-080</t>
        </is>
      </c>
      <c r="B286" s="53" t="inlineStr">
        <is>
          <t>いろは寿司　中目黒本店</t>
        </is>
      </c>
      <c r="C286" s="54" t="inlineStr">
        <is>
          <t>一般事業者</t>
        </is>
      </c>
      <c r="D286" s="55" t="inlineStr">
        <is>
          <t>東京都目黒区青葉台１－３０－１０韓国会館２F</t>
        </is>
      </c>
      <c r="E286" s="56" t="inlineStr">
        <is>
          <t>土・月・木・水・火・金</t>
        </is>
      </c>
      <c r="F286" s="55" t="inlineStr">
        <is>
          <t>長谷川</t>
        </is>
      </c>
      <c r="G286" s="55" t="inlineStr">
        <is>
          <t>一般廃</t>
        </is>
      </c>
      <c r="H286" s="57" t="n">
        <v>520</v>
      </c>
      <c r="I286" s="58">
        <f>ROUND(H286*4.33,0)</f>
        <v/>
      </c>
      <c r="J286" s="43" t="n">
        <v>0</v>
      </c>
      <c r="K286" s="44">
        <f>IF(J286&gt;0,I286*J286,"")</f>
        <v/>
      </c>
    </row>
    <row r="287" ht="18" customHeight="1">
      <c r="A287" s="52" t="inlineStr">
        <is>
          <t>GN-081</t>
        </is>
      </c>
      <c r="B287" s="53" t="inlineStr">
        <is>
          <t>いろは寿司中目黒本店</t>
        </is>
      </c>
      <c r="C287" s="54" t="inlineStr">
        <is>
          <t>一般事業者</t>
        </is>
      </c>
      <c r="D287" s="55" t="inlineStr">
        <is>
          <t>東京都目黒区青葉台１－３０－１０韓国会館２F</t>
        </is>
      </c>
      <c r="E287" s="56" t="inlineStr">
        <is>
          <t>日・月・水・金</t>
        </is>
      </c>
      <c r="F287" s="55" t="inlineStr">
        <is>
          <t>中條・長野</t>
        </is>
      </c>
      <c r="G287" s="55" t="inlineStr">
        <is>
          <t>一般廃・産廃</t>
        </is>
      </c>
      <c r="H287" s="57" t="n">
        <v>320</v>
      </c>
      <c r="I287" s="58">
        <f>ROUND(H287*4.33,0)</f>
        <v/>
      </c>
      <c r="J287" s="43" t="n">
        <v>0</v>
      </c>
      <c r="K287" s="44">
        <f>IF(J287&gt;0,I287*J287,"")</f>
        <v/>
      </c>
    </row>
    <row r="288" ht="18" customHeight="1">
      <c r="A288" s="52" t="inlineStr">
        <is>
          <t>GN-082</t>
        </is>
      </c>
      <c r="B288" s="53" t="inlineStr">
        <is>
          <t>えん　大井町店</t>
        </is>
      </c>
      <c r="C288" s="54" t="inlineStr">
        <is>
          <t>一般事業者</t>
        </is>
      </c>
      <c r="D288" s="55" t="inlineStr">
        <is>
          <t>東京都品川区大井１－１－１</t>
        </is>
      </c>
      <c r="E288" s="56" t="inlineStr">
        <is>
          <t>月・木・水・金</t>
        </is>
      </c>
      <c r="F288" s="55" t="inlineStr">
        <is>
          <t>中條・千葉</t>
        </is>
      </c>
      <c r="G288" s="55" t="inlineStr">
        <is>
          <t>段ボール・産廃</t>
        </is>
      </c>
      <c r="H288" s="57" t="n">
        <v>165</v>
      </c>
      <c r="I288" s="58">
        <f>ROUND(H288*4.33,0)</f>
        <v/>
      </c>
      <c r="J288" s="43" t="n">
        <v>0</v>
      </c>
      <c r="K288" s="44">
        <f>IF(J288&gt;0,I288*J288,"")</f>
        <v/>
      </c>
    </row>
    <row r="289" ht="18" customHeight="1">
      <c r="A289" s="52" t="inlineStr">
        <is>
          <t>GN-083</t>
        </is>
      </c>
      <c r="B289" s="53" t="inlineStr">
        <is>
          <t>おばんざい　てんよう</t>
        </is>
      </c>
      <c r="C289" s="54" t="inlineStr">
        <is>
          <t>一般事業者</t>
        </is>
      </c>
      <c r="D289" s="55" t="inlineStr">
        <is>
          <t>東京都目黒区上目黒３－５－２　３</t>
        </is>
      </c>
      <c r="E289" s="56" t="inlineStr">
        <is>
          <t>・土・日・月・木・水・火・金</t>
        </is>
      </c>
      <c r="F289" s="55" t="inlineStr">
        <is>
          <t>中條・千葉・長谷川</t>
        </is>
      </c>
      <c r="G289" s="55" t="inlineStr">
        <is>
          <t>一般廃・瓶缶・産廃</t>
        </is>
      </c>
      <c r="H289" s="57" t="n">
        <v>12</v>
      </c>
      <c r="I289" s="58">
        <f>ROUND(H289*4.33,0)</f>
        <v/>
      </c>
      <c r="J289" s="43" t="n">
        <v>0</v>
      </c>
      <c r="K289" s="44">
        <f>IF(J289&gt;0,I289*J289,"")</f>
        <v/>
      </c>
    </row>
    <row r="290" ht="18" customHeight="1">
      <c r="A290" s="52" t="inlineStr">
        <is>
          <t>GN-084</t>
        </is>
      </c>
      <c r="B290" s="53" t="inlineStr">
        <is>
          <t>お酒の美術館</t>
        </is>
      </c>
      <c r="C290" s="54" t="inlineStr">
        <is>
          <t>一般事業者</t>
        </is>
      </c>
      <c r="D290" s="55" t="inlineStr">
        <is>
          <t>東京都目黒区鷹番３－４－２５　GAKUDAI PARK STREET 14-１１</t>
        </is>
      </c>
      <c r="E290" s="56" t="inlineStr">
        <is>
          <t>・土・月・木・水・火・金</t>
        </is>
      </c>
      <c r="F290" s="55" t="inlineStr">
        <is>
          <t>千葉・長谷川</t>
        </is>
      </c>
      <c r="G290" s="55" t="inlineStr">
        <is>
          <t>一般廃・産廃</t>
        </is>
      </c>
      <c r="H290" s="57" t="n">
        <v>5</v>
      </c>
      <c r="I290" s="58">
        <f>ROUND(H290*4.33,0)</f>
        <v/>
      </c>
      <c r="J290" s="43" t="n">
        <v>0</v>
      </c>
      <c r="K290" s="44">
        <f>IF(J290&gt;0,I290*J290,"")</f>
        <v/>
      </c>
    </row>
    <row r="291" ht="18" customHeight="1">
      <c r="A291" s="52" t="inlineStr">
        <is>
          <t>GN-085</t>
        </is>
      </c>
      <c r="B291" s="53" t="inlineStr">
        <is>
          <t>こもれび保育園　上野毛園</t>
        </is>
      </c>
      <c r="C291" s="54" t="inlineStr">
        <is>
          <t>一般事業者</t>
        </is>
      </c>
      <c r="D291" s="55" t="inlineStr">
        <is>
          <t>東京都世田谷区上野毛１－２６－６</t>
        </is>
      </c>
      <c r="E291" s="56" t="inlineStr">
        <is>
          <t>木</t>
        </is>
      </c>
      <c r="F291" s="55" t="inlineStr">
        <is>
          <t>中條・長野</t>
        </is>
      </c>
      <c r="G291" s="55" t="inlineStr">
        <is>
          <t>産廃・資源</t>
        </is>
      </c>
      <c r="H291" s="57" t="n">
        <v>70</v>
      </c>
      <c r="I291" s="58">
        <f>ROUND(H291*4.33,0)</f>
        <v/>
      </c>
      <c r="J291" s="43" t="n">
        <v>0</v>
      </c>
      <c r="K291" s="44">
        <f>IF(J291&gt;0,I291*J291,"")</f>
        <v/>
      </c>
    </row>
    <row r="292" ht="18" customHeight="1">
      <c r="A292" s="52" t="inlineStr">
        <is>
          <t>GN-086</t>
        </is>
      </c>
      <c r="B292" s="53" t="inlineStr">
        <is>
          <t>さくらい</t>
        </is>
      </c>
      <c r="C292" s="54" t="inlineStr">
        <is>
          <t>一般事業者</t>
        </is>
      </c>
      <c r="D292" s="55" t="inlineStr">
        <is>
          <t>東京都目黒区鷹番２－２１－１７－２０５</t>
        </is>
      </c>
      <c r="E292" s="56" t="inlineStr">
        <is>
          <t>土・月・木・水・火・金</t>
        </is>
      </c>
      <c r="F292" s="55" t="inlineStr">
        <is>
          <t>中條・千葉・長谷川</t>
        </is>
      </c>
      <c r="G292" s="55" t="inlineStr">
        <is>
          <t>一般廃・瓶缶・産廃</t>
        </is>
      </c>
      <c r="H292" s="57" t="n">
        <v>84</v>
      </c>
      <c r="I292" s="58">
        <f>ROUND(H292*4.33,0)</f>
        <v/>
      </c>
      <c r="J292" s="43" t="n">
        <v>0</v>
      </c>
      <c r="K292" s="44">
        <f>IF(J292&gt;0,I292*J292,"")</f>
        <v/>
      </c>
    </row>
    <row r="293" ht="18" customHeight="1">
      <c r="A293" s="52" t="inlineStr">
        <is>
          <t>GN-087</t>
        </is>
      </c>
      <c r="B293" s="53" t="inlineStr">
        <is>
          <t>さみしがりや酒房　ささ</t>
        </is>
      </c>
      <c r="C293" s="54" t="inlineStr">
        <is>
          <t>一般事業者</t>
        </is>
      </c>
      <c r="D293" s="55" t="inlineStr">
        <is>
          <t>東京都品川区西五反田１－１２－１</t>
        </is>
      </c>
      <c r="E293" s="56" t="inlineStr">
        <is>
          <t>月・水・火・金</t>
        </is>
      </c>
      <c r="F293" s="55" t="inlineStr">
        <is>
          <t>中條・千葉</t>
        </is>
      </c>
      <c r="G293" s="55" t="inlineStr">
        <is>
          <t>瓶缶・産廃</t>
        </is>
      </c>
      <c r="H293" s="57" t="n">
        <v>24</v>
      </c>
      <c r="I293" s="58">
        <f>ROUND(H293*4.33,0)</f>
        <v/>
      </c>
      <c r="J293" s="43" t="n">
        <v>0</v>
      </c>
      <c r="K293" s="44">
        <f>IF(J293&gt;0,I293*J293,"")</f>
        <v/>
      </c>
    </row>
    <row r="294" ht="18" customHeight="1">
      <c r="A294" s="52" t="inlineStr">
        <is>
          <t>GN-088</t>
        </is>
      </c>
      <c r="B294" s="53" t="inlineStr">
        <is>
          <t>しぶそば　二子玉川駅店</t>
        </is>
      </c>
      <c r="C294" s="54" t="inlineStr">
        <is>
          <t>一般事業者</t>
        </is>
      </c>
      <c r="D294" s="55" t="inlineStr">
        <is>
          <t>東京都世田谷区玉川２－２２－１３</t>
        </is>
      </c>
      <c r="E294" s="56" t="inlineStr">
        <is>
          <t>・日・木・火</t>
        </is>
      </c>
      <c r="F294" s="55" t="inlineStr">
        <is>
          <t>中條・千葉・長野</t>
        </is>
      </c>
      <c r="G294" s="55" t="inlineStr">
        <is>
          <t>一般廃・産廃</t>
        </is>
      </c>
      <c r="H294" s="57" t="n">
        <v>134</v>
      </c>
      <c r="I294" s="58">
        <f>ROUND(H294*4.33,0)</f>
        <v/>
      </c>
      <c r="J294" s="43" t="n">
        <v>0</v>
      </c>
      <c r="K294" s="44">
        <f>IF(J294&gt;0,I294*J294,"")</f>
        <v/>
      </c>
    </row>
    <row r="295" ht="18" customHeight="1">
      <c r="A295" s="52" t="inlineStr">
        <is>
          <t>GN-089</t>
        </is>
      </c>
      <c r="B295" s="53" t="inlineStr">
        <is>
          <t>しぶそば　多摩川店</t>
        </is>
      </c>
      <c r="C295" s="54" t="inlineStr">
        <is>
          <t>一般事業者</t>
        </is>
      </c>
      <c r="D295" s="55" t="inlineStr">
        <is>
          <t>東京都大田区田園調布１－５３－８</t>
        </is>
      </c>
      <c r="E295" s="56" t="inlineStr">
        <is>
          <t>・土・月・木・火</t>
        </is>
      </c>
      <c r="F295" s="55" t="inlineStr">
        <is>
          <t>中條・千葉・和田・荻野・長野</t>
        </is>
      </c>
      <c r="G295" s="55" t="inlineStr">
        <is>
          <t>段ボール・産廃</t>
        </is>
      </c>
      <c r="H295" s="57" t="n">
        <v>215</v>
      </c>
      <c r="I295" s="58">
        <f>ROUND(H295*4.33,0)</f>
        <v/>
      </c>
      <c r="J295" s="43" t="n">
        <v>0</v>
      </c>
      <c r="K295" s="44">
        <f>IF(J295&gt;0,I295*J295,"")</f>
        <v/>
      </c>
    </row>
    <row r="296" ht="18" customHeight="1">
      <c r="A296" s="52" t="inlineStr">
        <is>
          <t>GN-090</t>
        </is>
      </c>
      <c r="B296" s="53" t="inlineStr">
        <is>
          <t>しぶそば　大井町店</t>
        </is>
      </c>
      <c r="C296" s="54" t="inlineStr">
        <is>
          <t>一般事業者</t>
        </is>
      </c>
      <c r="D296" s="55" t="inlineStr">
        <is>
          <t>東京都品川区大井１－１－７</t>
        </is>
      </c>
      <c r="E296" s="56" t="inlineStr">
        <is>
          <t>日・月・水・金</t>
        </is>
      </c>
      <c r="F296" s="55" t="inlineStr">
        <is>
          <t>中條・千葉</t>
        </is>
      </c>
      <c r="G296" s="55" t="inlineStr">
        <is>
          <t>一般廃・産廃</t>
        </is>
      </c>
      <c r="H296" s="57" t="n">
        <v>30</v>
      </c>
      <c r="I296" s="58">
        <f>ROUND(H296*4.33,0)</f>
        <v/>
      </c>
      <c r="J296" s="43" t="n">
        <v>0</v>
      </c>
      <c r="K296" s="44">
        <f>IF(J296&gt;0,I296*J296,"")</f>
        <v/>
      </c>
    </row>
    <row r="297" ht="18" customHeight="1">
      <c r="A297" s="52" t="inlineStr">
        <is>
          <t>GN-091</t>
        </is>
      </c>
      <c r="B297" s="53" t="inlineStr">
        <is>
          <t>しぶそば大井町店</t>
        </is>
      </c>
      <c r="C297" s="54" t="inlineStr">
        <is>
          <t>一般事業者</t>
        </is>
      </c>
      <c r="D297" s="55" t="inlineStr">
        <is>
          <t>東京品川区大井１－１－７</t>
        </is>
      </c>
      <c r="E297" s="56" t="inlineStr">
        <is>
          <t>金</t>
        </is>
      </c>
      <c r="F297" s="55" t="inlineStr">
        <is>
          <t>中條</t>
        </is>
      </c>
      <c r="G297" s="55" t="inlineStr">
        <is>
          <t>瓶缶</t>
        </is>
      </c>
      <c r="H297" s="57" t="n">
        <v>10</v>
      </c>
      <c r="I297" s="58">
        <f>ROUND(H297*4.33,0)</f>
        <v/>
      </c>
      <c r="J297" s="43" t="n">
        <v>0</v>
      </c>
      <c r="K297" s="44">
        <f>IF(J297&gt;0,I297*J297,"")</f>
        <v/>
      </c>
    </row>
    <row r="298" ht="18" customHeight="1">
      <c r="A298" s="52" t="inlineStr">
        <is>
          <t>GN-092</t>
        </is>
      </c>
      <c r="B298" s="53" t="inlineStr">
        <is>
          <t>そばもん　学大店</t>
        </is>
      </c>
      <c r="C298" s="54" t="inlineStr">
        <is>
          <t>一般事業者</t>
        </is>
      </c>
      <c r="D298" s="55" t="inlineStr">
        <is>
          <t>東京都目黒区鷹番３－３－１学大市場　A1</t>
        </is>
      </c>
      <c r="E298" s="56" t="inlineStr">
        <is>
          <t>・土・日・月・木・水・火・金</t>
        </is>
      </c>
      <c r="F298" s="55" t="inlineStr">
        <is>
          <t>中條・千葉・長谷川</t>
        </is>
      </c>
      <c r="G298" s="55" t="inlineStr">
        <is>
          <t>一般廃・産廃</t>
        </is>
      </c>
      <c r="H298" s="57" t="n">
        <v>60</v>
      </c>
      <c r="I298" s="58">
        <f>ROUND(H298*4.33,0)</f>
        <v/>
      </c>
      <c r="J298" s="43" t="n">
        <v>0</v>
      </c>
      <c r="K298" s="44">
        <f>IF(J298&gt;0,I298*J298,"")</f>
        <v/>
      </c>
    </row>
    <row r="299" ht="18" customHeight="1">
      <c r="A299" s="52" t="inlineStr">
        <is>
          <t>GN-093</t>
        </is>
      </c>
      <c r="B299" s="53" t="inlineStr">
        <is>
          <t>はせ川</t>
        </is>
      </c>
      <c r="C299" s="54" t="inlineStr">
        <is>
          <t>一般事業者</t>
        </is>
      </c>
      <c r="D299" s="55" t="inlineStr">
        <is>
          <t>東京都目黒区鷹番２－２１－１６</t>
        </is>
      </c>
      <c r="E299" s="56" t="inlineStr">
        <is>
          <t>土・月・木・水・火・金</t>
        </is>
      </c>
      <c r="F299" s="55" t="inlineStr">
        <is>
          <t>中條・千葉・長谷川</t>
        </is>
      </c>
      <c r="G299" s="55" t="inlineStr">
        <is>
          <t>一般廃・瓶缶・産廃</t>
        </is>
      </c>
      <c r="H299" s="57" t="n">
        <v>60</v>
      </c>
      <c r="I299" s="58">
        <f>ROUND(H299*4.33,0)</f>
        <v/>
      </c>
      <c r="J299" s="43" t="n">
        <v>0</v>
      </c>
      <c r="K299" s="44">
        <f>IF(J299&gt;0,I299*J299,"")</f>
        <v/>
      </c>
    </row>
    <row r="300" ht="18" customHeight="1">
      <c r="A300" s="52" t="inlineStr">
        <is>
          <t>GN-094</t>
        </is>
      </c>
      <c r="B300" s="53" t="inlineStr">
        <is>
          <t>まきた</t>
        </is>
      </c>
      <c r="C300" s="54" t="inlineStr">
        <is>
          <t>一般事業者</t>
        </is>
      </c>
      <c r="D300" s="55" t="inlineStr">
        <is>
          <t>東京都目黒区鷹番２－２１－１６　１０８C1</t>
        </is>
      </c>
      <c r="E300" s="56" t="inlineStr">
        <is>
          <t>土・月・木・水・火・金</t>
        </is>
      </c>
      <c r="F300" s="55" t="inlineStr">
        <is>
          <t>中條・千葉・長谷川</t>
        </is>
      </c>
      <c r="G300" s="55" t="inlineStr">
        <is>
          <t>一般廃・瓶缶・産廃</t>
        </is>
      </c>
      <c r="H300" s="57" t="n">
        <v>7</v>
      </c>
      <c r="I300" s="58">
        <f>ROUND(H300*4.33,0)</f>
        <v/>
      </c>
      <c r="J300" s="43" t="n">
        <v>0</v>
      </c>
      <c r="K300" s="44">
        <f>IF(J300&gt;0,I300*J300,"")</f>
        <v/>
      </c>
    </row>
    <row r="301" ht="18" customHeight="1">
      <c r="A301" s="52" t="inlineStr">
        <is>
          <t>GN-095</t>
        </is>
      </c>
      <c r="B301" s="53" t="inlineStr">
        <is>
          <t>まんてん</t>
        </is>
      </c>
      <c r="C301" s="54" t="inlineStr">
        <is>
          <t>一般事業者</t>
        </is>
      </c>
      <c r="D301" s="55" t="inlineStr">
        <is>
          <t>東京都目黒区上目黒３－５－２　９F-４</t>
        </is>
      </c>
      <c r="E301" s="56" t="inlineStr">
        <is>
          <t>・土・日・月・木・水・火・金</t>
        </is>
      </c>
      <c r="F301" s="55" t="inlineStr">
        <is>
          <t>中條・千葉・長谷川</t>
        </is>
      </c>
      <c r="G301" s="55" t="inlineStr">
        <is>
          <t>一般廃・瓶缶・産廃</t>
        </is>
      </c>
      <c r="H301" s="57" t="n">
        <v>37</v>
      </c>
      <c r="I301" s="58">
        <f>ROUND(H301*4.33,0)</f>
        <v/>
      </c>
      <c r="J301" s="43" t="n">
        <v>0</v>
      </c>
      <c r="K301" s="44">
        <f>IF(J301&gt;0,I301*J301,"")</f>
        <v/>
      </c>
    </row>
    <row r="302" ht="18" customHeight="1">
      <c r="A302" s="52" t="inlineStr">
        <is>
          <t>GN-096</t>
        </is>
      </c>
      <c r="B302" s="53" t="inlineStr">
        <is>
          <t>やきとり武甲</t>
        </is>
      </c>
      <c r="C302" s="54" t="inlineStr">
        <is>
          <t>一般事業者</t>
        </is>
      </c>
      <c r="D302" s="55" t="inlineStr">
        <is>
          <t>東京都目黒区鷹番２－２１－１７－１０７B3</t>
        </is>
      </c>
      <c r="E302" s="56" t="inlineStr">
        <is>
          <t>土・月・木・水・火・金</t>
        </is>
      </c>
      <c r="F302" s="55" t="inlineStr">
        <is>
          <t>中條・千葉・長谷川</t>
        </is>
      </c>
      <c r="G302" s="55" t="inlineStr">
        <is>
          <t>一般廃・瓶缶・産廃</t>
        </is>
      </c>
      <c r="H302" s="57" t="n">
        <v>5</v>
      </c>
      <c r="I302" s="58">
        <f>ROUND(H302*4.33,0)</f>
        <v/>
      </c>
      <c r="J302" s="43" t="n">
        <v>0</v>
      </c>
      <c r="K302" s="44">
        <f>IF(J302&gt;0,I302*J302,"")</f>
        <v/>
      </c>
    </row>
    <row r="303" ht="18" customHeight="1">
      <c r="A303" s="52" t="inlineStr">
        <is>
          <t>GN-097</t>
        </is>
      </c>
      <c r="B303" s="53" t="inlineStr">
        <is>
          <t>らあ面　はやし田　中目黒店</t>
        </is>
      </c>
      <c r="C303" s="54" t="inlineStr">
        <is>
          <t>一般事業者</t>
        </is>
      </c>
      <c r="D303" s="55" t="inlineStr">
        <is>
          <t>東京都目黒区上目黒３－４－１　５D－６</t>
        </is>
      </c>
      <c r="E303" s="56" t="inlineStr">
        <is>
          <t>土・日・月・木・水・火・金</t>
        </is>
      </c>
      <c r="F303" s="55" t="inlineStr">
        <is>
          <t>中條・千葉・長谷川</t>
        </is>
      </c>
      <c r="G303" s="55" t="inlineStr">
        <is>
          <t>一般廃・瓶缶・産廃</t>
        </is>
      </c>
      <c r="H303" s="57" t="n">
        <v>347</v>
      </c>
      <c r="I303" s="58">
        <f>ROUND(H303*4.33,0)</f>
        <v/>
      </c>
      <c r="J303" s="43" t="n">
        <v>0</v>
      </c>
      <c r="K303" s="44">
        <f>IF(J303&gt;0,I303*J303,"")</f>
        <v/>
      </c>
    </row>
    <row r="304" ht="18" customHeight="1">
      <c r="A304" s="52" t="inlineStr">
        <is>
          <t>GN-098</t>
        </is>
      </c>
      <c r="B304" s="53" t="inlineStr">
        <is>
          <t>アールキューブ</t>
        </is>
      </c>
      <c r="C304" s="54" t="inlineStr">
        <is>
          <t>一般事業者</t>
        </is>
      </c>
      <c r="D304" s="55" t="inlineStr">
        <is>
          <t>東京都大田区大森東４－２－８</t>
        </is>
      </c>
      <c r="E304" s="56" t="inlineStr">
        <is>
          <t>月・水・金</t>
        </is>
      </c>
      <c r="F304" s="55" t="inlineStr">
        <is>
          <t>白</t>
        </is>
      </c>
      <c r="G304" s="55" t="inlineStr">
        <is>
          <t>一般廃</t>
        </is>
      </c>
      <c r="H304" s="57" t="n">
        <v>80</v>
      </c>
      <c r="I304" s="58">
        <f>ROUND(H304*4.33,0)</f>
        <v/>
      </c>
      <c r="J304" s="43" t="n">
        <v>0</v>
      </c>
      <c r="K304" s="44">
        <f>IF(J304&gt;0,I304*J304,"")</f>
        <v/>
      </c>
    </row>
    <row r="305" ht="18" customHeight="1">
      <c r="A305" s="52" t="inlineStr">
        <is>
          <t>GN-099</t>
        </is>
      </c>
      <c r="B305" s="53" t="inlineStr">
        <is>
          <t>イケマル酒場</t>
        </is>
      </c>
      <c r="C305" s="54" t="inlineStr">
        <is>
          <t>一般事業者</t>
        </is>
      </c>
      <c r="D305" s="55" t="inlineStr">
        <is>
          <t>東京都品川区西五反田１－１２－１</t>
        </is>
      </c>
      <c r="E305" s="56" t="inlineStr">
        <is>
          <t>月・水・火・金</t>
        </is>
      </c>
      <c r="F305" s="55" t="inlineStr">
        <is>
          <t>中條・千葉</t>
        </is>
      </c>
      <c r="G305" s="55" t="inlineStr">
        <is>
          <t>瓶缶・産廃</t>
        </is>
      </c>
      <c r="H305" s="57" t="n">
        <v>5</v>
      </c>
      <c r="I305" s="58">
        <f>ROUND(H305*4.33,0)</f>
        <v/>
      </c>
      <c r="J305" s="43" t="n">
        <v>0</v>
      </c>
      <c r="K305" s="44">
        <f>IF(J305&gt;0,I305*J305,"")</f>
        <v/>
      </c>
    </row>
    <row r="306" ht="18" customHeight="1">
      <c r="A306" s="52" t="inlineStr">
        <is>
          <t>GN-100</t>
        </is>
      </c>
      <c r="B306" s="53" t="inlineStr">
        <is>
          <t>エトモ　荏原町店</t>
        </is>
      </c>
      <c r="C306" s="54" t="inlineStr">
        <is>
          <t>一般事業者</t>
        </is>
      </c>
      <c r="D306" s="55" t="inlineStr">
        <is>
          <t>東京都品川区中延５－２－１</t>
        </is>
      </c>
      <c r="E306" s="56" t="inlineStr">
        <is>
          <t>土・水・火・金</t>
        </is>
      </c>
      <c r="F306" s="55" t="inlineStr">
        <is>
          <t>藤内</t>
        </is>
      </c>
      <c r="G306" s="55" t="inlineStr">
        <is>
          <t>段ボール</t>
        </is>
      </c>
      <c r="H306" s="57" t="n">
        <v>170</v>
      </c>
      <c r="I306" s="58">
        <f>ROUND(H306*4.33,0)</f>
        <v/>
      </c>
      <c r="J306" s="43" t="n">
        <v>0</v>
      </c>
      <c r="K306" s="44">
        <f>IF(J306&gt;0,I306*J306,"")</f>
        <v/>
      </c>
    </row>
    <row r="307" ht="18" customHeight="1">
      <c r="A307" s="52" t="inlineStr">
        <is>
          <t>GN-101</t>
        </is>
      </c>
      <c r="B307" s="53" t="inlineStr">
        <is>
          <t>オステリアバル　リ・カーリカ</t>
        </is>
      </c>
      <c r="C307" s="54" t="inlineStr">
        <is>
          <t>一般事業者</t>
        </is>
      </c>
      <c r="D307" s="55" t="inlineStr">
        <is>
          <t>東京都目黒区鷹番２－１６－１４　B1F</t>
        </is>
      </c>
      <c r="E307" s="56" t="inlineStr">
        <is>
          <t>土・日・月・木・水・火・金</t>
        </is>
      </c>
      <c r="F307" s="55" t="inlineStr">
        <is>
          <t>中條・千葉・長谷川</t>
        </is>
      </c>
      <c r="G307" s="55" t="inlineStr">
        <is>
          <t>一般廃・産廃</t>
        </is>
      </c>
      <c r="H307" s="57" t="n">
        <v>166.5</v>
      </c>
      <c r="I307" s="58">
        <f>ROUND(H307*4.33,0)</f>
        <v/>
      </c>
      <c r="J307" s="43" t="n">
        <v>0</v>
      </c>
      <c r="K307" s="44">
        <f>IF(J307&gt;0,I307*J307,"")</f>
        <v/>
      </c>
    </row>
    <row r="308" ht="18" customHeight="1">
      <c r="A308" s="52" t="inlineStr">
        <is>
          <t>GN-102</t>
        </is>
      </c>
      <c r="B308" s="53" t="inlineStr">
        <is>
          <t>オハナ　明大前</t>
        </is>
      </c>
      <c r="C308" s="54" t="inlineStr">
        <is>
          <t>一般事業者</t>
        </is>
      </c>
      <c r="D308" s="55" t="inlineStr">
        <is>
          <t>東京都世田谷区松原１－５２－２フォレスト杉山１F</t>
        </is>
      </c>
      <c r="E308" s="56" t="inlineStr">
        <is>
          <t>土・木・火</t>
        </is>
      </c>
      <c r="F308" s="55" t="inlineStr">
        <is>
          <t>長谷川・長野</t>
        </is>
      </c>
      <c r="G308" s="55" t="inlineStr">
        <is>
          <t>一般廃・産廃</t>
        </is>
      </c>
      <c r="H308" s="57" t="n">
        <v>130</v>
      </c>
      <c r="I308" s="58">
        <f>ROUND(H308*4.33,0)</f>
        <v/>
      </c>
      <c r="J308" s="43" t="n">
        <v>0</v>
      </c>
      <c r="K308" s="44">
        <f>IF(J308&gt;0,I308*J308,"")</f>
        <v/>
      </c>
    </row>
    <row r="309" ht="18" customHeight="1">
      <c r="A309" s="52" t="inlineStr">
        <is>
          <t>GN-103</t>
        </is>
      </c>
      <c r="B309" s="53" t="inlineStr">
        <is>
          <t>オープンマート駒澤大学駅中店</t>
        </is>
      </c>
      <c r="C309" s="54" t="inlineStr">
        <is>
          <t>一般事業者</t>
        </is>
      </c>
      <c r="D309" s="55" t="inlineStr">
        <is>
          <t>東京都世田谷区上馬４－３　地下C区画</t>
        </is>
      </c>
      <c r="E309" s="56" t="inlineStr">
        <is>
          <t>土・月・木・水・火・金</t>
        </is>
      </c>
      <c r="F309" s="55" t="inlineStr">
        <is>
          <t>和田・荻野・長谷川・長野</t>
        </is>
      </c>
      <c r="G309" s="55" t="inlineStr">
        <is>
          <t>一般廃・段ボール・産廃</t>
        </is>
      </c>
      <c r="H309" s="57" t="n">
        <v>30</v>
      </c>
      <c r="I309" s="58">
        <f>ROUND(H309*4.33,0)</f>
        <v/>
      </c>
      <c r="J309" s="43" t="n">
        <v>0</v>
      </c>
      <c r="K309" s="44">
        <f>IF(J309&gt;0,I309*J309,"")</f>
        <v/>
      </c>
    </row>
    <row r="310" ht="18" customHeight="1">
      <c r="A310" s="52" t="inlineStr">
        <is>
          <t>GN-104</t>
        </is>
      </c>
      <c r="B310" s="53" t="inlineStr">
        <is>
          <t>カラダファクトリー　雪谷大塚店</t>
        </is>
      </c>
      <c r="C310" s="54" t="inlineStr">
        <is>
          <t>一般事業者</t>
        </is>
      </c>
      <c r="D310" s="55" t="inlineStr">
        <is>
          <t>東京都大田区南雪谷２－２－１６</t>
        </is>
      </c>
      <c r="E310" s="56" t="inlineStr">
        <is>
          <t>木</t>
        </is>
      </c>
      <c r="F310" s="55" t="inlineStr">
        <is>
          <t>中條</t>
        </is>
      </c>
      <c r="G310" s="55" t="inlineStr">
        <is>
          <t>段ボール</t>
        </is>
      </c>
      <c r="H310" s="57" t="n">
        <v>10</v>
      </c>
      <c r="I310" s="58">
        <f>ROUND(H310*4.33,0)</f>
        <v/>
      </c>
      <c r="J310" s="43" t="n">
        <v>0</v>
      </c>
      <c r="K310" s="44">
        <f>IF(J310&gt;0,I310*J310,"")</f>
        <v/>
      </c>
    </row>
    <row r="311" ht="18" customHeight="1">
      <c r="A311" s="52" t="inlineStr">
        <is>
          <t>GN-105</t>
        </is>
      </c>
      <c r="B311" s="53" t="inlineStr">
        <is>
          <t>カラダファクトリー雪谷大塚店</t>
        </is>
      </c>
      <c r="C311" s="54" t="inlineStr">
        <is>
          <t>一般事業者</t>
        </is>
      </c>
      <c r="D311" s="55" t="inlineStr">
        <is>
          <t>東京都大田区南雪谷２－２－１６</t>
        </is>
      </c>
      <c r="E311" s="56" t="inlineStr">
        <is>
          <t>火</t>
        </is>
      </c>
      <c r="F311" s="55" t="inlineStr">
        <is>
          <t>千葉</t>
        </is>
      </c>
      <c r="G311" s="55" t="inlineStr">
        <is>
          <t>産廃</t>
        </is>
      </c>
      <c r="H311" s="57" t="n">
        <v>2</v>
      </c>
      <c r="I311" s="58">
        <f>ROUND(H311*4.33,0)</f>
        <v/>
      </c>
      <c r="J311" s="43" t="n">
        <v>0</v>
      </c>
      <c r="K311" s="44">
        <f>IF(J311&gt;0,I311*J311,"")</f>
        <v/>
      </c>
    </row>
    <row r="312" ht="18" customHeight="1">
      <c r="A312" s="52" t="inlineStr">
        <is>
          <t>GN-106</t>
        </is>
      </c>
      <c r="B312" s="53" t="inlineStr">
        <is>
          <t>カーニバル　学芸大学店</t>
        </is>
      </c>
      <c r="C312" s="54" t="inlineStr">
        <is>
          <t>一般事業者</t>
        </is>
      </c>
      <c r="D312" s="55" t="inlineStr">
        <is>
          <t>東京都目黒区鷹番３－４－２５　学大小路１４－０１</t>
        </is>
      </c>
      <c r="E312" s="56" t="inlineStr">
        <is>
          <t>・土・日・月・木・水・火・金</t>
        </is>
      </c>
      <c r="F312" s="55" t="inlineStr">
        <is>
          <t>中條・千葉・長谷川</t>
        </is>
      </c>
      <c r="G312" s="55" t="inlineStr">
        <is>
          <t>一般廃・産廃</t>
        </is>
      </c>
      <c r="H312" s="57" t="n">
        <v>241</v>
      </c>
      <c r="I312" s="58">
        <f>ROUND(H312*4.33,0)</f>
        <v/>
      </c>
      <c r="J312" s="43" t="n">
        <v>0</v>
      </c>
      <c r="K312" s="44">
        <f>IF(J312&gt;0,I312*J312,"")</f>
        <v/>
      </c>
    </row>
    <row r="313" ht="18" customHeight="1">
      <c r="A313" s="52" t="inlineStr">
        <is>
          <t>GN-107</t>
        </is>
      </c>
      <c r="B313" s="53" t="inlineStr">
        <is>
          <t>カーフ</t>
        </is>
      </c>
      <c r="C313" s="54" t="inlineStr">
        <is>
          <t>一般事業者</t>
        </is>
      </c>
      <c r="D313" s="55" t="inlineStr">
        <is>
          <t>東京都渋谷区代官山町１３－１代官山ログロードL２</t>
        </is>
      </c>
      <c r="E313" s="56" t="inlineStr">
        <is>
          <t>土・日・月・木・水・火・金</t>
        </is>
      </c>
      <c r="F313" s="55" t="inlineStr">
        <is>
          <t>中條・和田・荻野・長谷川・長野</t>
        </is>
      </c>
      <c r="G313" s="55" t="inlineStr">
        <is>
          <t>一般廃・段ボール・産廃</t>
        </is>
      </c>
      <c r="H313" s="57" t="n">
        <v>41</v>
      </c>
      <c r="I313" s="58">
        <f>ROUND(H313*4.33,0)</f>
        <v/>
      </c>
      <c r="J313" s="43" t="n">
        <v>0</v>
      </c>
      <c r="K313" s="44">
        <f>IF(J313&gt;0,I313*J313,"")</f>
        <v/>
      </c>
    </row>
    <row r="314" ht="18" customHeight="1">
      <c r="A314" s="52" t="inlineStr">
        <is>
          <t>GN-108</t>
        </is>
      </c>
      <c r="B314" s="53" t="inlineStr">
        <is>
          <t>カーリカ・リ</t>
        </is>
      </c>
      <c r="C314" s="54" t="inlineStr">
        <is>
          <t>一般事業者</t>
        </is>
      </c>
      <c r="D314" s="55" t="inlineStr">
        <is>
          <t>東京都目黒区中根１－５－２　都立大高架下A館</t>
        </is>
      </c>
      <c r="E314" s="56" t="inlineStr">
        <is>
          <t>土・日・月・木・水・火・金</t>
        </is>
      </c>
      <c r="F314" s="55" t="inlineStr">
        <is>
          <t>中條・千葉・長谷川</t>
        </is>
      </c>
      <c r="G314" s="55" t="inlineStr">
        <is>
          <t>一般廃・瓶缶・産廃</t>
        </is>
      </c>
      <c r="H314" s="57" t="n">
        <v>98</v>
      </c>
      <c r="I314" s="58">
        <f>ROUND(H314*4.33,0)</f>
        <v/>
      </c>
      <c r="J314" s="43" t="n">
        <v>0</v>
      </c>
      <c r="K314" s="44">
        <f>IF(J314&gt;0,I314*J314,"")</f>
        <v/>
      </c>
    </row>
    <row r="315" ht="18" customHeight="1">
      <c r="A315" s="52" t="inlineStr">
        <is>
          <t>GN-109</t>
        </is>
      </c>
      <c r="B315" s="53" t="inlineStr">
        <is>
          <t>カーリーノブ</t>
        </is>
      </c>
      <c r="C315" s="54" t="inlineStr">
        <is>
          <t>一般事業者</t>
        </is>
      </c>
      <c r="D315" s="55" t="inlineStr">
        <is>
          <t>東京都目黒区中根１－５－２　都立大高架下（商業施設）</t>
        </is>
      </c>
      <c r="E315" s="56" t="inlineStr">
        <is>
          <t>土・日・月・木・水・火・金</t>
        </is>
      </c>
      <c r="F315" s="55" t="inlineStr">
        <is>
          <t>中條・千葉・長谷川</t>
        </is>
      </c>
      <c r="G315" s="55" t="inlineStr">
        <is>
          <t>一般廃・瓶缶・産廃</t>
        </is>
      </c>
      <c r="H315" s="57" t="n">
        <v>13</v>
      </c>
      <c r="I315" s="58">
        <f>ROUND(H315*4.33,0)</f>
        <v/>
      </c>
      <c r="J315" s="43" t="n">
        <v>0</v>
      </c>
      <c r="K315" s="44">
        <f>IF(J315&gt;0,I315*J315,"")</f>
        <v/>
      </c>
    </row>
    <row r="316" ht="18" customHeight="1">
      <c r="A316" s="52" t="inlineStr">
        <is>
          <t>GN-110</t>
        </is>
      </c>
      <c r="B316" s="53" t="inlineStr">
        <is>
          <t>ガーデンハウスクラフト</t>
        </is>
      </c>
      <c r="C316" s="54" t="inlineStr">
        <is>
          <t>一般事業者</t>
        </is>
      </c>
      <c r="D316" s="55" t="inlineStr">
        <is>
          <t>東京都渋谷区代官山町１３－１代官山ログロードL５棟</t>
        </is>
      </c>
      <c r="E316" s="56" t="inlineStr">
        <is>
          <t>土・日・月・木・水・火・金</t>
        </is>
      </c>
      <c r="F316" s="55" t="inlineStr">
        <is>
          <t>中條・和田・荻野・長谷川・長野</t>
        </is>
      </c>
      <c r="G316" s="55" t="inlineStr">
        <is>
          <t>一般廃・段ボール・産廃</t>
        </is>
      </c>
      <c r="H316" s="57" t="n">
        <v>281</v>
      </c>
      <c r="I316" s="58">
        <f>ROUND(H316*4.33,0)</f>
        <v/>
      </c>
      <c r="J316" s="43" t="n">
        <v>0</v>
      </c>
      <c r="K316" s="44">
        <f>IF(J316&gt;0,I316*J316,"")</f>
        <v/>
      </c>
    </row>
    <row r="317" ht="18" customHeight="1">
      <c r="A317" s="52" t="inlineStr">
        <is>
          <t>GN-111</t>
        </is>
      </c>
      <c r="B317" s="53" t="inlineStr">
        <is>
          <t>キッズスペースキャンプ　大井町</t>
        </is>
      </c>
      <c r="C317" s="54" t="inlineStr">
        <is>
          <t>一般事業者</t>
        </is>
      </c>
      <c r="D317" s="55" t="inlineStr">
        <is>
          <t>東京都品川区二葉１－８－２３</t>
        </is>
      </c>
      <c r="E317" s="56" t="inlineStr">
        <is>
          <t>水・金</t>
        </is>
      </c>
      <c r="F317" s="55" t="inlineStr">
        <is>
          <t>千葉</t>
        </is>
      </c>
      <c r="G317" s="55" t="inlineStr">
        <is>
          <t>産廃</t>
        </is>
      </c>
      <c r="H317" s="57" t="n">
        <v>10</v>
      </c>
      <c r="I317" s="58">
        <f>ROUND(H317*4.33,0)</f>
        <v/>
      </c>
      <c r="J317" s="43" t="n">
        <v>0</v>
      </c>
      <c r="K317" s="44">
        <f>IF(J317&gt;0,I317*J317,"")</f>
        <v/>
      </c>
    </row>
    <row r="318" ht="18" customHeight="1">
      <c r="A318" s="52" t="inlineStr">
        <is>
          <t>GN-112</t>
        </is>
      </c>
      <c r="B318" s="53" t="inlineStr">
        <is>
          <t>キッチン　クレセント</t>
        </is>
      </c>
      <c r="C318" s="54" t="inlineStr">
        <is>
          <t>一般事業者</t>
        </is>
      </c>
      <c r="D318" s="55" t="inlineStr">
        <is>
          <t>東京都品川区西五反田１－１２－１</t>
        </is>
      </c>
      <c r="E318" s="56" t="inlineStr">
        <is>
          <t>月・水・火・金</t>
        </is>
      </c>
      <c r="F318" s="55" t="inlineStr">
        <is>
          <t>中條・千葉</t>
        </is>
      </c>
      <c r="G318" s="55" t="inlineStr">
        <is>
          <t>瓶缶・産廃</t>
        </is>
      </c>
      <c r="H318" s="57" t="n">
        <v>0</v>
      </c>
      <c r="I318" s="58" t="n">
        <v>0</v>
      </c>
      <c r="J318" s="43" t="n">
        <v>0</v>
      </c>
      <c r="K318" s="44">
        <f>IF(J318&gt;0,I318*J318,"")</f>
        <v/>
      </c>
    </row>
    <row r="319" ht="18" customHeight="1">
      <c r="A319" s="52" t="inlineStr">
        <is>
          <t>GN-113</t>
        </is>
      </c>
      <c r="B319" s="53" t="inlineStr">
        <is>
          <t>キャンバン</t>
        </is>
      </c>
      <c r="C319" s="54" t="inlineStr">
        <is>
          <t>一般事業者</t>
        </is>
      </c>
      <c r="D319" s="55" t="inlineStr">
        <is>
          <t>東京都大田区仲池上１－２３－５</t>
        </is>
      </c>
      <c r="E319" s="56" t="inlineStr">
        <is>
          <t>金</t>
        </is>
      </c>
      <c r="F319" s="55" t="inlineStr">
        <is>
          <t>千葉</t>
        </is>
      </c>
      <c r="G319" s="55" t="inlineStr">
        <is>
          <t>産廃</t>
        </is>
      </c>
      <c r="H319" s="57" t="n">
        <v>6</v>
      </c>
      <c r="I319" s="58">
        <f>ROUND(H319*4.33,0)</f>
        <v/>
      </c>
      <c r="J319" s="43" t="n">
        <v>0</v>
      </c>
      <c r="K319" s="44">
        <f>IF(J319&gt;0,I319*J319,"")</f>
        <v/>
      </c>
    </row>
    <row r="320" ht="18" customHeight="1">
      <c r="A320" s="52" t="inlineStr">
        <is>
          <t>GN-114</t>
        </is>
      </c>
      <c r="B320" s="53" t="inlineStr">
        <is>
          <t>クリスピークリームドーナツ自由が丘駅店</t>
        </is>
      </c>
      <c r="C320" s="54" t="inlineStr">
        <is>
          <t>一般事業者</t>
        </is>
      </c>
      <c r="D320" s="55" t="inlineStr">
        <is>
          <t>東京都目黒区自由が丘１－３０－１</t>
        </is>
      </c>
      <c r="E320" s="56" t="inlineStr">
        <is>
          <t>・日・木・火</t>
        </is>
      </c>
      <c r="F320" s="55" t="inlineStr">
        <is>
          <t>中條・千葉</t>
        </is>
      </c>
      <c r="G320" s="55" t="inlineStr">
        <is>
          <t>一般廃・産廃</t>
        </is>
      </c>
      <c r="H320" s="57" t="n">
        <v>31</v>
      </c>
      <c r="I320" s="58">
        <f>ROUND(H320*4.33,0)</f>
        <v/>
      </c>
      <c r="J320" s="43" t="n">
        <v>0</v>
      </c>
      <c r="K320" s="44">
        <f>IF(J320&gt;0,I320*J320,"")</f>
        <v/>
      </c>
    </row>
    <row r="321" ht="18" customHeight="1">
      <c r="A321" s="52" t="inlineStr">
        <is>
          <t>GN-115</t>
        </is>
      </c>
      <c r="B321" s="53" t="inlineStr">
        <is>
          <t>グルメフロント（１５BL）</t>
        </is>
      </c>
      <c r="C321" s="54" t="inlineStr">
        <is>
          <t>一般事業者</t>
        </is>
      </c>
      <c r="D321" s="55" t="inlineStr">
        <is>
          <t>東京都目黒区碑文谷６－６－８　GAKUDAI COLLECTIV A-0</t>
        </is>
      </c>
      <c r="E321" s="56" t="inlineStr">
        <is>
          <t>土・月・木・水・火・金</t>
        </is>
      </c>
      <c r="F321" s="55" t="inlineStr">
        <is>
          <t>藤内</t>
        </is>
      </c>
      <c r="G321" s="55" t="inlineStr">
        <is>
          <t>段ボール</t>
        </is>
      </c>
      <c r="H321" s="57" t="n">
        <v>85</v>
      </c>
      <c r="I321" s="58">
        <f>ROUND(H321*4.33,0)</f>
        <v/>
      </c>
      <c r="J321" s="43" t="n">
        <v>0</v>
      </c>
      <c r="K321" s="44">
        <f>IF(J321&gt;0,I321*J321,"")</f>
        <v/>
      </c>
    </row>
    <row r="322" ht="18" customHeight="1">
      <c r="A322" s="52" t="inlineStr">
        <is>
          <t>GN-116</t>
        </is>
      </c>
      <c r="B322" s="53" t="inlineStr">
        <is>
          <t>グローバルキッズ　荏原町保育園</t>
        </is>
      </c>
      <c r="C322" s="54" t="inlineStr">
        <is>
          <t>一般事業者</t>
        </is>
      </c>
      <c r="D322" s="55" t="inlineStr">
        <is>
          <t>東京都品川区旗の台２－１３－１</t>
        </is>
      </c>
      <c r="E322" s="56" t="inlineStr">
        <is>
          <t>金</t>
        </is>
      </c>
      <c r="F322" s="55" t="inlineStr">
        <is>
          <t>中條</t>
        </is>
      </c>
      <c r="G322" s="55" t="inlineStr">
        <is>
          <t>瓶缶</t>
        </is>
      </c>
      <c r="H322" s="57" t="n">
        <v>20</v>
      </c>
      <c r="I322" s="58">
        <f>ROUND(H322*4.33,0)</f>
        <v/>
      </c>
      <c r="J322" s="43" t="n">
        <v>0</v>
      </c>
      <c r="K322" s="44">
        <f>IF(J322&gt;0,I322*J322,"")</f>
        <v/>
      </c>
    </row>
    <row r="323" ht="18" customHeight="1">
      <c r="A323" s="52" t="inlineStr">
        <is>
          <t>GN-117</t>
        </is>
      </c>
      <c r="B323" s="53" t="inlineStr">
        <is>
          <t>ケンタッキーフライドチキン　二子玉川店</t>
        </is>
      </c>
      <c r="C323" s="54" t="inlineStr">
        <is>
          <t>一般事業者</t>
        </is>
      </c>
      <c r="D323" s="55" t="inlineStr">
        <is>
          <t>東京都世田谷区玉川２－２２－１３</t>
        </is>
      </c>
      <c r="E323" s="56" t="inlineStr">
        <is>
          <t>日</t>
        </is>
      </c>
      <c r="F323" s="55" t="inlineStr">
        <is>
          <t>中條</t>
        </is>
      </c>
      <c r="G323" s="55" t="inlineStr">
        <is>
          <t>一般廃</t>
        </is>
      </c>
      <c r="H323" s="57" t="n">
        <v>90</v>
      </c>
      <c r="I323" s="58">
        <f>ROUND(H323*4.33,0)</f>
        <v/>
      </c>
      <c r="J323" s="43" t="n">
        <v>0</v>
      </c>
      <c r="K323" s="44">
        <f>IF(J323&gt;0,I323*J323,"")</f>
        <v/>
      </c>
    </row>
    <row r="324" ht="18" customHeight="1">
      <c r="A324" s="52" t="inlineStr">
        <is>
          <t>GN-118</t>
        </is>
      </c>
      <c r="B324" s="53" t="inlineStr">
        <is>
          <t>コーモドドゥーエ</t>
        </is>
      </c>
      <c r="C324" s="54" t="inlineStr">
        <is>
          <t>一般事業者</t>
        </is>
      </c>
      <c r="D324" s="55" t="inlineStr">
        <is>
          <t>東京都目黒区上目黒３－４５－１２　J１</t>
        </is>
      </c>
      <c r="E324" s="56" t="inlineStr">
        <is>
          <t>火</t>
        </is>
      </c>
      <c r="F324" s="55" t="inlineStr">
        <is>
          <t>千葉</t>
        </is>
      </c>
      <c r="G324" s="55" t="inlineStr">
        <is>
          <t>産廃</t>
        </is>
      </c>
      <c r="H324" s="57" t="n">
        <v>0</v>
      </c>
      <c r="I324" s="58" t="n">
        <v>0</v>
      </c>
      <c r="J324" s="43" t="n">
        <v>0</v>
      </c>
      <c r="K324" s="44">
        <f>IF(J324&gt;0,I324*J324,"")</f>
        <v/>
      </c>
    </row>
    <row r="325" ht="18" customHeight="1">
      <c r="A325" s="52" t="inlineStr">
        <is>
          <t>GN-119</t>
        </is>
      </c>
      <c r="B325" s="53" t="inlineStr">
        <is>
          <t>ゴントラン　シェリエmini自由が丘</t>
        </is>
      </c>
      <c r="C325" s="54" t="inlineStr">
        <is>
          <t>一般事業者</t>
        </is>
      </c>
      <c r="D325" s="55" t="inlineStr">
        <is>
          <t>東京都目黒区自由が丘１－３０－１</t>
        </is>
      </c>
      <c r="E325" s="56" t="inlineStr">
        <is>
          <t>・木・火</t>
        </is>
      </c>
      <c r="F325" s="55" t="inlineStr">
        <is>
          <t>千葉</t>
        </is>
      </c>
      <c r="G325" s="55" t="inlineStr">
        <is>
          <t>産廃</t>
        </is>
      </c>
      <c r="H325" s="57" t="n">
        <v>2</v>
      </c>
      <c r="I325" s="58">
        <f>ROUND(H325*4.33,0)</f>
        <v/>
      </c>
      <c r="J325" s="43" t="n">
        <v>0</v>
      </c>
      <c r="K325" s="44">
        <f>IF(J325&gt;0,I325*J325,"")</f>
        <v/>
      </c>
    </row>
    <row r="326" ht="18" customHeight="1">
      <c r="A326" s="52" t="inlineStr">
        <is>
          <t>GN-120</t>
        </is>
      </c>
      <c r="B326" s="53" t="inlineStr">
        <is>
          <t>サキュレ　本社営業所</t>
        </is>
      </c>
      <c r="C326" s="54" t="inlineStr">
        <is>
          <t>一般事業者</t>
        </is>
      </c>
      <c r="D326" s="55" t="inlineStr">
        <is>
          <t>東京都大田区西馬込１－２－１２</t>
        </is>
      </c>
      <c r="E326" s="56" t="inlineStr">
        <is>
          <t>水・火</t>
        </is>
      </c>
      <c r="F326" s="55" t="inlineStr">
        <is>
          <t>千葉</t>
        </is>
      </c>
      <c r="G326" s="55" t="inlineStr">
        <is>
          <t>産廃</t>
        </is>
      </c>
      <c r="H326" s="57" t="n">
        <v>30</v>
      </c>
      <c r="I326" s="58">
        <f>ROUND(H326*4.33,0)</f>
        <v/>
      </c>
      <c r="J326" s="43" t="n">
        <v>0</v>
      </c>
      <c r="K326" s="44">
        <f>IF(J326&gt;0,I326*J326,"")</f>
        <v/>
      </c>
    </row>
    <row r="327" ht="18" customHeight="1">
      <c r="A327" s="52" t="inlineStr">
        <is>
          <t>GN-121</t>
        </is>
      </c>
      <c r="B327" s="53" t="inlineStr">
        <is>
          <t>サキュレ本社営業所</t>
        </is>
      </c>
      <c r="C327" s="54" t="inlineStr">
        <is>
          <t>一般事業者</t>
        </is>
      </c>
      <c r="D327" s="55" t="inlineStr">
        <is>
          <t>東京都大田区西馬込１－２－１２</t>
        </is>
      </c>
      <c r="E327" s="56" t="inlineStr">
        <is>
          <t>火・金</t>
        </is>
      </c>
      <c r="F327" s="55" t="inlineStr">
        <is>
          <t>中條</t>
        </is>
      </c>
      <c r="G327" s="55" t="inlineStr">
        <is>
          <t>瓶缶</t>
        </is>
      </c>
      <c r="H327" s="57" t="n">
        <v>10</v>
      </c>
      <c r="I327" s="58">
        <f>ROUND(H327*4.33,0)</f>
        <v/>
      </c>
      <c r="J327" s="43" t="n">
        <v>0</v>
      </c>
      <c r="K327" s="44">
        <f>IF(J327&gt;0,I327*J327,"")</f>
        <v/>
      </c>
    </row>
    <row r="328" ht="18" customHeight="1">
      <c r="A328" s="52" t="inlineStr">
        <is>
          <t>GN-122</t>
        </is>
      </c>
      <c r="B328" s="53" t="inlineStr">
        <is>
          <t>サピックス　自由が丘校</t>
        </is>
      </c>
      <c r="C328" s="54" t="inlineStr">
        <is>
          <t>一般事業者</t>
        </is>
      </c>
      <c r="D328" s="55" t="inlineStr">
        <is>
          <t>東京都目黒区自由が丘２－１６－２</t>
        </is>
      </c>
      <c r="E328" s="56" t="inlineStr">
        <is>
          <t>土・月・木・水・火・金</t>
        </is>
      </c>
      <c r="F328" s="55" t="inlineStr">
        <is>
          <t>千葉・藤内</t>
        </is>
      </c>
      <c r="G328" s="55" t="inlineStr">
        <is>
          <t>段ボール・産廃</t>
        </is>
      </c>
      <c r="H328" s="57" t="n">
        <v>160</v>
      </c>
      <c r="I328" s="58">
        <f>ROUND(H328*4.33,0)</f>
        <v/>
      </c>
      <c r="J328" s="43" t="n">
        <v>0</v>
      </c>
      <c r="K328" s="44">
        <f>IF(J328&gt;0,I328*J328,"")</f>
        <v/>
      </c>
    </row>
    <row r="329" ht="18" customHeight="1">
      <c r="A329" s="52" t="inlineStr">
        <is>
          <t>GN-123</t>
        </is>
      </c>
      <c r="B329" s="53" t="inlineStr">
        <is>
          <t>サーティーワンアイスクリーム</t>
        </is>
      </c>
      <c r="C329" s="54" t="inlineStr">
        <is>
          <t>一般事業者</t>
        </is>
      </c>
      <c r="D329" s="55" t="inlineStr">
        <is>
          <t>東京都世田谷区上馬４－３　D区画</t>
        </is>
      </c>
      <c r="E329" s="56" t="inlineStr">
        <is>
          <t>土・月・木・水・火・金</t>
        </is>
      </c>
      <c r="F329" s="55" t="inlineStr">
        <is>
          <t>和田・荻野・長谷川・長野</t>
        </is>
      </c>
      <c r="G329" s="55" t="inlineStr">
        <is>
          <t>一般廃・段ボール・産廃</t>
        </is>
      </c>
      <c r="H329" s="57" t="n">
        <v>46</v>
      </c>
      <c r="I329" s="58">
        <f>ROUND(H329*4.33,0)</f>
        <v/>
      </c>
      <c r="J329" s="43" t="n">
        <v>0</v>
      </c>
      <c r="K329" s="44">
        <f>IF(J329&gt;0,I329*J329,"")</f>
        <v/>
      </c>
    </row>
    <row r="330" ht="18" customHeight="1">
      <c r="A330" s="52" t="inlineStr">
        <is>
          <t>GN-124</t>
        </is>
      </c>
      <c r="B330" s="53" t="inlineStr">
        <is>
          <t>ザ・シティベーカリー</t>
        </is>
      </c>
      <c r="C330" s="54" t="inlineStr">
        <is>
          <t>一般事業者</t>
        </is>
      </c>
      <c r="D330" s="55" t="inlineStr">
        <is>
          <t>東京都目黒区上目黒３－４－１　５D－２，３</t>
        </is>
      </c>
      <c r="E330" s="56" t="inlineStr">
        <is>
          <t>土・日・月・木・水・火・金</t>
        </is>
      </c>
      <c r="F330" s="55" t="inlineStr">
        <is>
          <t>中條・千葉・長谷川</t>
        </is>
      </c>
      <c r="G330" s="55" t="inlineStr">
        <is>
          <t>一般廃・瓶缶・産廃</t>
        </is>
      </c>
      <c r="H330" s="57" t="n">
        <v>368</v>
      </c>
      <c r="I330" s="58">
        <f>ROUND(H330*4.33,0)</f>
        <v/>
      </c>
      <c r="J330" s="43" t="n">
        <v>0</v>
      </c>
      <c r="K330" s="44">
        <f>IF(J330&gt;0,I330*J330,"")</f>
        <v/>
      </c>
    </row>
    <row r="331" ht="18" customHeight="1">
      <c r="A331" s="52" t="inlineStr">
        <is>
          <t>GN-125</t>
        </is>
      </c>
      <c r="B331" s="53" t="inlineStr">
        <is>
          <t>シュッティヤナセ</t>
        </is>
      </c>
      <c r="C331" s="54" t="inlineStr">
        <is>
          <t>一般事業者</t>
        </is>
      </c>
      <c r="D331" s="55" t="inlineStr">
        <is>
          <t>東京都渋谷区東３－２４－７　４F</t>
        </is>
      </c>
      <c r="E331" s="56" t="inlineStr">
        <is>
          <t>土・日・月・木・水・火・金</t>
        </is>
      </c>
      <c r="F331" s="55" t="inlineStr">
        <is>
          <t>中條・長谷川・長野</t>
        </is>
      </c>
      <c r="G331" s="55" t="inlineStr">
        <is>
          <t>一般廃・産廃</t>
        </is>
      </c>
      <c r="H331" s="57" t="n">
        <v>590</v>
      </c>
      <c r="I331" s="58">
        <f>ROUND(H331*4.33,0)</f>
        <v/>
      </c>
      <c r="J331" s="43" t="n">
        <v>0</v>
      </c>
      <c r="K331" s="44">
        <f>IF(J331&gt;0,I331*J331,"")</f>
        <v/>
      </c>
    </row>
    <row r="332" ht="18" customHeight="1">
      <c r="A332" s="52" t="inlineStr">
        <is>
          <t>GN-126</t>
        </is>
      </c>
      <c r="B332" s="53" t="inlineStr">
        <is>
          <t>スタジオマリオグラン　二子玉川店</t>
        </is>
      </c>
      <c r="C332" s="54" t="inlineStr">
        <is>
          <t>一般事業者</t>
        </is>
      </c>
      <c r="D332" s="55" t="inlineStr">
        <is>
          <t>東京都世田谷区玉川２－２２－１３　２F</t>
        </is>
      </c>
      <c r="E332" s="56" t="inlineStr">
        <is>
          <t>・日・木・火</t>
        </is>
      </c>
      <c r="F332" s="55" t="inlineStr">
        <is>
          <t>中條・千葉・長野</t>
        </is>
      </c>
      <c r="G332" s="55" t="inlineStr">
        <is>
          <t>一般廃・産廃</t>
        </is>
      </c>
      <c r="H332" s="57" t="n">
        <v>70</v>
      </c>
      <c r="I332" s="58">
        <f>ROUND(H332*4.33,0)</f>
        <v/>
      </c>
      <c r="J332" s="43" t="n">
        <v>0</v>
      </c>
      <c r="K332" s="44">
        <f>IF(J332&gt;0,I332*J332,"")</f>
        <v/>
      </c>
    </row>
    <row r="333" ht="18" customHeight="1">
      <c r="A333" s="52" t="inlineStr">
        <is>
          <t>GN-127</t>
        </is>
      </c>
      <c r="B333" s="53" t="inlineStr">
        <is>
          <t>スターバックスコーヒー大井町駅</t>
        </is>
      </c>
      <c r="C333" s="54" t="inlineStr">
        <is>
          <t>一般事業者</t>
        </is>
      </c>
      <c r="D333" s="55" t="inlineStr">
        <is>
          <t>東京都品川区大井１－１－１</t>
        </is>
      </c>
      <c r="E333" s="56" t="inlineStr">
        <is>
          <t>月・木・水・金</t>
        </is>
      </c>
      <c r="F333" s="55" t="inlineStr">
        <is>
          <t>中條・千葉</t>
        </is>
      </c>
      <c r="G333" s="55" t="inlineStr">
        <is>
          <t>段ボール・産廃</t>
        </is>
      </c>
      <c r="H333" s="57" t="n">
        <v>164</v>
      </c>
      <c r="I333" s="58">
        <f>ROUND(H333*4.33,0)</f>
        <v/>
      </c>
      <c r="J333" s="43" t="n">
        <v>0</v>
      </c>
      <c r="K333" s="44">
        <f>IF(J333&gt;0,I333*J333,"")</f>
        <v/>
      </c>
    </row>
    <row r="334" ht="18" customHeight="1">
      <c r="A334" s="52" t="inlineStr">
        <is>
          <t>GN-128</t>
        </is>
      </c>
      <c r="B334" s="53" t="inlineStr">
        <is>
          <t>スパイシーフライヤーズ</t>
        </is>
      </c>
      <c r="C334" s="54" t="inlineStr">
        <is>
          <t>一般事業者</t>
        </is>
      </c>
      <c r="D334" s="55" t="inlineStr">
        <is>
          <t>東京都目黒区上目黒３－５－２　０H－５</t>
        </is>
      </c>
      <c r="E334" s="56" t="inlineStr">
        <is>
          <t>・土・月・木・水・火・金</t>
        </is>
      </c>
      <c r="F334" s="55" t="inlineStr">
        <is>
          <t>千葉・長谷川</t>
        </is>
      </c>
      <c r="G334" s="55" t="inlineStr">
        <is>
          <t>一般廃・産廃</t>
        </is>
      </c>
      <c r="H334" s="57" t="n">
        <v>9</v>
      </c>
      <c r="I334" s="58">
        <f>ROUND(H334*4.33,0)</f>
        <v/>
      </c>
      <c r="J334" s="43" t="n">
        <v>0</v>
      </c>
      <c r="K334" s="44">
        <f>IF(J334&gt;0,I334*J334,"")</f>
        <v/>
      </c>
    </row>
    <row r="335" ht="18" customHeight="1">
      <c r="A335" s="52" t="inlineStr">
        <is>
          <t>GN-129</t>
        </is>
      </c>
      <c r="B335" s="53" t="inlineStr">
        <is>
          <t>スープストック　自由が丘店</t>
        </is>
      </c>
      <c r="C335" s="54" t="inlineStr">
        <is>
          <t>一般事業者</t>
        </is>
      </c>
      <c r="D335" s="55" t="inlineStr">
        <is>
          <t>東京都目黒区自由が丘１－３０－１</t>
        </is>
      </c>
      <c r="E335" s="56" t="inlineStr">
        <is>
          <t>・日・木・火</t>
        </is>
      </c>
      <c r="F335" s="55" t="inlineStr">
        <is>
          <t>中條・千葉</t>
        </is>
      </c>
      <c r="G335" s="55" t="inlineStr">
        <is>
          <t>一般廃・産廃</t>
        </is>
      </c>
      <c r="H335" s="57" t="n">
        <v>160</v>
      </c>
      <c r="I335" s="58">
        <f>ROUND(H335*4.33,0)</f>
        <v/>
      </c>
      <c r="J335" s="43" t="n">
        <v>0</v>
      </c>
      <c r="K335" s="44">
        <f>IF(J335&gt;0,I335*J335,"")</f>
        <v/>
      </c>
    </row>
    <row r="336" ht="18" customHeight="1">
      <c r="A336" s="52" t="inlineStr">
        <is>
          <t>GN-130</t>
        </is>
      </c>
      <c r="B336" s="53" t="inlineStr">
        <is>
          <t>ダイソー　ガクダイコウカシタ店</t>
        </is>
      </c>
      <c r="C336" s="54" t="inlineStr">
        <is>
          <t>一般事業者</t>
        </is>
      </c>
      <c r="D336" s="55" t="inlineStr">
        <is>
          <t>東京都目黒区碑文谷６－７－２２　１４BL</t>
        </is>
      </c>
      <c r="E336" s="56" t="inlineStr">
        <is>
          <t>・土・日・月・木・水・火・金</t>
        </is>
      </c>
      <c r="F336" s="55" t="inlineStr">
        <is>
          <t>中條・千葉・長谷川</t>
        </is>
      </c>
      <c r="G336" s="55" t="inlineStr">
        <is>
          <t>一般廃・段ボール・産廃</t>
        </is>
      </c>
      <c r="H336" s="57" t="n">
        <v>81</v>
      </c>
      <c r="I336" s="58">
        <f>ROUND(H336*4.33,0)</f>
        <v/>
      </c>
      <c r="J336" s="43" t="n">
        <v>0</v>
      </c>
      <c r="K336" s="44">
        <f>IF(J336&gt;0,I336*J336,"")</f>
        <v/>
      </c>
    </row>
    <row r="337" ht="18" customHeight="1">
      <c r="A337" s="52" t="inlineStr">
        <is>
          <t>GN-131</t>
        </is>
      </c>
      <c r="B337" s="53" t="inlineStr">
        <is>
          <t>チョキペタ　エトモ鵜の木店</t>
        </is>
      </c>
      <c r="C337" s="54" t="inlineStr">
        <is>
          <t>一般事業者</t>
        </is>
      </c>
      <c r="D337" s="55" t="inlineStr">
        <is>
          <t>東京都大田区鵜の木２－４－１　エトモ鵜の木</t>
        </is>
      </c>
      <c r="E337" s="56" t="inlineStr">
        <is>
          <t>火</t>
        </is>
      </c>
      <c r="F337" s="55" t="inlineStr">
        <is>
          <t>千葉</t>
        </is>
      </c>
      <c r="G337" s="55" t="inlineStr">
        <is>
          <t>産廃</t>
        </is>
      </c>
      <c r="H337" s="57" t="n">
        <v>0</v>
      </c>
      <c r="I337" s="58" t="n">
        <v>0</v>
      </c>
      <c r="J337" s="43" t="n">
        <v>0</v>
      </c>
      <c r="K337" s="44">
        <f>IF(J337&gt;0,I337*J337,"")</f>
        <v/>
      </c>
    </row>
    <row r="338" ht="18" customHeight="1">
      <c r="A338" s="52" t="inlineStr">
        <is>
          <t>GN-132</t>
        </is>
      </c>
      <c r="B338" s="53" t="inlineStr">
        <is>
          <t>デルフォニックス</t>
        </is>
      </c>
      <c r="C338" s="54" t="inlineStr">
        <is>
          <t>一般事業者</t>
        </is>
      </c>
      <c r="D338" s="55" t="inlineStr">
        <is>
          <t>東京都目黒区八雲３－２３－２０</t>
        </is>
      </c>
      <c r="E338" s="56" t="inlineStr">
        <is>
          <t>月・金</t>
        </is>
      </c>
      <c r="F338" s="55" t="inlineStr">
        <is>
          <t>中條・千葉</t>
        </is>
      </c>
      <c r="G338" s="55" t="inlineStr">
        <is>
          <t>段ボール・産廃</t>
        </is>
      </c>
      <c r="H338" s="57" t="n">
        <v>15</v>
      </c>
      <c r="I338" s="58">
        <f>ROUND(H338*4.33,0)</f>
        <v/>
      </c>
      <c r="J338" s="43" t="n">
        <v>0</v>
      </c>
      <c r="K338" s="44">
        <f>IF(J338&gt;0,I338*J338,"")</f>
        <v/>
      </c>
    </row>
    <row r="339" ht="18" customHeight="1">
      <c r="A339" s="52" t="inlineStr">
        <is>
          <t>GN-133</t>
        </is>
      </c>
      <c r="B339" s="53" t="inlineStr">
        <is>
          <t>トレインチ自由が丘　共有部</t>
        </is>
      </c>
      <c r="C339" s="54" t="inlineStr">
        <is>
          <t>一般事業者</t>
        </is>
      </c>
      <c r="D339" s="55" t="inlineStr">
        <is>
          <t>東京都世田谷区奥沢５－４２－３　トレインチ自由が丘</t>
        </is>
      </c>
      <c r="E339" s="56" t="inlineStr">
        <is>
          <t>・土・日・月・木・水・火・金</t>
        </is>
      </c>
      <c r="F339" s="55" t="inlineStr">
        <is>
          <t>中條・千葉・藤内</t>
        </is>
      </c>
      <c r="G339" s="55" t="inlineStr">
        <is>
          <t>一般廃・段ボール・産廃</t>
        </is>
      </c>
      <c r="H339" s="57" t="n">
        <v>206</v>
      </c>
      <c r="I339" s="58">
        <f>ROUND(H339*4.33,0)</f>
        <v/>
      </c>
      <c r="J339" s="43" t="n">
        <v>0</v>
      </c>
      <c r="K339" s="44">
        <f>IF(J339&gt;0,I339*J339,"")</f>
        <v/>
      </c>
    </row>
    <row r="340" ht="18" customHeight="1">
      <c r="A340" s="52" t="inlineStr">
        <is>
          <t>GN-134</t>
        </is>
      </c>
      <c r="B340" s="53" t="inlineStr">
        <is>
          <t>トレビ</t>
        </is>
      </c>
      <c r="C340" s="54" t="inlineStr">
        <is>
          <t>一般事業者</t>
        </is>
      </c>
      <c r="D340" s="55" t="inlineStr">
        <is>
          <t>東京都大田区石川町１－１６－１</t>
        </is>
      </c>
      <c r="E340" s="56" t="inlineStr">
        <is>
          <t>土・木・火・金</t>
        </is>
      </c>
      <c r="F340" s="55" t="inlineStr">
        <is>
          <t>白・鈴木</t>
        </is>
      </c>
      <c r="G340" s="55" t="inlineStr">
        <is>
          <t>一般廃・不燃物</t>
        </is>
      </c>
      <c r="H340" s="57" t="n">
        <v>1438</v>
      </c>
      <c r="I340" s="58">
        <f>ROUND(H340*4.33,0)</f>
        <v/>
      </c>
      <c r="J340" s="43" t="n">
        <v>0</v>
      </c>
      <c r="K340" s="44">
        <f>IF(J340&gt;0,I340*J340,"")</f>
        <v/>
      </c>
    </row>
    <row r="341" ht="18" customHeight="1">
      <c r="A341" s="52" t="inlineStr">
        <is>
          <t>GN-135</t>
        </is>
      </c>
      <c r="B341" s="53" t="inlineStr">
        <is>
          <t>ドコモショップサテライト　エトモ鵜の木</t>
        </is>
      </c>
      <c r="C341" s="54" t="inlineStr">
        <is>
          <t>一般事業者</t>
        </is>
      </c>
      <c r="D341" s="55" t="inlineStr">
        <is>
          <t>東京都大田区鵜の木２－４－１　エトモ鵜の木</t>
        </is>
      </c>
      <c r="E341" s="56" t="inlineStr">
        <is>
          <t>火</t>
        </is>
      </c>
      <c r="F341" s="55" t="inlineStr">
        <is>
          <t>千葉</t>
        </is>
      </c>
      <c r="G341" s="55" t="inlineStr">
        <is>
          <t>産廃</t>
        </is>
      </c>
      <c r="H341" s="57" t="n">
        <v>0</v>
      </c>
      <c r="I341" s="58" t="n">
        <v>0</v>
      </c>
      <c r="J341" s="43" t="n">
        <v>0</v>
      </c>
      <c r="K341" s="44">
        <f>IF(J341&gt;0,I341*J341,"")</f>
        <v/>
      </c>
    </row>
    <row r="342" ht="18" customHeight="1">
      <c r="A342" s="52" t="inlineStr">
        <is>
          <t>GN-136</t>
        </is>
      </c>
      <c r="B342" s="53" t="inlineStr">
        <is>
          <t>ドトールコーヒー雪谷大塚店</t>
        </is>
      </c>
      <c r="C342" s="54" t="inlineStr">
        <is>
          <t>一般事業者</t>
        </is>
      </c>
      <c r="D342" s="55" t="inlineStr">
        <is>
          <t>東京都大田区南雪谷２－２－１６</t>
        </is>
      </c>
      <c r="E342" s="56" t="inlineStr">
        <is>
          <t>・月・木・火</t>
        </is>
      </c>
      <c r="F342" s="55" t="inlineStr">
        <is>
          <t>中條・千葉</t>
        </is>
      </c>
      <c r="G342" s="55" t="inlineStr">
        <is>
          <t>段ボール・産廃</t>
        </is>
      </c>
      <c r="H342" s="57" t="n">
        <v>45</v>
      </c>
      <c r="I342" s="58">
        <f>ROUND(H342*4.33,0)</f>
        <v/>
      </c>
      <c r="J342" s="43" t="n">
        <v>0</v>
      </c>
      <c r="K342" s="44">
        <f>IF(J342&gt;0,I342*J342,"")</f>
        <v/>
      </c>
    </row>
    <row r="343" ht="18" customHeight="1">
      <c r="A343" s="52" t="inlineStr">
        <is>
          <t>GN-137</t>
        </is>
      </c>
      <c r="B343" s="53" t="inlineStr">
        <is>
          <t>ドトール珈琲農園</t>
        </is>
      </c>
      <c r="C343" s="54" t="inlineStr">
        <is>
          <t>一般事業者</t>
        </is>
      </c>
      <c r="D343" s="55" t="inlineStr">
        <is>
          <t>東京都目黒区鷹番３－６－１第一ストアビル２F</t>
        </is>
      </c>
      <c r="E343" s="56" t="inlineStr">
        <is>
          <t>土・月・木・水・火・金</t>
        </is>
      </c>
      <c r="F343" s="55" t="inlineStr">
        <is>
          <t>千葉・長谷川</t>
        </is>
      </c>
      <c r="G343" s="55" t="inlineStr">
        <is>
          <t>一般廃・産廃</t>
        </is>
      </c>
      <c r="H343" s="57" t="n">
        <v>360</v>
      </c>
      <c r="I343" s="58">
        <f>ROUND(H343*4.33,0)</f>
        <v/>
      </c>
      <c r="J343" s="43" t="n">
        <v>0</v>
      </c>
      <c r="K343" s="44">
        <f>IF(J343&gt;0,I343*J343,"")</f>
        <v/>
      </c>
    </row>
    <row r="344" ht="18" customHeight="1">
      <c r="A344" s="52" t="inlineStr">
        <is>
          <t>GN-138</t>
        </is>
      </c>
      <c r="B344" s="53" t="inlineStr">
        <is>
          <t>ドリッピン　チュロス</t>
        </is>
      </c>
      <c r="C344" s="54" t="inlineStr">
        <is>
          <t>一般事業者</t>
        </is>
      </c>
      <c r="D344" s="55" t="inlineStr">
        <is>
          <t>東京都世田谷区奥沢５－４２－３　トレインチ自由が丘１F</t>
        </is>
      </c>
      <c r="E344" s="56" t="inlineStr">
        <is>
          <t>・日・木・火</t>
        </is>
      </c>
      <c r="F344" s="55" t="inlineStr">
        <is>
          <t>中條・千葉</t>
        </is>
      </c>
      <c r="G344" s="55" t="inlineStr">
        <is>
          <t>一般廃・産廃</t>
        </is>
      </c>
      <c r="H344" s="57" t="n">
        <v>14</v>
      </c>
      <c r="I344" s="58">
        <f>ROUND(H344*4.33,0)</f>
        <v/>
      </c>
      <c r="J344" s="43" t="n">
        <v>0</v>
      </c>
      <c r="K344" s="44">
        <f>IF(J344&gt;0,I344*J344,"")</f>
        <v/>
      </c>
    </row>
    <row r="345" ht="18" customHeight="1">
      <c r="A345" s="52" t="inlineStr">
        <is>
          <t>GN-139</t>
        </is>
      </c>
      <c r="B345" s="53" t="inlineStr">
        <is>
          <t>ハッピーワールド本社</t>
        </is>
      </c>
      <c r="C345" s="54" t="inlineStr">
        <is>
          <t>一般事業者</t>
        </is>
      </c>
      <c r="D345" s="55" t="inlineStr">
        <is>
          <t>東京都渋谷区神宮前６－１９－１４ハッピービル</t>
        </is>
      </c>
      <c r="E345" s="56" t="inlineStr">
        <is>
          <t>土・月・木・水・火・金</t>
        </is>
      </c>
      <c r="F345" s="55" t="inlineStr">
        <is>
          <t>和田・荻野・長谷川・長野</t>
        </is>
      </c>
      <c r="G345" s="55" t="inlineStr">
        <is>
          <t>一般廃・段ボール・産廃</t>
        </is>
      </c>
      <c r="H345" s="57" t="n">
        <v>105</v>
      </c>
      <c r="I345" s="58">
        <f>ROUND(H345*4.33,0)</f>
        <v/>
      </c>
      <c r="J345" s="43" t="n">
        <v>0</v>
      </c>
      <c r="K345" s="44">
        <f>IF(J345&gt;0,I345*J345,"")</f>
        <v/>
      </c>
    </row>
    <row r="346" ht="18" customHeight="1">
      <c r="A346" s="52" t="inlineStr">
        <is>
          <t>GN-140</t>
        </is>
      </c>
      <c r="B346" s="53" t="inlineStr">
        <is>
          <t>バガブー</t>
        </is>
      </c>
      <c r="C346" s="54" t="inlineStr">
        <is>
          <t>一般事業者</t>
        </is>
      </c>
      <c r="D346" s="55" t="inlineStr">
        <is>
          <t>東京都世田谷区奥沢５－４２－３　トレインチ自由が丘２F</t>
        </is>
      </c>
      <c r="E346" s="56" t="inlineStr">
        <is>
          <t>・木・火</t>
        </is>
      </c>
      <c r="F346" s="55" t="inlineStr">
        <is>
          <t>千葉</t>
        </is>
      </c>
      <c r="G346" s="55" t="inlineStr">
        <is>
          <t>産廃</t>
        </is>
      </c>
      <c r="H346" s="57" t="n">
        <v>0</v>
      </c>
      <c r="I346" s="58" t="n">
        <v>0</v>
      </c>
      <c r="J346" s="43" t="n">
        <v>0</v>
      </c>
      <c r="K346" s="44">
        <f>IF(J346&gt;0,I346*J346,"")</f>
        <v/>
      </c>
    </row>
    <row r="347" ht="18" customHeight="1">
      <c r="A347" s="52" t="inlineStr">
        <is>
          <t>GN-141</t>
        </is>
      </c>
      <c r="B347" s="53" t="inlineStr">
        <is>
          <t>パシオス　西小山店</t>
        </is>
      </c>
      <c r="C347" s="54" t="inlineStr">
        <is>
          <t>一般事業者</t>
        </is>
      </c>
      <c r="D347" s="55" t="inlineStr">
        <is>
          <t>東京都品川区小山５－２１－７西小山第二駅ビル</t>
        </is>
      </c>
      <c r="E347" s="56" t="inlineStr">
        <is>
          <t>土・木・火</t>
        </is>
      </c>
      <c r="F347" s="55" t="inlineStr">
        <is>
          <t>千葉・白</t>
        </is>
      </c>
      <c r="G347" s="55" t="inlineStr">
        <is>
          <t>一般廃・産廃</t>
        </is>
      </c>
      <c r="H347" s="57" t="n">
        <v>50</v>
      </c>
      <c r="I347" s="58">
        <f>ROUND(H347*4.33,0)</f>
        <v/>
      </c>
      <c r="J347" s="43" t="n">
        <v>0</v>
      </c>
      <c r="K347" s="44">
        <f>IF(J347&gt;0,I347*J347,"")</f>
        <v/>
      </c>
    </row>
    <row r="348" ht="18" customHeight="1">
      <c r="A348" s="52" t="inlineStr">
        <is>
          <t>GN-142</t>
        </is>
      </c>
      <c r="B348" s="53" t="inlineStr">
        <is>
          <t>パンの田島</t>
        </is>
      </c>
      <c r="C348" s="54" t="inlineStr">
        <is>
          <t>一般事業者</t>
        </is>
      </c>
      <c r="D348" s="55" t="inlineStr">
        <is>
          <t>東京都目黒区鷹番３－６－１第一ストアビル１F</t>
        </is>
      </c>
      <c r="E348" s="56" t="inlineStr">
        <is>
          <t>土・月・木・水・火・金</t>
        </is>
      </c>
      <c r="F348" s="55" t="inlineStr">
        <is>
          <t>千葉・長谷川</t>
        </is>
      </c>
      <c r="G348" s="55" t="inlineStr">
        <is>
          <t>一般廃・産廃</t>
        </is>
      </c>
      <c r="H348" s="57" t="n">
        <v>184</v>
      </c>
      <c r="I348" s="58">
        <f>ROUND(H348*4.33,0)</f>
        <v/>
      </c>
      <c r="J348" s="43" t="n">
        <v>0</v>
      </c>
      <c r="K348" s="44">
        <f>IF(J348&gt;0,I348*J348,"")</f>
        <v/>
      </c>
    </row>
    <row r="349" ht="18" customHeight="1">
      <c r="A349" s="52" t="inlineStr">
        <is>
          <t>GN-143</t>
        </is>
      </c>
      <c r="B349" s="53" t="inlineStr">
        <is>
          <t>パーラー奥村</t>
        </is>
      </c>
      <c r="C349" s="54" t="inlineStr">
        <is>
          <t>一般事業者</t>
        </is>
      </c>
      <c r="D349" s="55" t="inlineStr">
        <is>
          <t>東京都目黒区鷹番３－４－２５　学大小路１４－１２</t>
        </is>
      </c>
      <c r="E349" s="56" t="inlineStr">
        <is>
          <t>・土・日・月・木・水・火・金</t>
        </is>
      </c>
      <c r="F349" s="55" t="inlineStr">
        <is>
          <t>中條・千葉・長谷川</t>
        </is>
      </c>
      <c r="G349" s="55" t="inlineStr">
        <is>
          <t>一般廃・産廃</t>
        </is>
      </c>
      <c r="H349" s="57" t="n">
        <v>48</v>
      </c>
      <c r="I349" s="58">
        <f>ROUND(H349*4.33,0)</f>
        <v/>
      </c>
      <c r="J349" s="43" t="n">
        <v>0</v>
      </c>
      <c r="K349" s="44">
        <f>IF(J349&gt;0,I349*J349,"")</f>
        <v/>
      </c>
    </row>
    <row r="350" ht="18" customHeight="1">
      <c r="A350" s="52" t="inlineStr">
        <is>
          <t>GN-144</t>
        </is>
      </c>
      <c r="B350" s="53" t="inlineStr">
        <is>
          <t>ピッツェリアエイト　中目黒店</t>
        </is>
      </c>
      <c r="C350" s="54" t="inlineStr">
        <is>
          <t>一般事業者</t>
        </is>
      </c>
      <c r="D350" s="55" t="inlineStr">
        <is>
          <t>東京都目黒区上目黒１－２２－１２B-5a</t>
        </is>
      </c>
      <c r="E350" s="56" t="inlineStr">
        <is>
          <t>土・日・月・木・水・火・金</t>
        </is>
      </c>
      <c r="F350" s="55" t="inlineStr">
        <is>
          <t>中條・千葉・長谷川・長野</t>
        </is>
      </c>
      <c r="G350" s="55" t="inlineStr">
        <is>
          <t>一般廃・産廃</t>
        </is>
      </c>
      <c r="H350" s="57" t="n">
        <v>388</v>
      </c>
      <c r="I350" s="58">
        <f>ROUND(H350*4.33,0)</f>
        <v/>
      </c>
      <c r="J350" s="43" t="n">
        <v>0</v>
      </c>
      <c r="K350" s="44">
        <f>IF(J350&gt;0,I350*J350,"")</f>
        <v/>
      </c>
    </row>
    <row r="351" ht="18" customHeight="1">
      <c r="A351" s="52" t="inlineStr">
        <is>
          <t>GN-145</t>
        </is>
      </c>
      <c r="B351" s="53" t="inlineStr">
        <is>
          <t>ファットバー</t>
        </is>
      </c>
      <c r="C351" s="54" t="inlineStr">
        <is>
          <t>一般事業者</t>
        </is>
      </c>
      <c r="D351" s="55" t="inlineStr">
        <is>
          <t>東京都品川区西五反田１－１２－１</t>
        </is>
      </c>
      <c r="E351" s="56" t="inlineStr">
        <is>
          <t>月・水・火・金</t>
        </is>
      </c>
      <c r="F351" s="55" t="inlineStr">
        <is>
          <t>中條・千葉</t>
        </is>
      </c>
      <c r="G351" s="55" t="inlineStr">
        <is>
          <t>瓶缶・産廃</t>
        </is>
      </c>
      <c r="H351" s="57" t="n">
        <v>0</v>
      </c>
      <c r="I351" s="58" t="n">
        <v>0</v>
      </c>
      <c r="J351" s="43" t="n">
        <v>0</v>
      </c>
      <c r="K351" s="44">
        <f>IF(J351&gt;0,I351*J351,"")</f>
        <v/>
      </c>
    </row>
    <row r="352" ht="18" customHeight="1">
      <c r="A352" s="52" t="inlineStr">
        <is>
          <t>GN-146</t>
        </is>
      </c>
      <c r="B352" s="53" t="inlineStr">
        <is>
          <t>ファブリック</t>
        </is>
      </c>
      <c r="C352" s="54" t="inlineStr">
        <is>
          <t>一般事業者</t>
        </is>
      </c>
      <c r="D352" s="55" t="inlineStr">
        <is>
          <t>東京都目黒区上目黒３－４３－１２　J4</t>
        </is>
      </c>
      <c r="E352" s="56" t="inlineStr">
        <is>
          <t>土・月・木・水・火・金</t>
        </is>
      </c>
      <c r="F352" s="55" t="inlineStr">
        <is>
          <t>千葉・長谷川</t>
        </is>
      </c>
      <c r="G352" s="55" t="inlineStr">
        <is>
          <t>一般廃・産廃</t>
        </is>
      </c>
      <c r="H352" s="57" t="n">
        <v>11</v>
      </c>
      <c r="I352" s="58">
        <f>ROUND(H352*4.33,0)</f>
        <v/>
      </c>
      <c r="J352" s="43" t="n">
        <v>0</v>
      </c>
      <c r="K352" s="44">
        <f>IF(J352&gt;0,I352*J352,"")</f>
        <v/>
      </c>
    </row>
    <row r="353" ht="18" customHeight="1">
      <c r="A353" s="52" t="inlineStr">
        <is>
          <t>GN-147</t>
        </is>
      </c>
      <c r="B353" s="53" t="inlineStr">
        <is>
          <t>ファミリーマート西新宿5丁目</t>
        </is>
      </c>
      <c r="C353" s="54" t="inlineStr">
        <is>
          <t>一般事業者</t>
        </is>
      </c>
      <c r="D353" s="55" t="inlineStr">
        <is>
          <t>東京都新宿区西新宿５－１０－１４　小野木ビル１F</t>
        </is>
      </c>
      <c r="E353" s="56" t="inlineStr">
        <is>
          <t>土・木・火</t>
        </is>
      </c>
      <c r="F353" s="55" t="inlineStr">
        <is>
          <t>大迫</t>
        </is>
      </c>
      <c r="G353" s="55" t="inlineStr">
        <is>
          <t>一般廃</t>
        </is>
      </c>
      <c r="H353" s="57" t="n">
        <v>70</v>
      </c>
      <c r="I353" s="58">
        <f>ROUND(H353*4.33,0)</f>
        <v/>
      </c>
      <c r="J353" s="43" t="n">
        <v>0</v>
      </c>
      <c r="K353" s="44">
        <f>IF(J353&gt;0,I353*J353,"")</f>
        <v/>
      </c>
    </row>
    <row r="354" ht="18" customHeight="1">
      <c r="A354" s="52" t="inlineStr">
        <is>
          <t>GN-148</t>
        </is>
      </c>
      <c r="B354" s="53" t="inlineStr">
        <is>
          <t>ファミリーマート西新宿５丁目店</t>
        </is>
      </c>
      <c r="C354" s="54" t="inlineStr">
        <is>
          <t>一般事業者</t>
        </is>
      </c>
      <c r="D354" s="55" t="inlineStr">
        <is>
          <t>東京都新宿区西新宿５－１０－１４小野木ビル１F</t>
        </is>
      </c>
      <c r="E354" s="56" t="inlineStr">
        <is>
          <t>月・水・金</t>
        </is>
      </c>
      <c r="F354" s="55" t="inlineStr">
        <is>
          <t>長谷川・長野</t>
        </is>
      </c>
      <c r="G354" s="55" t="inlineStr">
        <is>
          <t>一般廃・産廃</t>
        </is>
      </c>
      <c r="H354" s="57" t="n">
        <v>70</v>
      </c>
      <c r="I354" s="58">
        <f>ROUND(H354*4.33,0)</f>
        <v/>
      </c>
      <c r="J354" s="43" t="n">
        <v>0</v>
      </c>
      <c r="K354" s="44">
        <f>IF(J354&gt;0,I354*J354,"")</f>
        <v/>
      </c>
    </row>
    <row r="355" ht="18" customHeight="1">
      <c r="A355" s="52" t="inlineStr">
        <is>
          <t>GN-149</t>
        </is>
      </c>
      <c r="B355" s="53" t="inlineStr">
        <is>
          <t>フラマンドール　田園調布店</t>
        </is>
      </c>
      <c r="C355" s="54" t="inlineStr">
        <is>
          <t>一般事業者</t>
        </is>
      </c>
      <c r="D355" s="55" t="inlineStr">
        <is>
          <t>東京都大田区田園調布３－２５－１８</t>
        </is>
      </c>
      <c r="E355" s="56" t="inlineStr">
        <is>
          <t>・木・火</t>
        </is>
      </c>
      <c r="F355" s="55" t="inlineStr">
        <is>
          <t>千葉・長野</t>
        </is>
      </c>
      <c r="G355" s="55" t="inlineStr">
        <is>
          <t>産廃</t>
        </is>
      </c>
      <c r="H355" s="57" t="n">
        <v>240</v>
      </c>
      <c r="I355" s="58">
        <f>ROUND(H355*4.33,0)</f>
        <v/>
      </c>
      <c r="J355" s="43" t="n">
        <v>0</v>
      </c>
      <c r="K355" s="44">
        <f>IF(J355&gt;0,I355*J355,"")</f>
        <v/>
      </c>
    </row>
    <row r="356" ht="18" customHeight="1">
      <c r="A356" s="52" t="inlineStr">
        <is>
          <t>GN-150</t>
        </is>
      </c>
      <c r="B356" s="53" t="inlineStr">
        <is>
          <t>フランマンドール下高井戸店</t>
        </is>
      </c>
      <c r="C356" s="54" t="inlineStr">
        <is>
          <t>一般事業者</t>
        </is>
      </c>
      <c r="D356" s="55" t="inlineStr">
        <is>
          <t>東京都世田谷区松原３－２９－１７</t>
        </is>
      </c>
      <c r="E356" s="56" t="inlineStr">
        <is>
          <t>土・木・火</t>
        </is>
      </c>
      <c r="F356" s="55" t="inlineStr">
        <is>
          <t>和田・荻野・長谷川・長野</t>
        </is>
      </c>
      <c r="G356" s="55" t="inlineStr">
        <is>
          <t>一般廃・段ボール・産廃</t>
        </is>
      </c>
      <c r="H356" s="57" t="n">
        <v>330</v>
      </c>
      <c r="I356" s="58">
        <f>ROUND(H356*4.33,0)</f>
        <v/>
      </c>
      <c r="J356" s="43" t="n">
        <v>0</v>
      </c>
      <c r="K356" s="44">
        <f>IF(J356&gt;0,I356*J356,"")</f>
        <v/>
      </c>
    </row>
    <row r="357" ht="18" customHeight="1">
      <c r="A357" s="52" t="inlineStr">
        <is>
          <t>GN-151</t>
        </is>
      </c>
      <c r="B357" s="53" t="inlineStr">
        <is>
          <t>フードトラックカンパニー</t>
        </is>
      </c>
      <c r="C357" s="54" t="inlineStr">
        <is>
          <t>一般事業者</t>
        </is>
      </c>
      <c r="D357" s="55" t="inlineStr">
        <is>
          <t>東京都目黒区上目黒３－４３－１６　L敷地</t>
        </is>
      </c>
      <c r="E357" s="56" t="inlineStr">
        <is>
          <t>土・月・木・水・火・金</t>
        </is>
      </c>
      <c r="F357" s="55" t="inlineStr">
        <is>
          <t>千葉・長谷川</t>
        </is>
      </c>
      <c r="G357" s="55" t="inlineStr">
        <is>
          <t>一般廃・産廃</t>
        </is>
      </c>
      <c r="H357" s="57" t="n">
        <v>1</v>
      </c>
      <c r="I357" s="58">
        <f>ROUND(H357*4.33,0)</f>
        <v/>
      </c>
      <c r="J357" s="43" t="n">
        <v>0</v>
      </c>
      <c r="K357" s="44">
        <f>IF(J357&gt;0,I357*J357,"")</f>
        <v/>
      </c>
    </row>
    <row r="358" ht="18" customHeight="1">
      <c r="A358" s="52" t="inlineStr">
        <is>
          <t>GN-152</t>
        </is>
      </c>
      <c r="B358" s="53" t="inlineStr">
        <is>
          <t>ブランジェ浅野屋　自由が丘店</t>
        </is>
      </c>
      <c r="C358" s="54" t="inlineStr">
        <is>
          <t>一般事業者</t>
        </is>
      </c>
      <c r="D358" s="55" t="inlineStr">
        <is>
          <t>東京都目黒区自由が丘２－１３－１　トレインチ自由が丘　D101 201</t>
        </is>
      </c>
      <c r="E358" s="56" t="inlineStr">
        <is>
          <t>・日・木・火</t>
        </is>
      </c>
      <c r="F358" s="55" t="inlineStr">
        <is>
          <t>中條・千葉</t>
        </is>
      </c>
      <c r="G358" s="55" t="inlineStr">
        <is>
          <t>一般廃・産廃</t>
        </is>
      </c>
      <c r="H358" s="57" t="n">
        <v>206</v>
      </c>
      <c r="I358" s="58">
        <f>ROUND(H358*4.33,0)</f>
        <v/>
      </c>
      <c r="J358" s="43" t="n">
        <v>0</v>
      </c>
      <c r="K358" s="44">
        <f>IF(J358&gt;0,I358*J358,"")</f>
        <v/>
      </c>
    </row>
    <row r="359" ht="18" customHeight="1">
      <c r="A359" s="52" t="inlineStr">
        <is>
          <t>GN-153</t>
        </is>
      </c>
      <c r="B359" s="53" t="inlineStr">
        <is>
          <t>ホルモサ</t>
        </is>
      </c>
      <c r="C359" s="54" t="inlineStr">
        <is>
          <t>一般事業者</t>
        </is>
      </c>
      <c r="D359" s="55" t="inlineStr">
        <is>
          <t>東京都目黒区鷹番２－２１－１９　１０１－A1</t>
        </is>
      </c>
      <c r="E359" s="56" t="inlineStr">
        <is>
          <t>土・月・木・水・火・金</t>
        </is>
      </c>
      <c r="F359" s="55" t="inlineStr">
        <is>
          <t>中條・千葉・長谷川</t>
        </is>
      </c>
      <c r="G359" s="55" t="inlineStr">
        <is>
          <t>一般廃・瓶缶・産廃</t>
        </is>
      </c>
      <c r="H359" s="57" t="n">
        <v>13</v>
      </c>
      <c r="I359" s="58">
        <f>ROUND(H359*4.33,0)</f>
        <v/>
      </c>
      <c r="J359" s="43" t="n">
        <v>0</v>
      </c>
      <c r="K359" s="44">
        <f>IF(J359&gt;0,I359*J359,"")</f>
        <v/>
      </c>
    </row>
    <row r="360" ht="18" customHeight="1">
      <c r="A360" s="52" t="inlineStr">
        <is>
          <t>GN-154</t>
        </is>
      </c>
      <c r="B360" s="53" t="inlineStr">
        <is>
          <t>マツモトキヨシ　目黒店</t>
        </is>
      </c>
      <c r="C360" s="54" t="inlineStr">
        <is>
          <t>一般事業者</t>
        </is>
      </c>
      <c r="D360" s="55" t="inlineStr">
        <is>
          <t>東京都品川区上大崎４－２－１</t>
        </is>
      </c>
      <c r="E360" s="56" t="inlineStr">
        <is>
          <t>水・金</t>
        </is>
      </c>
      <c r="F360" s="55" t="inlineStr">
        <is>
          <t>中條・千葉</t>
        </is>
      </c>
      <c r="G360" s="55" t="inlineStr">
        <is>
          <t>瓶缶・産廃</t>
        </is>
      </c>
      <c r="H360" s="57" t="n">
        <v>6</v>
      </c>
      <c r="I360" s="58">
        <f>ROUND(H360*4.33,0)</f>
        <v/>
      </c>
      <c r="J360" s="43" t="n">
        <v>0</v>
      </c>
      <c r="K360" s="44">
        <f>IF(J360&gt;0,I360*J360,"")</f>
        <v/>
      </c>
    </row>
    <row r="361" ht="18" customHeight="1">
      <c r="A361" s="52" t="inlineStr">
        <is>
          <t>GN-155</t>
        </is>
      </c>
      <c r="B361" s="53" t="inlineStr">
        <is>
          <t>マツモトキヨシ　荏原町駅前店</t>
        </is>
      </c>
      <c r="C361" s="54" t="inlineStr">
        <is>
          <t>一般事業者</t>
        </is>
      </c>
      <c r="D361" s="55" t="inlineStr">
        <is>
          <t>東京都品川区中延５－２－１</t>
        </is>
      </c>
      <c r="E361" s="56" t="inlineStr">
        <is>
          <t>月・木・金</t>
        </is>
      </c>
      <c r="F361" s="55" t="inlineStr">
        <is>
          <t>中條</t>
        </is>
      </c>
      <c r="G361" s="55" t="inlineStr">
        <is>
          <t>段ボール・瓶缶・資源</t>
        </is>
      </c>
      <c r="H361" s="57" t="n">
        <v>90</v>
      </c>
      <c r="I361" s="58">
        <f>ROUND(H361*4.33,0)</f>
        <v/>
      </c>
      <c r="J361" s="43" t="n">
        <v>0</v>
      </c>
      <c r="K361" s="44">
        <f>IF(J361&gt;0,I361*J361,"")</f>
        <v/>
      </c>
    </row>
    <row r="362" ht="18" customHeight="1">
      <c r="A362" s="52" t="inlineStr">
        <is>
          <t>GN-156</t>
        </is>
      </c>
      <c r="B362" s="53" t="inlineStr">
        <is>
          <t>マロリーポークステーキ中目黒店</t>
        </is>
      </c>
      <c r="C362" s="54" t="inlineStr">
        <is>
          <t>一般事業者</t>
        </is>
      </c>
      <c r="D362" s="55" t="inlineStr">
        <is>
          <t>東京都目黒区上目黒３－５－２　０H－１</t>
        </is>
      </c>
      <c r="E362" s="56" t="inlineStr">
        <is>
          <t>・土・月・木・水・火・金</t>
        </is>
      </c>
      <c r="F362" s="55" t="inlineStr">
        <is>
          <t>千葉・長谷川</t>
        </is>
      </c>
      <c r="G362" s="55" t="inlineStr">
        <is>
          <t>一般廃・産廃</t>
        </is>
      </c>
      <c r="H362" s="57" t="n">
        <v>274</v>
      </c>
      <c r="I362" s="58">
        <f>ROUND(H362*4.33,0)</f>
        <v/>
      </c>
      <c r="J362" s="43" t="n">
        <v>0</v>
      </c>
      <c r="K362" s="44">
        <f>IF(J362&gt;0,I362*J362,"")</f>
        <v/>
      </c>
    </row>
    <row r="363" ht="18" customHeight="1">
      <c r="A363" s="52" t="inlineStr">
        <is>
          <t>GN-157</t>
        </is>
      </c>
      <c r="B363" s="53" t="inlineStr">
        <is>
          <t>ミスターミニット　用賀店</t>
        </is>
      </c>
      <c r="C363" s="54" t="inlineStr">
        <is>
          <t>一般事業者</t>
        </is>
      </c>
      <c r="D363" s="55" t="inlineStr">
        <is>
          <t>東京都世田谷区用賀２－３９</t>
        </is>
      </c>
      <c r="E363" s="56" t="inlineStr">
        <is>
          <t>木</t>
        </is>
      </c>
      <c r="F363" s="55" t="inlineStr">
        <is>
          <t>長野</t>
        </is>
      </c>
      <c r="G363" s="55" t="inlineStr">
        <is>
          <t>産廃</t>
        </is>
      </c>
      <c r="H363" s="57" t="n">
        <v>10</v>
      </c>
      <c r="I363" s="58">
        <f>ROUND(H363*4.33,0)</f>
        <v/>
      </c>
      <c r="J363" s="43" t="n">
        <v>0</v>
      </c>
      <c r="K363" s="44">
        <f>IF(J363&gt;0,I363*J363,"")</f>
        <v/>
      </c>
    </row>
    <row r="364" ht="18" customHeight="1">
      <c r="A364" s="52" t="inlineStr">
        <is>
          <t>GN-158</t>
        </is>
      </c>
      <c r="B364" s="53" t="inlineStr">
        <is>
          <t>ミスターミニット　蒲田駅店</t>
        </is>
      </c>
      <c r="C364" s="54" t="inlineStr">
        <is>
          <t>一般事業者</t>
        </is>
      </c>
      <c r="D364" s="55" t="inlineStr">
        <is>
          <t>東京都大田区西蒲田７－６９－１</t>
        </is>
      </c>
      <c r="E364" s="56" t="inlineStr">
        <is>
          <t>水</t>
        </is>
      </c>
      <c r="F364" s="55" t="inlineStr">
        <is>
          <t>千葉</t>
        </is>
      </c>
      <c r="G364" s="55" t="inlineStr">
        <is>
          <t>産廃</t>
        </is>
      </c>
      <c r="H364" s="57" t="n">
        <v>40</v>
      </c>
      <c r="I364" s="58">
        <f>ROUND(H364*4.33,0)</f>
        <v/>
      </c>
      <c r="J364" s="43" t="n">
        <v>0</v>
      </c>
      <c r="K364" s="44">
        <f>IF(J364&gt;0,I364*J364,"")</f>
        <v/>
      </c>
    </row>
    <row r="365" ht="18" customHeight="1">
      <c r="A365" s="52" t="inlineStr">
        <is>
          <t>GN-159</t>
        </is>
      </c>
      <c r="B365" s="53" t="inlineStr">
        <is>
          <t>ミスターワッフル　旗の台エキナカ店</t>
        </is>
      </c>
      <c r="C365" s="54" t="inlineStr">
        <is>
          <t>一般事業者</t>
        </is>
      </c>
      <c r="D365" s="55" t="inlineStr">
        <is>
          <t>東京都品川区旗の台２－１３－１</t>
        </is>
      </c>
      <c r="E365" s="56" t="inlineStr">
        <is>
          <t>木・金</t>
        </is>
      </c>
      <c r="F365" s="55" t="inlineStr">
        <is>
          <t>中條</t>
        </is>
      </c>
      <c r="G365" s="55" t="inlineStr">
        <is>
          <t>段ボール・瓶缶</t>
        </is>
      </c>
      <c r="H365" s="57" t="n">
        <v>25</v>
      </c>
      <c r="I365" s="58">
        <f>ROUND(H365*4.33,0)</f>
        <v/>
      </c>
      <c r="J365" s="43" t="n">
        <v>0</v>
      </c>
      <c r="K365" s="44">
        <f>IF(J365&gt;0,I365*J365,"")</f>
        <v/>
      </c>
    </row>
    <row r="366" ht="18" customHeight="1">
      <c r="A366" s="52" t="inlineStr">
        <is>
          <t>GN-160</t>
        </is>
      </c>
      <c r="B366" s="53" t="inlineStr">
        <is>
          <t>メガネスーパーコンタクト五反田エキナカ店</t>
        </is>
      </c>
      <c r="C366" s="54" t="inlineStr">
        <is>
          <t>一般事業者</t>
        </is>
      </c>
      <c r="D366" s="55" t="inlineStr">
        <is>
          <t>東京都品川区東五反田２－１－１</t>
        </is>
      </c>
      <c r="E366" s="56" t="inlineStr">
        <is>
          <t>木・火</t>
        </is>
      </c>
      <c r="F366" s="55" t="inlineStr">
        <is>
          <t>中條</t>
        </is>
      </c>
      <c r="G366" s="55" t="inlineStr">
        <is>
          <t>瓶缶・資源</t>
        </is>
      </c>
      <c r="H366" s="57" t="n">
        <v>5</v>
      </c>
      <c r="I366" s="58">
        <f>ROUND(H366*4.33,0)</f>
        <v/>
      </c>
      <c r="J366" s="43" t="n">
        <v>0</v>
      </c>
      <c r="K366" s="44">
        <f>IF(J366&gt;0,I366*J366,"")</f>
        <v/>
      </c>
    </row>
    <row r="367" ht="18" customHeight="1">
      <c r="A367" s="52" t="inlineStr">
        <is>
          <t>GN-161</t>
        </is>
      </c>
      <c r="B367" s="53" t="inlineStr">
        <is>
          <t>モヒロヒーコーヒー</t>
        </is>
      </c>
      <c r="C367" s="54" t="inlineStr">
        <is>
          <t>一般事業者</t>
        </is>
      </c>
      <c r="D367" s="55" t="inlineStr">
        <is>
          <t>東京都目黒区碑文谷６－６－４　GAKUDAI COLLECTIV A-2</t>
        </is>
      </c>
      <c r="E367" s="56" t="inlineStr">
        <is>
          <t>土・月・木・水・火・金</t>
        </is>
      </c>
      <c r="F367" s="55" t="inlineStr">
        <is>
          <t>千葉・長谷川</t>
        </is>
      </c>
      <c r="G367" s="55" t="inlineStr">
        <is>
          <t>一般廃・産廃</t>
        </is>
      </c>
      <c r="H367" s="57" t="n">
        <v>41</v>
      </c>
      <c r="I367" s="58">
        <f>ROUND(H367*4.33,0)</f>
        <v/>
      </c>
      <c r="J367" s="43" t="n">
        <v>0</v>
      </c>
      <c r="K367" s="44">
        <f>IF(J367&gt;0,I367*J367,"")</f>
        <v/>
      </c>
    </row>
    <row r="368" ht="18" customHeight="1">
      <c r="A368" s="52" t="inlineStr">
        <is>
          <t>GN-162</t>
        </is>
      </c>
      <c r="B368" s="53" t="inlineStr">
        <is>
          <t>ユナイテッドアローズ原宿本店</t>
        </is>
      </c>
      <c r="C368" s="54" t="inlineStr">
        <is>
          <t>一般事業者</t>
        </is>
      </c>
      <c r="D368" s="55" t="inlineStr">
        <is>
          <t>東京都渋谷区神宮前２－３１－１２</t>
        </is>
      </c>
      <c r="E368" s="56" t="inlineStr">
        <is>
          <t>土・月・木・水・火・金</t>
        </is>
      </c>
      <c r="F368" s="55" t="inlineStr">
        <is>
          <t>長谷川・長野</t>
        </is>
      </c>
      <c r="G368" s="55" t="inlineStr">
        <is>
          <t>一般廃・産廃</t>
        </is>
      </c>
      <c r="H368" s="57" t="n">
        <v>380</v>
      </c>
      <c r="I368" s="58">
        <f>ROUND(H368*4.33,0)</f>
        <v/>
      </c>
      <c r="J368" s="43" t="n">
        <v>0</v>
      </c>
      <c r="K368" s="44">
        <f>IF(J368&gt;0,I368*J368,"")</f>
        <v/>
      </c>
    </row>
    <row r="369" ht="18" customHeight="1">
      <c r="A369" s="52" t="inlineStr">
        <is>
          <t>GN-163</t>
        </is>
      </c>
      <c r="B369" s="53" t="inlineStr">
        <is>
          <t>ランキンランキン渋谷店</t>
        </is>
      </c>
      <c r="C369" s="54" t="inlineStr">
        <is>
          <t>一般事業者</t>
        </is>
      </c>
      <c r="D369" s="55" t="inlineStr">
        <is>
          <t>東京都渋谷区道玄坂２－１－１</t>
        </is>
      </c>
      <c r="E369" s="56" t="inlineStr">
        <is>
          <t>土・月・木・水・金</t>
        </is>
      </c>
      <c r="F369" s="55" t="inlineStr">
        <is>
          <t>中條・和田・荻野・長野</t>
        </is>
      </c>
      <c r="G369" s="55" t="inlineStr">
        <is>
          <t>段ボール・産廃・資源</t>
        </is>
      </c>
      <c r="H369" s="57" t="n">
        <v>44</v>
      </c>
      <c r="I369" s="58">
        <f>ROUND(H369*4.33,0)</f>
        <v/>
      </c>
      <c r="J369" s="43" t="n">
        <v>0</v>
      </c>
      <c r="K369" s="44">
        <f>IF(J369&gt;0,I369*J369,"")</f>
        <v/>
      </c>
    </row>
    <row r="370" ht="18" customHeight="1">
      <c r="A370" s="52" t="inlineStr">
        <is>
          <t>GN-164</t>
        </is>
      </c>
      <c r="B370" s="53" t="inlineStr">
        <is>
          <t>ランディーズドーナツ</t>
        </is>
      </c>
      <c r="C370" s="54" t="inlineStr">
        <is>
          <t>一般事業者</t>
        </is>
      </c>
      <c r="D370" s="55" t="inlineStr">
        <is>
          <t>東京都渋谷区代官山町１３－１代官山ログロードL２</t>
        </is>
      </c>
      <c r="E370" s="56" t="inlineStr">
        <is>
          <t>土・日・月・木・水・火・金</t>
        </is>
      </c>
      <c r="F370" s="55" t="inlineStr">
        <is>
          <t>中條・和田・荻野・長谷川・長野</t>
        </is>
      </c>
      <c r="G370" s="55" t="inlineStr">
        <is>
          <t>一般廃・段ボール・産廃</t>
        </is>
      </c>
      <c r="H370" s="57" t="n">
        <v>1342</v>
      </c>
      <c r="I370" s="58">
        <f>ROUND(H370*4.33,0)</f>
        <v/>
      </c>
      <c r="J370" s="43" t="n">
        <v>0</v>
      </c>
      <c r="K370" s="44">
        <f>IF(J370&gt;0,I370*J370,"")</f>
        <v/>
      </c>
    </row>
    <row r="371" ht="18" customHeight="1">
      <c r="A371" s="52" t="inlineStr">
        <is>
          <t>GN-165</t>
        </is>
      </c>
      <c r="B371" s="53" t="inlineStr">
        <is>
          <t>リアルゲイト</t>
        </is>
      </c>
      <c r="C371" s="54" t="inlineStr">
        <is>
          <t>一般事業者</t>
        </is>
      </c>
      <c r="D371" s="55" t="inlineStr">
        <is>
          <t>東京都目黒区上目黒３－４３－１６　L敷地　NAKAME GALLERY STREET</t>
        </is>
      </c>
      <c r="E371" s="56" t="inlineStr">
        <is>
          <t>土・月・木・水・火・金</t>
        </is>
      </c>
      <c r="F371" s="55" t="inlineStr">
        <is>
          <t>千葉・長谷川</t>
        </is>
      </c>
      <c r="G371" s="55" t="inlineStr">
        <is>
          <t>一般廃・産廃</t>
        </is>
      </c>
      <c r="H371" s="57" t="n">
        <v>5</v>
      </c>
      <c r="I371" s="58">
        <f>ROUND(H371*4.33,0)</f>
        <v/>
      </c>
      <c r="J371" s="43" t="n">
        <v>0</v>
      </c>
      <c r="K371" s="44">
        <f>IF(J371&gt;0,I371*J371,"")</f>
        <v/>
      </c>
    </row>
    <row r="372" ht="18" customHeight="1">
      <c r="A372" s="52" t="inlineStr">
        <is>
          <t>GN-166</t>
        </is>
      </c>
      <c r="B372" s="53" t="inlineStr">
        <is>
          <t>リトルマーメイド　多摩川店</t>
        </is>
      </c>
      <c r="C372" s="54" t="inlineStr">
        <is>
          <t>一般事業者</t>
        </is>
      </c>
      <c r="D372" s="55" t="inlineStr">
        <is>
          <t>東京都大田区田園調布１－５３－８</t>
        </is>
      </c>
      <c r="E372" s="56" t="inlineStr">
        <is>
          <t>土・木</t>
        </is>
      </c>
      <c r="F372" s="55" t="inlineStr">
        <is>
          <t>和田・荻野・長野</t>
        </is>
      </c>
      <c r="G372" s="55" t="inlineStr">
        <is>
          <t>段ボール・産廃</t>
        </is>
      </c>
      <c r="H372" s="57" t="n">
        <v>45</v>
      </c>
      <c r="I372" s="58">
        <f>ROUND(H372*4.33,0)</f>
        <v/>
      </c>
      <c r="J372" s="43" t="n">
        <v>0</v>
      </c>
      <c r="K372" s="44">
        <f>IF(J372&gt;0,I372*J372,"")</f>
        <v/>
      </c>
    </row>
    <row r="373" ht="18" customHeight="1">
      <c r="A373" s="52" t="inlineStr">
        <is>
          <t>GN-167</t>
        </is>
      </c>
      <c r="B373" s="53" t="inlineStr">
        <is>
          <t>リトルマーメイド多摩川店</t>
        </is>
      </c>
      <c r="C373" s="54" t="inlineStr">
        <is>
          <t>一般事業者</t>
        </is>
      </c>
      <c r="D373" s="55" t="inlineStr">
        <is>
          <t>東京都大田区田園調布１－５３－８</t>
        </is>
      </c>
      <c r="E373" s="56" t="inlineStr">
        <is>
          <t>・月・木・火</t>
        </is>
      </c>
      <c r="F373" s="55" t="inlineStr">
        <is>
          <t>中條・千葉</t>
        </is>
      </c>
      <c r="G373" s="55" t="inlineStr">
        <is>
          <t>段ボール・産廃・資源</t>
        </is>
      </c>
      <c r="H373" s="57" t="n">
        <v>70</v>
      </c>
      <c r="I373" s="58">
        <f>ROUND(H373*4.33,0)</f>
        <v/>
      </c>
      <c r="J373" s="43" t="n">
        <v>0</v>
      </c>
      <c r="K373" s="44">
        <f>IF(J373&gt;0,I373*J373,"")</f>
        <v/>
      </c>
    </row>
    <row r="374" ht="18" customHeight="1">
      <c r="A374" s="52" t="inlineStr">
        <is>
          <t>GN-168</t>
        </is>
      </c>
      <c r="B374" s="53" t="inlineStr">
        <is>
          <t>リンツショコラ　ブティック</t>
        </is>
      </c>
      <c r="C374" s="54" t="inlineStr">
        <is>
          <t>一般事業者</t>
        </is>
      </c>
      <c r="D374" s="55" t="inlineStr">
        <is>
          <t>東京都目黒区自由が丘１－９－８　自由が丘高架下南口</t>
        </is>
      </c>
      <c r="E374" s="56" t="inlineStr">
        <is>
          <t>・木・火</t>
        </is>
      </c>
      <c r="F374" s="55" t="inlineStr">
        <is>
          <t>千葉</t>
        </is>
      </c>
      <c r="G374" s="55" t="inlineStr">
        <is>
          <t>産廃</t>
        </is>
      </c>
      <c r="H374" s="57" t="n">
        <v>68</v>
      </c>
      <c r="I374" s="58">
        <f>ROUND(H374*4.33,0)</f>
        <v/>
      </c>
      <c r="J374" s="43" t="n">
        <v>0</v>
      </c>
      <c r="K374" s="44">
        <f>IF(J374&gt;0,I374*J374,"")</f>
        <v/>
      </c>
    </row>
    <row r="375" ht="18" customHeight="1">
      <c r="A375" s="52" t="inlineStr">
        <is>
          <t>GN-169</t>
        </is>
      </c>
      <c r="B375" s="53" t="inlineStr">
        <is>
          <t>ルナアース</t>
        </is>
      </c>
      <c r="C375" s="54" t="inlineStr">
        <is>
          <t>一般事業者</t>
        </is>
      </c>
      <c r="D375" s="55" t="inlineStr">
        <is>
          <t>東京都世田谷区上馬４－３　B区画</t>
        </is>
      </c>
      <c r="E375" s="56" t="inlineStr">
        <is>
          <t>土・月・木・水・火・金</t>
        </is>
      </c>
      <c r="F375" s="55" t="inlineStr">
        <is>
          <t>和田・荻野・長谷川・長野</t>
        </is>
      </c>
      <c r="G375" s="55" t="inlineStr">
        <is>
          <t>一般廃・段ボール・産廃</t>
        </is>
      </c>
      <c r="H375" s="57" t="n">
        <v>31</v>
      </c>
      <c r="I375" s="58">
        <f>ROUND(H375*4.33,0)</f>
        <v/>
      </c>
      <c r="J375" s="43" t="n">
        <v>0</v>
      </c>
      <c r="K375" s="44">
        <f>IF(J375&gt;0,I375*J375,"")</f>
        <v/>
      </c>
    </row>
    <row r="376" ht="18" customHeight="1">
      <c r="A376" s="52" t="inlineStr">
        <is>
          <t>GN-170</t>
        </is>
      </c>
      <c r="B376" s="53" t="inlineStr">
        <is>
          <t>レバレジーズ株式会社</t>
        </is>
      </c>
      <c r="C376" s="54" t="inlineStr">
        <is>
          <t>一般事業者</t>
        </is>
      </c>
      <c r="D376" s="55" t="inlineStr">
        <is>
          <t>東京都渋谷区渋谷３－６－７</t>
        </is>
      </c>
      <c r="E376" s="56" t="inlineStr">
        <is>
          <t>土・月・木・水・火・金</t>
        </is>
      </c>
      <c r="F376" s="55" t="inlineStr">
        <is>
          <t>藤内・長谷川・長野</t>
        </is>
      </c>
      <c r="G376" s="55" t="inlineStr">
        <is>
          <t>一般廃・段ボール・産廃</t>
        </is>
      </c>
      <c r="H376" s="57" t="n">
        <v>435</v>
      </c>
      <c r="I376" s="58">
        <f>ROUND(H376*4.33,0)</f>
        <v/>
      </c>
      <c r="J376" s="43" t="n">
        <v>0</v>
      </c>
      <c r="K376" s="44">
        <f>IF(J376&gt;0,I376*J376,"")</f>
        <v/>
      </c>
    </row>
    <row r="377" ht="18" customHeight="1">
      <c r="A377" s="52" t="inlineStr">
        <is>
          <t>GN-171</t>
        </is>
      </c>
      <c r="B377" s="53" t="inlineStr">
        <is>
          <t>ロッジ</t>
        </is>
      </c>
      <c r="C377" s="54" t="inlineStr">
        <is>
          <t>一般事業者</t>
        </is>
      </c>
      <c r="D377" s="55" t="inlineStr">
        <is>
          <t>東京都目黒区鷹番２－２１－１９－１０２A2</t>
        </is>
      </c>
      <c r="E377" s="56" t="inlineStr">
        <is>
          <t>月・水・金</t>
        </is>
      </c>
      <c r="F377" s="55" t="inlineStr">
        <is>
          <t>千葉</t>
        </is>
      </c>
      <c r="G377" s="55" t="inlineStr">
        <is>
          <t>産廃</t>
        </is>
      </c>
      <c r="H377" s="57" t="n">
        <v>0</v>
      </c>
      <c r="I377" s="58" t="n">
        <v>0</v>
      </c>
      <c r="J377" s="43" t="n">
        <v>0</v>
      </c>
      <c r="K377" s="44">
        <f>IF(J377&gt;0,I377*J377,"")</f>
        <v/>
      </c>
    </row>
    <row r="378" ht="18" customHeight="1">
      <c r="A378" s="52" t="inlineStr">
        <is>
          <t>GN-172</t>
        </is>
      </c>
      <c r="B378" s="53" t="inlineStr">
        <is>
          <t>ローソン　下高井戸駅前店</t>
        </is>
      </c>
      <c r="C378" s="54" t="inlineStr">
        <is>
          <t>一般事業者</t>
        </is>
      </c>
      <c r="D378" s="55" t="inlineStr">
        <is>
          <t>東京都世田谷区松原３－２９－１７</t>
        </is>
      </c>
      <c r="E378" s="56" t="inlineStr">
        <is>
          <t>土・木・火</t>
        </is>
      </c>
      <c r="F378" s="55" t="inlineStr">
        <is>
          <t>和田・荻野・長谷川・長野</t>
        </is>
      </c>
      <c r="G378" s="55" t="inlineStr">
        <is>
          <t>一般廃・段ボール・産廃</t>
        </is>
      </c>
      <c r="H378" s="57" t="n">
        <v>160</v>
      </c>
      <c r="I378" s="58">
        <f>ROUND(H378*4.33,0)</f>
        <v/>
      </c>
      <c r="J378" s="43" t="n">
        <v>0</v>
      </c>
      <c r="K378" s="44">
        <f>IF(J378&gt;0,I378*J378,"")</f>
        <v/>
      </c>
    </row>
    <row r="379" ht="18" customHeight="1">
      <c r="A379" s="52" t="inlineStr">
        <is>
          <t>GN-173</t>
        </is>
      </c>
      <c r="B379" s="53" t="inlineStr">
        <is>
          <t>ローソン＋多摩川駅店</t>
        </is>
      </c>
      <c r="C379" s="54" t="inlineStr">
        <is>
          <t>一般事業者</t>
        </is>
      </c>
      <c r="D379" s="55" t="inlineStr">
        <is>
          <t>東京都大田区田園調布１－５３－８</t>
        </is>
      </c>
      <c r="E379" s="56" t="inlineStr">
        <is>
          <t>・月・木・火</t>
        </is>
      </c>
      <c r="F379" s="55" t="inlineStr">
        <is>
          <t>中條・千葉</t>
        </is>
      </c>
      <c r="G379" s="55" t="inlineStr">
        <is>
          <t>段ボール・産廃・資源</t>
        </is>
      </c>
      <c r="H379" s="57" t="n">
        <v>134</v>
      </c>
      <c r="I379" s="58">
        <f>ROUND(H379*4.33,0)</f>
        <v/>
      </c>
      <c r="J379" s="43" t="n">
        <v>0</v>
      </c>
      <c r="K379" s="44">
        <f>IF(J379&gt;0,I379*J379,"")</f>
        <v/>
      </c>
    </row>
    <row r="380" ht="18" customHeight="1">
      <c r="A380" s="52" t="inlineStr">
        <is>
          <t>GN-174</t>
        </is>
      </c>
      <c r="B380" s="53" t="inlineStr">
        <is>
          <t>ヴィノスやまざき</t>
        </is>
      </c>
      <c r="C380" s="54" t="inlineStr">
        <is>
          <t>一般事業者</t>
        </is>
      </c>
      <c r="D380" s="55" t="inlineStr">
        <is>
          <t>東京都目黒区上目黒３－４－１　５D－４，５</t>
        </is>
      </c>
      <c r="E380" s="56" t="inlineStr">
        <is>
          <t>土・日・月・木・水・火・金</t>
        </is>
      </c>
      <c r="F380" s="55" t="inlineStr">
        <is>
          <t>中條・千葉・長谷川</t>
        </is>
      </c>
      <c r="G380" s="55" t="inlineStr">
        <is>
          <t>一般廃・瓶缶・産廃</t>
        </is>
      </c>
      <c r="H380" s="57" t="n">
        <v>26</v>
      </c>
      <c r="I380" s="58">
        <f>ROUND(H380*4.33,0)</f>
        <v/>
      </c>
      <c r="J380" s="43" t="n">
        <v>0</v>
      </c>
      <c r="K380" s="44">
        <f>IF(J380&gt;0,I380*J380,"")</f>
        <v/>
      </c>
    </row>
    <row r="381" ht="18" customHeight="1">
      <c r="A381" s="52" t="inlineStr">
        <is>
          <t>GN-175</t>
        </is>
      </c>
      <c r="B381" s="53" t="inlineStr">
        <is>
          <t>三ノ輪橋おもいで館</t>
        </is>
      </c>
      <c r="C381" s="54" t="inlineStr">
        <is>
          <t>一般事業者</t>
        </is>
      </c>
      <c r="D381" s="55" t="inlineStr">
        <is>
          <t>東京都荒川区南千住１－１２－６</t>
        </is>
      </c>
      <c r="E381" s="56" t="inlineStr">
        <is>
          <t>土・金</t>
        </is>
      </c>
      <c r="F381" s="55" t="inlineStr">
        <is>
          <t>宮原・岡田</t>
        </is>
      </c>
      <c r="G381" s="55" t="inlineStr">
        <is>
          <t>一般廃・産廃</t>
        </is>
      </c>
      <c r="H381" s="57" t="n">
        <v>14</v>
      </c>
      <c r="I381" s="58">
        <f>ROUND(H381*4.33,0)</f>
        <v/>
      </c>
      <c r="J381" s="43" t="n">
        <v>0</v>
      </c>
      <c r="K381" s="44">
        <f>IF(J381&gt;0,I381*J381,"")</f>
        <v/>
      </c>
    </row>
    <row r="382" ht="18" customHeight="1">
      <c r="A382" s="52" t="inlineStr">
        <is>
          <t>GN-176</t>
        </is>
      </c>
      <c r="B382" s="53" t="inlineStr">
        <is>
          <t>三上工業所</t>
        </is>
      </c>
      <c r="C382" s="54" t="inlineStr">
        <is>
          <t>一般事業者</t>
        </is>
      </c>
      <c r="D382" s="55" t="inlineStr">
        <is>
          <t>東京都目黒区大岡山１－３７－８</t>
        </is>
      </c>
      <c r="E382" s="56" t="inlineStr">
        <is>
          <t>土・月・木・水・火・金</t>
        </is>
      </c>
      <c r="F382" s="55" t="inlineStr">
        <is>
          <t>千葉・藤内</t>
        </is>
      </c>
      <c r="G382" s="55" t="inlineStr">
        <is>
          <t>段ボール・産廃</t>
        </is>
      </c>
      <c r="H382" s="57" t="n">
        <v>100</v>
      </c>
      <c r="I382" s="58">
        <f>ROUND(H382*4.33,0)</f>
        <v/>
      </c>
      <c r="J382" s="43" t="n">
        <v>0</v>
      </c>
      <c r="K382" s="44">
        <f>IF(J382&gt;0,I382*J382,"")</f>
        <v/>
      </c>
    </row>
    <row r="383" ht="18" customHeight="1">
      <c r="A383" s="52" t="inlineStr">
        <is>
          <t>GN-177</t>
        </is>
      </c>
      <c r="B383" s="53" t="inlineStr">
        <is>
          <t>世界平和統一家庭連合</t>
        </is>
      </c>
      <c r="C383" s="54" t="inlineStr">
        <is>
          <t>一般事業者</t>
        </is>
      </c>
      <c r="D383" s="55" t="inlineStr">
        <is>
          <t>東京都渋谷区松濤１－１－２</t>
        </is>
      </c>
      <c r="E383" s="56" t="inlineStr">
        <is>
          <t>土・月・木・水・火・金</t>
        </is>
      </c>
      <c r="F383" s="55" t="inlineStr">
        <is>
          <t>和田・荻野・岡田・長野</t>
        </is>
      </c>
      <c r="G383" s="55" t="inlineStr">
        <is>
          <t>一般廃・段ボール・産廃</t>
        </is>
      </c>
      <c r="H383" s="57" t="n">
        <v>322</v>
      </c>
      <c r="I383" s="58">
        <f>ROUND(H383*4.33,0)</f>
        <v/>
      </c>
      <c r="J383" s="43" t="n">
        <v>0</v>
      </c>
      <c r="K383" s="44">
        <f>IF(J383&gt;0,I383*J383,"")</f>
        <v/>
      </c>
    </row>
    <row r="384" ht="18" customHeight="1">
      <c r="A384" s="52" t="inlineStr">
        <is>
          <t>GN-178</t>
        </is>
      </c>
      <c r="B384" s="53" t="inlineStr">
        <is>
          <t>中延駐輪場</t>
        </is>
      </c>
      <c r="C384" s="54" t="inlineStr">
        <is>
          <t>一般事業者</t>
        </is>
      </c>
      <c r="D384" s="55" t="inlineStr">
        <is>
          <t>東京都品川区中延４－５－５</t>
        </is>
      </c>
      <c r="E384" s="56" t="inlineStr">
        <is>
          <t>金</t>
        </is>
      </c>
      <c r="F384" s="55" t="inlineStr">
        <is>
          <t>中條</t>
        </is>
      </c>
      <c r="G384" s="55" t="inlineStr">
        <is>
          <t>不燃物</t>
        </is>
      </c>
      <c r="H384" s="57" t="n">
        <v>0</v>
      </c>
      <c r="I384" s="58" t="n">
        <v>0</v>
      </c>
      <c r="J384" s="43" t="n">
        <v>0</v>
      </c>
      <c r="K384" s="44">
        <f>IF(J384&gt;0,I384*J384,"")</f>
        <v/>
      </c>
    </row>
    <row r="385" ht="18" customHeight="1">
      <c r="A385" s="52" t="inlineStr">
        <is>
          <t>GN-179</t>
        </is>
      </c>
      <c r="B385" s="53" t="inlineStr">
        <is>
          <t>中目黒　蔦屋書店</t>
        </is>
      </c>
      <c r="C385" s="54" t="inlineStr">
        <is>
          <t>一般事業者</t>
        </is>
      </c>
      <c r="D385" s="55" t="inlineStr">
        <is>
          <t>東京都目黒区上目黒１－２２－６＆１０</t>
        </is>
      </c>
      <c r="E385" s="56" t="inlineStr">
        <is>
          <t>土・日・月・木・水・火・金</t>
        </is>
      </c>
      <c r="F385" s="55" t="inlineStr">
        <is>
          <t>中條・千葉・長谷川・長野</t>
        </is>
      </c>
      <c r="G385" s="55" t="inlineStr">
        <is>
          <t>一般廃・産廃</t>
        </is>
      </c>
      <c r="H385" s="57" t="n">
        <v>736</v>
      </c>
      <c r="I385" s="58">
        <f>ROUND(H385*4.33,0)</f>
        <v/>
      </c>
      <c r="J385" s="43" t="n">
        <v>0</v>
      </c>
      <c r="K385" s="44">
        <f>IF(J385&gt;0,I385*J385,"")</f>
        <v/>
      </c>
    </row>
    <row r="386" ht="18" customHeight="1">
      <c r="A386" s="52" t="inlineStr">
        <is>
          <t>GN-180</t>
        </is>
      </c>
      <c r="B386" s="53" t="inlineStr">
        <is>
          <t>中目黒ないとう</t>
        </is>
      </c>
      <c r="C386" s="54" t="inlineStr">
        <is>
          <t>一般事業者</t>
        </is>
      </c>
      <c r="D386" s="55" t="inlineStr">
        <is>
          <t>東京都目黒区上目黒３－５－２　０H－２</t>
        </is>
      </c>
      <c r="E386" s="56" t="inlineStr">
        <is>
          <t>・土・月・木・水・火・金</t>
        </is>
      </c>
      <c r="F386" s="55" t="inlineStr">
        <is>
          <t>千葉・長谷川</t>
        </is>
      </c>
      <c r="G386" s="55" t="inlineStr">
        <is>
          <t>一般廃・産廃</t>
        </is>
      </c>
      <c r="H386" s="57" t="n">
        <v>35</v>
      </c>
      <c r="I386" s="58">
        <f>ROUND(H386*4.33,0)</f>
        <v/>
      </c>
      <c r="J386" s="43" t="n">
        <v>0</v>
      </c>
      <c r="K386" s="44">
        <f>IF(J386&gt;0,I386*J386,"")</f>
        <v/>
      </c>
    </row>
    <row r="387" ht="18" customHeight="1">
      <c r="A387" s="52" t="inlineStr">
        <is>
          <t>GN-181</t>
        </is>
      </c>
      <c r="B387" s="53" t="inlineStr">
        <is>
          <t>中目黒高架下A</t>
        </is>
      </c>
      <c r="C387" s="54" t="inlineStr">
        <is>
          <t>一般事業者</t>
        </is>
      </c>
      <c r="D387" s="55" t="inlineStr">
        <is>
          <t>東京都目黒区上目黒１－６－１０</t>
        </is>
      </c>
      <c r="E387" s="56" t="inlineStr">
        <is>
          <t>土・月・木・水・火・金</t>
        </is>
      </c>
      <c r="F387" s="55" t="inlineStr">
        <is>
          <t>藤内</t>
        </is>
      </c>
      <c r="G387" s="55" t="inlineStr">
        <is>
          <t>段ボール</t>
        </is>
      </c>
      <c r="H387" s="57" t="n">
        <v>25</v>
      </c>
      <c r="I387" s="58">
        <f>ROUND(H387*4.33,0)</f>
        <v/>
      </c>
      <c r="J387" s="43" t="n">
        <v>0</v>
      </c>
      <c r="K387" s="44">
        <f>IF(J387&gt;0,I387*J387,"")</f>
        <v/>
      </c>
    </row>
    <row r="388" ht="18" customHeight="1">
      <c r="A388" s="52" t="inlineStr">
        <is>
          <t>GN-182</t>
        </is>
      </c>
      <c r="B388" s="53" t="inlineStr">
        <is>
          <t>中目黒高架下B</t>
        </is>
      </c>
      <c r="C388" s="54" t="inlineStr">
        <is>
          <t>一般事業者</t>
        </is>
      </c>
      <c r="D388" s="55" t="inlineStr">
        <is>
          <t>東京都目黒区上目黒１－２２－１２</t>
        </is>
      </c>
      <c r="E388" s="56" t="inlineStr">
        <is>
          <t>土・月・木・水・火・金</t>
        </is>
      </c>
      <c r="F388" s="55" t="inlineStr">
        <is>
          <t>藤内</t>
        </is>
      </c>
      <c r="G388" s="55" t="inlineStr">
        <is>
          <t>段ボール</t>
        </is>
      </c>
      <c r="H388" s="57" t="n">
        <v>230</v>
      </c>
      <c r="I388" s="58">
        <f>ROUND(H388*4.33,0)</f>
        <v/>
      </c>
      <c r="J388" s="43" t="n">
        <v>0</v>
      </c>
      <c r="K388" s="44">
        <f>IF(J388&gt;0,I388*J388,"")</f>
        <v/>
      </c>
    </row>
    <row r="389" ht="18" customHeight="1">
      <c r="A389" s="52" t="inlineStr">
        <is>
          <t>GN-183</t>
        </is>
      </c>
      <c r="B389" s="53" t="inlineStr">
        <is>
          <t>中目黒高架下D</t>
        </is>
      </c>
      <c r="C389" s="54" t="inlineStr">
        <is>
          <t>一般事業者</t>
        </is>
      </c>
      <c r="D389" s="55" t="inlineStr">
        <is>
          <t>東京都目黒区上目黒１－２２－１２</t>
        </is>
      </c>
      <c r="E389" s="56" t="inlineStr">
        <is>
          <t>土・月・木・水・火・金</t>
        </is>
      </c>
      <c r="F389" s="55" t="inlineStr">
        <is>
          <t>藤内</t>
        </is>
      </c>
      <c r="G389" s="55" t="inlineStr">
        <is>
          <t>段ボール</t>
        </is>
      </c>
      <c r="H389" s="57" t="n">
        <v>170</v>
      </c>
      <c r="I389" s="58">
        <f>ROUND(H389*4.33,0)</f>
        <v/>
      </c>
      <c r="J389" s="43" t="n">
        <v>0</v>
      </c>
      <c r="K389" s="44">
        <f>IF(J389&gt;0,I389*J389,"")</f>
        <v/>
      </c>
    </row>
    <row r="390" ht="18" customHeight="1">
      <c r="A390" s="52" t="inlineStr">
        <is>
          <t>GN-184</t>
        </is>
      </c>
      <c r="B390" s="53" t="inlineStr">
        <is>
          <t>中目黒高架下F</t>
        </is>
      </c>
      <c r="C390" s="54" t="inlineStr">
        <is>
          <t>一般事業者</t>
        </is>
      </c>
      <c r="D390" s="55" t="inlineStr">
        <is>
          <t>東京都目黒区上目黒３－５－２５</t>
        </is>
      </c>
      <c r="E390" s="56" t="inlineStr">
        <is>
          <t>土・月・木・水・火・金</t>
        </is>
      </c>
      <c r="F390" s="55" t="inlineStr">
        <is>
          <t>藤内</t>
        </is>
      </c>
      <c r="G390" s="55" t="inlineStr">
        <is>
          <t>段ボール</t>
        </is>
      </c>
      <c r="H390" s="57" t="n">
        <v>80</v>
      </c>
      <c r="I390" s="58">
        <f>ROUND(H390*4.33,0)</f>
        <v/>
      </c>
      <c r="J390" s="43" t="n">
        <v>0</v>
      </c>
      <c r="K390" s="44">
        <f>IF(J390&gt;0,I390*J390,"")</f>
        <v/>
      </c>
    </row>
    <row r="391" ht="18" customHeight="1">
      <c r="A391" s="52" t="inlineStr">
        <is>
          <t>GN-185</t>
        </is>
      </c>
      <c r="B391" s="53" t="inlineStr">
        <is>
          <t>中目黒高架下G</t>
        </is>
      </c>
      <c r="C391" s="54" t="inlineStr">
        <is>
          <t>一般事業者</t>
        </is>
      </c>
      <c r="D391" s="55" t="inlineStr">
        <is>
          <t>東京都目黒区上目黒３－５－２２</t>
        </is>
      </c>
      <c r="E391" s="56" t="inlineStr">
        <is>
          <t>土・月・木・水・火・金</t>
        </is>
      </c>
      <c r="F391" s="55" t="inlineStr">
        <is>
          <t>藤内</t>
        </is>
      </c>
      <c r="G391" s="55" t="inlineStr">
        <is>
          <t>段ボール</t>
        </is>
      </c>
      <c r="H391" s="57" t="n">
        <v>75</v>
      </c>
      <c r="I391" s="58">
        <f>ROUND(H391*4.33,0)</f>
        <v/>
      </c>
      <c r="J391" s="43" t="n">
        <v>0</v>
      </c>
      <c r="K391" s="44">
        <f>IF(J391&gt;0,I391*J391,"")</f>
        <v/>
      </c>
    </row>
    <row r="392" ht="18" customHeight="1">
      <c r="A392" s="52" t="inlineStr">
        <is>
          <t>GN-186</t>
        </is>
      </c>
      <c r="B392" s="53" t="inlineStr">
        <is>
          <t>中目黒高架下H</t>
        </is>
      </c>
      <c r="C392" s="54" t="inlineStr">
        <is>
          <t>一般事業者</t>
        </is>
      </c>
      <c r="D392" s="55" t="inlineStr">
        <is>
          <t>東京都目黒区上目黒３－５－２０</t>
        </is>
      </c>
      <c r="E392" s="56" t="inlineStr">
        <is>
          <t>土・月・木・水・火・金</t>
        </is>
      </c>
      <c r="F392" s="55" t="inlineStr">
        <is>
          <t>藤内</t>
        </is>
      </c>
      <c r="G392" s="55" t="inlineStr">
        <is>
          <t>段ボール</t>
        </is>
      </c>
      <c r="H392" s="57" t="n">
        <v>30</v>
      </c>
      <c r="I392" s="58">
        <f>ROUND(H392*4.33,0)</f>
        <v/>
      </c>
      <c r="J392" s="43" t="n">
        <v>0</v>
      </c>
      <c r="K392" s="44">
        <f>IF(J392&gt;0,I392*J392,"")</f>
        <v/>
      </c>
    </row>
    <row r="393" ht="18" customHeight="1">
      <c r="A393" s="52" t="inlineStr">
        <is>
          <t>GN-187</t>
        </is>
      </c>
      <c r="B393" s="53" t="inlineStr">
        <is>
          <t>中目黒高架下J</t>
        </is>
      </c>
      <c r="C393" s="54" t="inlineStr">
        <is>
          <t>一般事業者</t>
        </is>
      </c>
      <c r="D393" s="55" t="inlineStr">
        <is>
          <t>東京都目黒区上目黒２－４５－１２</t>
        </is>
      </c>
      <c r="E393" s="56" t="inlineStr">
        <is>
          <t>土・月・木・水・火・金</t>
        </is>
      </c>
      <c r="F393" s="55" t="inlineStr">
        <is>
          <t>藤内</t>
        </is>
      </c>
      <c r="G393" s="55" t="inlineStr">
        <is>
          <t>段ボール</t>
        </is>
      </c>
      <c r="H393" s="57" t="n">
        <v>15</v>
      </c>
      <c r="I393" s="58">
        <f>ROUND(H393*4.33,0)</f>
        <v/>
      </c>
      <c r="J393" s="43" t="n">
        <v>0</v>
      </c>
      <c r="K393" s="44">
        <f>IF(J393&gt;0,I393*J393,"")</f>
        <v/>
      </c>
    </row>
    <row r="394" ht="18" customHeight="1">
      <c r="A394" s="52" t="inlineStr">
        <is>
          <t>GN-188</t>
        </is>
      </c>
      <c r="B394" s="53" t="inlineStr">
        <is>
          <t>中目黒高架下　共有部ーD</t>
        </is>
      </c>
      <c r="C394" s="54" t="inlineStr">
        <is>
          <t>一般事業者</t>
        </is>
      </c>
      <c r="D394" s="55" t="inlineStr">
        <is>
          <t>東京都目黒区上目黒３－４－１　５D</t>
        </is>
      </c>
      <c r="E394" s="56" t="inlineStr">
        <is>
          <t>土・日・月・木・水・火・金</t>
        </is>
      </c>
      <c r="F394" s="55" t="inlineStr">
        <is>
          <t>中條・千葉・長谷川</t>
        </is>
      </c>
      <c r="G394" s="55" t="inlineStr">
        <is>
          <t>一般廃・瓶缶・産廃</t>
        </is>
      </c>
      <c r="H394" s="57" t="n">
        <v>0</v>
      </c>
      <c r="I394" s="58" t="n">
        <v>0</v>
      </c>
      <c r="J394" s="43" t="n">
        <v>0</v>
      </c>
      <c r="K394" s="44">
        <f>IF(J394&gt;0,I394*J394,"")</f>
        <v/>
      </c>
    </row>
    <row r="395" ht="18" customHeight="1">
      <c r="A395" s="52" t="inlineStr">
        <is>
          <t>GN-189</t>
        </is>
      </c>
      <c r="B395" s="53" t="inlineStr">
        <is>
          <t>中目黒高架下　共用部ーA</t>
        </is>
      </c>
      <c r="C395" s="54" t="inlineStr">
        <is>
          <t>一般事業者</t>
        </is>
      </c>
      <c r="D395" s="55" t="inlineStr">
        <is>
          <t>東京都目黒区上目黒１－６－１　０A</t>
        </is>
      </c>
      <c r="E395" s="56" t="inlineStr">
        <is>
          <t>土・月・木・水・火・金</t>
        </is>
      </c>
      <c r="F395" s="55" t="inlineStr">
        <is>
          <t>長谷川・長野</t>
        </is>
      </c>
      <c r="G395" s="55" t="inlineStr">
        <is>
          <t>一般廃・産廃</t>
        </is>
      </c>
      <c r="H395" s="57" t="n">
        <v>0</v>
      </c>
      <c r="I395" s="58" t="n">
        <v>0</v>
      </c>
      <c r="J395" s="43" t="n">
        <v>0</v>
      </c>
      <c r="K395" s="44">
        <f>IF(J395&gt;0,I395*J395,"")</f>
        <v/>
      </c>
    </row>
    <row r="396" ht="18" customHeight="1">
      <c r="A396" s="52" t="inlineStr">
        <is>
          <t>GN-190</t>
        </is>
      </c>
      <c r="B396" s="53" t="inlineStr">
        <is>
          <t>中目黒高架下　共用部ーB</t>
        </is>
      </c>
      <c r="C396" s="54" t="inlineStr">
        <is>
          <t>一般事業者</t>
        </is>
      </c>
      <c r="D396" s="55" t="inlineStr">
        <is>
          <t>東京都目黒区上目黒１－２２－１２　B</t>
        </is>
      </c>
      <c r="E396" s="56" t="inlineStr">
        <is>
          <t>土・日・月・木・水・火・金</t>
        </is>
      </c>
      <c r="F396" s="55" t="inlineStr">
        <is>
          <t>中條・千葉・長谷川・長野</t>
        </is>
      </c>
      <c r="G396" s="55" t="inlineStr">
        <is>
          <t>一般廃・産廃</t>
        </is>
      </c>
      <c r="H396" s="57" t="n">
        <v>20</v>
      </c>
      <c r="I396" s="58">
        <f>ROUND(H396*4.33,0)</f>
        <v/>
      </c>
      <c r="J396" s="43" t="n">
        <v>0</v>
      </c>
      <c r="K396" s="44">
        <f>IF(J396&gt;0,I396*J396,"")</f>
        <v/>
      </c>
    </row>
    <row r="397" ht="18" customHeight="1">
      <c r="A397" s="52" t="inlineStr">
        <is>
          <t>GN-191</t>
        </is>
      </c>
      <c r="B397" s="53" t="inlineStr">
        <is>
          <t>中目黒高架下　共用部ーF</t>
        </is>
      </c>
      <c r="C397" s="54" t="inlineStr">
        <is>
          <t>一般事業者</t>
        </is>
      </c>
      <c r="D397" s="55" t="inlineStr">
        <is>
          <t>東京都目黒区上目黒３－５－２　５F</t>
        </is>
      </c>
      <c r="E397" s="56" t="inlineStr">
        <is>
          <t>・土・日・月・木・水・火・金</t>
        </is>
      </c>
      <c r="F397" s="55" t="inlineStr">
        <is>
          <t>中條・千葉・長谷川</t>
        </is>
      </c>
      <c r="G397" s="55" t="inlineStr">
        <is>
          <t>一般廃・瓶缶・産廃</t>
        </is>
      </c>
      <c r="H397" s="57" t="n">
        <v>10</v>
      </c>
      <c r="I397" s="58">
        <f>ROUND(H397*4.33,0)</f>
        <v/>
      </c>
      <c r="J397" s="43" t="n">
        <v>0</v>
      </c>
      <c r="K397" s="44">
        <f>IF(J397&gt;0,I397*J397,"")</f>
        <v/>
      </c>
    </row>
    <row r="398" ht="18" customHeight="1">
      <c r="A398" s="52" t="inlineStr">
        <is>
          <t>GN-192</t>
        </is>
      </c>
      <c r="B398" s="53" t="inlineStr">
        <is>
          <t>中目黒高架下　共用部ーG</t>
        </is>
      </c>
      <c r="C398" s="54" t="inlineStr">
        <is>
          <t>一般事業者</t>
        </is>
      </c>
      <c r="D398" s="55" t="inlineStr">
        <is>
          <t>東京都目黒区上目黒３－５－２　２G</t>
        </is>
      </c>
      <c r="E398" s="56" t="inlineStr">
        <is>
          <t>・土・日・月・木・水・火・金</t>
        </is>
      </c>
      <c r="F398" s="55" t="inlineStr">
        <is>
          <t>中條・千葉・長谷川</t>
        </is>
      </c>
      <c r="G398" s="55" t="inlineStr">
        <is>
          <t>一般廃・瓶缶・産廃</t>
        </is>
      </c>
      <c r="H398" s="57" t="n">
        <v>20</v>
      </c>
      <c r="I398" s="58">
        <f>ROUND(H398*4.33,0)</f>
        <v/>
      </c>
      <c r="J398" s="43" t="n">
        <v>0</v>
      </c>
      <c r="K398" s="44">
        <f>IF(J398&gt;0,I398*J398,"")</f>
        <v/>
      </c>
    </row>
    <row r="399" ht="18" customHeight="1">
      <c r="A399" s="52" t="inlineStr">
        <is>
          <t>GN-193</t>
        </is>
      </c>
      <c r="B399" s="53" t="inlineStr">
        <is>
          <t>中目黒高架下　共用部ーH</t>
        </is>
      </c>
      <c r="C399" s="54" t="inlineStr">
        <is>
          <t>一般事業者</t>
        </is>
      </c>
      <c r="D399" s="55" t="inlineStr">
        <is>
          <t>東京都目黒区上目黒３－５－２　０H</t>
        </is>
      </c>
      <c r="E399" s="56" t="inlineStr">
        <is>
          <t>・土・月・木・水・火・金</t>
        </is>
      </c>
      <c r="F399" s="55" t="inlineStr">
        <is>
          <t>千葉・長谷川</t>
        </is>
      </c>
      <c r="G399" s="55" t="inlineStr">
        <is>
          <t>一般廃・産廃</t>
        </is>
      </c>
      <c r="H399" s="57" t="n">
        <v>0</v>
      </c>
      <c r="I399" s="58" t="n">
        <v>0</v>
      </c>
      <c r="J399" s="43" t="n">
        <v>0</v>
      </c>
      <c r="K399" s="44">
        <f>IF(J399&gt;0,I399*J399,"")</f>
        <v/>
      </c>
    </row>
    <row r="400" ht="18" customHeight="1">
      <c r="A400" s="52" t="inlineStr">
        <is>
          <t>GN-194</t>
        </is>
      </c>
      <c r="B400" s="53" t="inlineStr">
        <is>
          <t>丸三ストアー</t>
        </is>
      </c>
      <c r="C400" s="54" t="inlineStr">
        <is>
          <t>一般事業者</t>
        </is>
      </c>
      <c r="D400" s="55" t="inlineStr">
        <is>
          <t>東京都大田区東雪谷３－３１－６</t>
        </is>
      </c>
      <c r="E400" s="56" t="inlineStr">
        <is>
          <t>月</t>
        </is>
      </c>
      <c r="F400" s="55" t="inlineStr">
        <is>
          <t>千葉</t>
        </is>
      </c>
      <c r="G400" s="55" t="inlineStr">
        <is>
          <t>産廃</t>
        </is>
      </c>
      <c r="H400" s="57" t="n">
        <v>60</v>
      </c>
      <c r="I400" s="58">
        <f>ROUND(H400*4.33,0)</f>
        <v/>
      </c>
      <c r="J400" s="43" t="n">
        <v>0</v>
      </c>
      <c r="K400" s="44">
        <f>IF(J400&gt;0,I400*J400,"")</f>
        <v/>
      </c>
    </row>
    <row r="401" ht="18" customHeight="1">
      <c r="A401" s="52" t="inlineStr">
        <is>
          <t>GN-195</t>
        </is>
      </c>
      <c r="B401" s="53" t="inlineStr">
        <is>
          <t>丸山珈琲</t>
        </is>
      </c>
      <c r="C401" s="54" t="inlineStr">
        <is>
          <t>一般事業者</t>
        </is>
      </c>
      <c r="D401" s="55" t="inlineStr">
        <is>
          <t>東京都目黒区自由が丘１－３０－１</t>
        </is>
      </c>
      <c r="E401" s="56" t="inlineStr">
        <is>
          <t>・日・木・火</t>
        </is>
      </c>
      <c r="F401" s="55" t="inlineStr">
        <is>
          <t>中條・千葉</t>
        </is>
      </c>
      <c r="G401" s="55" t="inlineStr">
        <is>
          <t>一般廃・産廃</t>
        </is>
      </c>
      <c r="H401" s="57" t="n">
        <v>11</v>
      </c>
      <c r="I401" s="58">
        <f>ROUND(H401*4.33,0)</f>
        <v/>
      </c>
      <c r="J401" s="43" t="n">
        <v>0</v>
      </c>
      <c r="K401" s="44">
        <f>IF(J401&gt;0,I401*J401,"")</f>
        <v/>
      </c>
    </row>
    <row r="402" ht="18" customHeight="1">
      <c r="A402" s="52" t="inlineStr">
        <is>
          <t>GN-196</t>
        </is>
      </c>
      <c r="B402" s="53" t="inlineStr">
        <is>
          <t>九州屋　学芸大学店</t>
        </is>
      </c>
      <c r="C402" s="54" t="inlineStr">
        <is>
          <t>一般事業者</t>
        </is>
      </c>
      <c r="D402" s="55" t="inlineStr">
        <is>
          <t>東京都目黒区鷹番３－２－１学大市場　１３－０９</t>
        </is>
      </c>
      <c r="E402" s="56" t="inlineStr">
        <is>
          <t>・土・日・月・木・水・火・金</t>
        </is>
      </c>
      <c r="F402" s="55" t="inlineStr">
        <is>
          <t>中條・千葉・長谷川</t>
        </is>
      </c>
      <c r="G402" s="55" t="inlineStr">
        <is>
          <t>一般廃・産廃</t>
        </is>
      </c>
      <c r="H402" s="57" t="n">
        <v>307</v>
      </c>
      <c r="I402" s="58">
        <f>ROUND(H402*4.33,0)</f>
        <v/>
      </c>
      <c r="J402" s="43" t="n">
        <v>0</v>
      </c>
      <c r="K402" s="44">
        <f>IF(J402&gt;0,I402*J402,"")</f>
        <v/>
      </c>
    </row>
    <row r="403" ht="18" customHeight="1">
      <c r="A403" s="52" t="inlineStr">
        <is>
          <t>GN-197</t>
        </is>
      </c>
      <c r="B403" s="53" t="inlineStr">
        <is>
          <t>二子玉川乗務区</t>
        </is>
      </c>
      <c r="C403" s="54" t="inlineStr">
        <is>
          <t>一般事業者</t>
        </is>
      </c>
      <c r="D403" s="55" t="inlineStr">
        <is>
          <t>東京都世田谷区玉川１－１１－５</t>
        </is>
      </c>
      <c r="E403" s="56" t="inlineStr">
        <is>
          <t>・火</t>
        </is>
      </c>
      <c r="F403" s="55" t="inlineStr">
        <is>
          <t>千葉</t>
        </is>
      </c>
      <c r="G403" s="55" t="inlineStr">
        <is>
          <t>産廃</t>
        </is>
      </c>
      <c r="H403" s="57" t="n">
        <v>6</v>
      </c>
      <c r="I403" s="58">
        <f>ROUND(H403*4.33,0)</f>
        <v/>
      </c>
      <c r="J403" s="43" t="n">
        <v>0</v>
      </c>
      <c r="K403" s="44">
        <f>IF(J403&gt;0,I403*J403,"")</f>
        <v/>
      </c>
    </row>
    <row r="404" ht="18" customHeight="1">
      <c r="A404" s="52" t="inlineStr">
        <is>
          <t>GN-198</t>
        </is>
      </c>
      <c r="B404" s="53" t="inlineStr">
        <is>
          <t>二子玉川駅駐輪場</t>
        </is>
      </c>
      <c r="C404" s="54" t="inlineStr">
        <is>
          <t>一般事業者</t>
        </is>
      </c>
      <c r="D404" s="55" t="inlineStr">
        <is>
          <t>東京都世田谷区玉川２－２４－１</t>
        </is>
      </c>
      <c r="E404" s="56" t="inlineStr">
        <is>
          <t>・火</t>
        </is>
      </c>
      <c r="F404" s="55" t="inlineStr">
        <is>
          <t>千葉</t>
        </is>
      </c>
      <c r="G404" s="55" t="inlineStr">
        <is>
          <t>産廃</t>
        </is>
      </c>
      <c r="H404" s="57" t="n">
        <v>12</v>
      </c>
      <c r="I404" s="58">
        <f>ROUND(H404*4.33,0)</f>
        <v/>
      </c>
      <c r="J404" s="43" t="n">
        <v>0</v>
      </c>
      <c r="K404" s="44">
        <f>IF(J404&gt;0,I404*J404,"")</f>
        <v/>
      </c>
    </row>
    <row r="405" ht="18" customHeight="1">
      <c r="A405" s="52" t="inlineStr">
        <is>
          <t>GN-199</t>
        </is>
      </c>
      <c r="B405" s="53" t="inlineStr">
        <is>
          <t>京み</t>
        </is>
      </c>
      <c r="C405" s="54" t="inlineStr">
        <is>
          <t>一般事業者</t>
        </is>
      </c>
      <c r="D405" s="55" t="inlineStr">
        <is>
          <t>東京都目黒区鷹番２－２１－１５　１１０D２</t>
        </is>
      </c>
      <c r="E405" s="56" t="inlineStr">
        <is>
          <t>土・月・木・水・火・金</t>
        </is>
      </c>
      <c r="F405" s="55" t="inlineStr">
        <is>
          <t>中條・千葉・長谷川</t>
        </is>
      </c>
      <c r="G405" s="55" t="inlineStr">
        <is>
          <t>一般廃・瓶缶・産廃</t>
        </is>
      </c>
      <c r="H405" s="57" t="n">
        <v>14</v>
      </c>
      <c r="I405" s="58">
        <f>ROUND(H405*4.33,0)</f>
        <v/>
      </c>
      <c r="J405" s="43" t="n">
        <v>0</v>
      </c>
      <c r="K405" s="44">
        <f>IF(J405&gt;0,I405*J405,"")</f>
        <v/>
      </c>
    </row>
    <row r="406" ht="18" customHeight="1">
      <c r="A406" s="52" t="inlineStr">
        <is>
          <t>GN-200</t>
        </is>
      </c>
      <c r="B406" s="53" t="inlineStr">
        <is>
          <t>代々幡斎場</t>
        </is>
      </c>
      <c r="C406" s="54" t="inlineStr">
        <is>
          <t>一般事業者</t>
        </is>
      </c>
      <c r="D406" s="55" t="inlineStr">
        <is>
          <t>東京都渋谷区西原２－４２－１</t>
        </is>
      </c>
      <c r="E406" s="56" t="inlineStr">
        <is>
          <t>土</t>
        </is>
      </c>
      <c r="F406" s="55" t="inlineStr">
        <is>
          <t>山口</t>
        </is>
      </c>
      <c r="G406" s="55" t="inlineStr">
        <is>
          <t>不燃物</t>
        </is>
      </c>
      <c r="H406" s="57" t="n">
        <v>120</v>
      </c>
      <c r="I406" s="58">
        <f>ROUND(H406*4.33,0)</f>
        <v/>
      </c>
      <c r="J406" s="43" t="n">
        <v>0</v>
      </c>
      <c r="K406" s="44">
        <f>IF(J406&gt;0,I406*J406,"")</f>
        <v/>
      </c>
    </row>
    <row r="407" ht="18" customHeight="1">
      <c r="A407" s="52" t="inlineStr">
        <is>
          <t>GN-201</t>
        </is>
      </c>
      <c r="B407" s="53" t="inlineStr">
        <is>
          <t>代々木斎場</t>
        </is>
      </c>
      <c r="C407" s="54" t="inlineStr">
        <is>
          <t>一般事業者</t>
        </is>
      </c>
      <c r="D407" s="55" t="inlineStr">
        <is>
          <t>東京都渋谷区西原２－４２－１</t>
        </is>
      </c>
      <c r="E407" s="56" t="inlineStr">
        <is>
          <t>土・木・火</t>
        </is>
      </c>
      <c r="F407" s="55" t="inlineStr">
        <is>
          <t>白</t>
        </is>
      </c>
      <c r="G407" s="55" t="inlineStr">
        <is>
          <t>一般廃</t>
        </is>
      </c>
      <c r="H407" s="57" t="n">
        <v>220</v>
      </c>
      <c r="I407" s="58">
        <f>ROUND(H407*4.33,0)</f>
        <v/>
      </c>
      <c r="J407" s="43" t="n">
        <v>0</v>
      </c>
      <c r="K407" s="44">
        <f>IF(J407&gt;0,I407*J407,"")</f>
        <v/>
      </c>
    </row>
    <row r="408" ht="18" customHeight="1">
      <c r="A408" s="52" t="inlineStr">
        <is>
          <t>GN-202</t>
        </is>
      </c>
      <c r="B408" s="53" t="inlineStr">
        <is>
          <t>代官山ログロード共用部</t>
        </is>
      </c>
      <c r="C408" s="54" t="inlineStr">
        <is>
          <t>一般事業者</t>
        </is>
      </c>
      <c r="D408" s="55" t="inlineStr">
        <is>
          <t>東京都渋谷区代官山町１３－１代官山ログロード</t>
        </is>
      </c>
      <c r="E408" s="56" t="inlineStr">
        <is>
          <t>土・日・月・木・水・火・金</t>
        </is>
      </c>
      <c r="F408" s="55" t="inlineStr">
        <is>
          <t>中條・和田・荻野・藤内・長谷川・長野</t>
        </is>
      </c>
      <c r="G408" s="55" t="inlineStr">
        <is>
          <t>一般廃・段ボール・産廃</t>
        </is>
      </c>
      <c r="H408" s="57" t="n">
        <v>46</v>
      </c>
      <c r="I408" s="58">
        <f>ROUND(H408*4.33,0)</f>
        <v/>
      </c>
      <c r="J408" s="43" t="n">
        <v>0</v>
      </c>
      <c r="K408" s="44">
        <f>IF(J408&gt;0,I408*J408,"")</f>
        <v/>
      </c>
    </row>
    <row r="409" ht="18" customHeight="1">
      <c r="A409" s="52" t="inlineStr">
        <is>
          <t>GN-203</t>
        </is>
      </c>
      <c r="B409" s="53" t="inlineStr">
        <is>
          <t>件（くだん）学芸大学店</t>
        </is>
      </c>
      <c r="C409" s="54" t="inlineStr">
        <is>
          <t>一般事業者</t>
        </is>
      </c>
      <c r="D409" s="55" t="inlineStr">
        <is>
          <t>東京都目黒区鷹番３－７－４関口ビル１F</t>
        </is>
      </c>
      <c r="E409" s="56" t="inlineStr">
        <is>
          <t>土・月・木・水・火・金</t>
        </is>
      </c>
      <c r="F409" s="55" t="inlineStr">
        <is>
          <t>千葉・長谷川</t>
        </is>
      </c>
      <c r="G409" s="55" t="inlineStr">
        <is>
          <t>一般廃・産廃</t>
        </is>
      </c>
      <c r="H409" s="57" t="n">
        <v>37</v>
      </c>
      <c r="I409" s="58">
        <f>ROUND(H409*4.33,0)</f>
        <v/>
      </c>
      <c r="J409" s="43" t="n">
        <v>0</v>
      </c>
      <c r="K409" s="44">
        <f>IF(J409&gt;0,I409*J409,"")</f>
        <v/>
      </c>
    </row>
    <row r="410" ht="18" customHeight="1">
      <c r="A410" s="52" t="inlineStr">
        <is>
          <t>GN-204</t>
        </is>
      </c>
      <c r="B410" s="53" t="inlineStr">
        <is>
          <t>住まいと暮らしのコンシェルジュ</t>
        </is>
      </c>
      <c r="C410" s="54" t="inlineStr">
        <is>
          <t>一般事業者</t>
        </is>
      </c>
      <c r="D410" s="55" t="inlineStr">
        <is>
          <t>東京都大田区西蒲田７－６９－１</t>
        </is>
      </c>
      <c r="E410" s="56" t="inlineStr">
        <is>
          <t>水</t>
        </is>
      </c>
      <c r="F410" s="55" t="inlineStr">
        <is>
          <t>千葉</t>
        </is>
      </c>
      <c r="G410" s="55" t="inlineStr">
        <is>
          <t>産廃</t>
        </is>
      </c>
      <c r="H410" s="57" t="n">
        <v>10</v>
      </c>
      <c r="I410" s="58">
        <f>ROUND(H410*4.33,0)</f>
        <v/>
      </c>
      <c r="J410" s="43" t="n">
        <v>0</v>
      </c>
      <c r="K410" s="44">
        <f>IF(J410&gt;0,I410*J410,"")</f>
        <v/>
      </c>
    </row>
    <row r="411" ht="18" customHeight="1">
      <c r="A411" s="52" t="inlineStr">
        <is>
          <t>GN-205</t>
        </is>
      </c>
      <c r="B411" s="53" t="inlineStr">
        <is>
          <t>倉敷珈琲店</t>
        </is>
      </c>
      <c r="C411" s="54" t="inlineStr">
        <is>
          <t>一般事業者</t>
        </is>
      </c>
      <c r="D411" s="55" t="inlineStr">
        <is>
          <t>東京都目黒区中根１－５－２　都立大高架下A館</t>
        </is>
      </c>
      <c r="E411" s="56" t="inlineStr">
        <is>
          <t>土・日・月・木・水・火・金</t>
        </is>
      </c>
      <c r="F411" s="55" t="inlineStr">
        <is>
          <t>中條・千葉・長谷川</t>
        </is>
      </c>
      <c r="G411" s="55" t="inlineStr">
        <is>
          <t>一般廃・瓶缶・産廃</t>
        </is>
      </c>
      <c r="H411" s="57" t="n">
        <v>272</v>
      </c>
      <c r="I411" s="58">
        <f>ROUND(H411*4.33,0)</f>
        <v/>
      </c>
      <c r="J411" s="43" t="n">
        <v>0</v>
      </c>
      <c r="K411" s="44">
        <f>IF(J411&gt;0,I411*J411,"")</f>
        <v/>
      </c>
    </row>
    <row r="412" ht="18" customHeight="1">
      <c r="A412" s="52" t="inlineStr">
        <is>
          <t>GN-206</t>
        </is>
      </c>
      <c r="B412" s="53" t="inlineStr">
        <is>
          <t>光言社</t>
        </is>
      </c>
      <c r="C412" s="54" t="inlineStr">
        <is>
          <t>一般事業者</t>
        </is>
      </c>
      <c r="D412" s="55" t="inlineStr">
        <is>
          <t>東京都渋谷区宇田川町３７－１８トツネビル３F</t>
        </is>
      </c>
      <c r="E412" s="56" t="inlineStr">
        <is>
          <t>土・木・水・金</t>
        </is>
      </c>
      <c r="F412" s="55" t="inlineStr">
        <is>
          <t>岡田・長野</t>
        </is>
      </c>
      <c r="G412" s="55" t="inlineStr">
        <is>
          <t>一般廃・産廃</t>
        </is>
      </c>
      <c r="H412" s="57" t="n">
        <v>51</v>
      </c>
      <c r="I412" s="58">
        <f>ROUND(H412*4.33,0)</f>
        <v/>
      </c>
      <c r="J412" s="43" t="n">
        <v>0</v>
      </c>
      <c r="K412" s="44">
        <f>IF(J412&gt;0,I412*J412,"")</f>
        <v/>
      </c>
    </row>
    <row r="413" ht="18" customHeight="1">
      <c r="A413" s="52" t="inlineStr">
        <is>
          <t>GN-207</t>
        </is>
      </c>
      <c r="B413" s="53" t="inlineStr">
        <is>
          <t>共立工芸</t>
        </is>
      </c>
      <c r="C413" s="54" t="inlineStr">
        <is>
          <t>一般事業者</t>
        </is>
      </c>
      <c r="D413" s="55" t="inlineStr">
        <is>
          <t>東京都品川区広町１－５－２８　102号室</t>
        </is>
      </c>
      <c r="E413" s="56" t="inlineStr">
        <is>
          <t>金</t>
        </is>
      </c>
      <c r="F413" s="55" t="inlineStr">
        <is>
          <t>鈴木</t>
        </is>
      </c>
      <c r="G413" s="55" t="inlineStr">
        <is>
          <t>不燃物</t>
        </is>
      </c>
      <c r="H413" s="57" t="n">
        <v>35</v>
      </c>
      <c r="I413" s="58">
        <f>ROUND(H413*4.33,0)</f>
        <v/>
      </c>
      <c r="J413" s="43" t="n">
        <v>0</v>
      </c>
      <c r="K413" s="44">
        <f>IF(J413&gt;0,I413*J413,"")</f>
        <v/>
      </c>
    </row>
    <row r="414" ht="18" customHeight="1">
      <c r="A414" s="52" t="inlineStr">
        <is>
          <t>GN-208</t>
        </is>
      </c>
      <c r="B414" s="53" t="inlineStr">
        <is>
          <t>南大塚エースビル</t>
        </is>
      </c>
      <c r="C414" s="54" t="inlineStr">
        <is>
          <t>一般事業者</t>
        </is>
      </c>
      <c r="D414" s="55" t="inlineStr">
        <is>
          <t>東京都豊島区南大塚３－３４－６</t>
        </is>
      </c>
      <c r="E414" s="56" t="inlineStr">
        <is>
          <t>水</t>
        </is>
      </c>
      <c r="F414" s="55" t="inlineStr">
        <is>
          <t>長野</t>
        </is>
      </c>
      <c r="G414" s="55" t="inlineStr">
        <is>
          <t>産廃</t>
        </is>
      </c>
      <c r="H414" s="57" t="n">
        <v>90</v>
      </c>
      <c r="I414" s="58">
        <f>ROUND(H414*4.33,0)</f>
        <v/>
      </c>
      <c r="J414" s="43" t="n">
        <v>0</v>
      </c>
      <c r="K414" s="44">
        <f>IF(J414&gt;0,I414*J414,"")</f>
        <v/>
      </c>
    </row>
    <row r="415" ht="18" customHeight="1">
      <c r="A415" s="52" t="inlineStr">
        <is>
          <t>GN-209</t>
        </is>
      </c>
      <c r="B415" s="53" t="inlineStr">
        <is>
          <t>博多ちょうすけ</t>
        </is>
      </c>
      <c r="C415" s="54" t="inlineStr">
        <is>
          <t>一般事業者</t>
        </is>
      </c>
      <c r="D415" s="55" t="inlineStr">
        <is>
          <t>東京都目黒区上目黒３－５－２　９F-２</t>
        </is>
      </c>
      <c r="E415" s="56" t="inlineStr">
        <is>
          <t>・土・日・月・木・水・火・金</t>
        </is>
      </c>
      <c r="F415" s="55" t="inlineStr">
        <is>
          <t>中條・千葉・長谷川</t>
        </is>
      </c>
      <c r="G415" s="55" t="inlineStr">
        <is>
          <t>一般廃・瓶缶・産廃</t>
        </is>
      </c>
      <c r="H415" s="57" t="n">
        <v>105</v>
      </c>
      <c r="I415" s="58">
        <f>ROUND(H415*4.33,0)</f>
        <v/>
      </c>
      <c r="J415" s="43" t="n">
        <v>0</v>
      </c>
      <c r="K415" s="44">
        <f>IF(J415&gt;0,I415*J415,"")</f>
        <v/>
      </c>
    </row>
    <row r="416" ht="18" customHeight="1">
      <c r="A416" s="52" t="inlineStr">
        <is>
          <t>GN-210</t>
        </is>
      </c>
      <c r="B416" s="53" t="inlineStr">
        <is>
          <t>古賀電機(株)新第二工場</t>
        </is>
      </c>
      <c r="C416" s="54" t="inlineStr">
        <is>
          <t>一般事業者</t>
        </is>
      </c>
      <c r="D416" s="55" t="inlineStr">
        <is>
          <t>東京都品川区東大井２－７－７</t>
        </is>
      </c>
      <c r="E416" s="56" t="inlineStr">
        <is>
          <t>火・金</t>
        </is>
      </c>
      <c r="F416" s="55" t="inlineStr">
        <is>
          <t>鈴木</t>
        </is>
      </c>
      <c r="G416" s="55" t="inlineStr">
        <is>
          <t>不燃物</t>
        </is>
      </c>
      <c r="H416" s="57" t="n">
        <v>235</v>
      </c>
      <c r="I416" s="58">
        <f>ROUND(H416*4.33,0)</f>
        <v/>
      </c>
      <c r="J416" s="43" t="n">
        <v>0</v>
      </c>
      <c r="K416" s="44">
        <f>IF(J416&gt;0,I416*J416,"")</f>
        <v/>
      </c>
    </row>
    <row r="417" ht="18" customHeight="1">
      <c r="A417" s="52" t="inlineStr">
        <is>
          <t>GN-211</t>
        </is>
      </c>
      <c r="B417" s="53" t="inlineStr">
        <is>
          <t>古賀電機株式会社</t>
        </is>
      </c>
      <c r="C417" s="54" t="inlineStr">
        <is>
          <t>一般事業者</t>
        </is>
      </c>
      <c r="D417" s="55" t="inlineStr">
        <is>
          <t>東京都品川区東大井１－５－３</t>
        </is>
      </c>
      <c r="E417" s="56" t="inlineStr">
        <is>
          <t>火・金</t>
        </is>
      </c>
      <c r="F417" s="55" t="inlineStr">
        <is>
          <t>鈴木</t>
        </is>
      </c>
      <c r="G417" s="55" t="inlineStr">
        <is>
          <t>不燃物</t>
        </is>
      </c>
      <c r="H417" s="57" t="n">
        <v>265</v>
      </c>
      <c r="I417" s="58">
        <f>ROUND(H417*4.33,0)</f>
        <v/>
      </c>
      <c r="J417" s="43" t="n">
        <v>0</v>
      </c>
      <c r="K417" s="44">
        <f>IF(J417&gt;0,I417*J417,"")</f>
        <v/>
      </c>
    </row>
    <row r="418" ht="18" customHeight="1">
      <c r="A418" s="52" t="inlineStr">
        <is>
          <t>GN-212</t>
        </is>
      </c>
      <c r="B418" s="53" t="inlineStr">
        <is>
          <t>古賀電機第三工場</t>
        </is>
      </c>
      <c r="C418" s="54" t="inlineStr">
        <is>
          <t>一般事業者</t>
        </is>
      </c>
      <c r="D418" s="55" t="inlineStr">
        <is>
          <t>東京都大田区中央８－１９－１６</t>
        </is>
      </c>
      <c r="E418" s="56" t="inlineStr">
        <is>
          <t>火・金</t>
        </is>
      </c>
      <c r="F418" s="55" t="inlineStr">
        <is>
          <t>鈴木</t>
        </is>
      </c>
      <c r="G418" s="55" t="inlineStr">
        <is>
          <t>不燃物</t>
        </is>
      </c>
      <c r="H418" s="57" t="n">
        <v>80</v>
      </c>
      <c r="I418" s="58">
        <f>ROUND(H418*4.33,0)</f>
        <v/>
      </c>
      <c r="J418" s="43" t="n">
        <v>0</v>
      </c>
      <c r="K418" s="44">
        <f>IF(J418&gt;0,I418*J418,"")</f>
        <v/>
      </c>
    </row>
    <row r="419" ht="18" customHeight="1">
      <c r="A419" s="52" t="inlineStr">
        <is>
          <t>GN-213</t>
        </is>
      </c>
      <c r="B419" s="53" t="inlineStr">
        <is>
          <t>吉野家　下高井戸店</t>
        </is>
      </c>
      <c r="C419" s="54" t="inlineStr">
        <is>
          <t>一般事業者</t>
        </is>
      </c>
      <c r="D419" s="55" t="inlineStr">
        <is>
          <t>東京都世田谷区松原３－２９－１７</t>
        </is>
      </c>
      <c r="E419" s="56" t="inlineStr">
        <is>
          <t>土・木・火</t>
        </is>
      </c>
      <c r="F419" s="55" t="inlineStr">
        <is>
          <t>和田・荻野・長谷川・長野</t>
        </is>
      </c>
      <c r="G419" s="55" t="inlineStr">
        <is>
          <t>一般廃・段ボール・産廃</t>
        </is>
      </c>
      <c r="H419" s="57" t="n">
        <v>315</v>
      </c>
      <c r="I419" s="58">
        <f>ROUND(H419*4.33,0)</f>
        <v/>
      </c>
      <c r="J419" s="43" t="n">
        <v>0</v>
      </c>
      <c r="K419" s="44">
        <f>IF(J419&gt;0,I419*J419,"")</f>
        <v/>
      </c>
    </row>
    <row r="420" ht="18" customHeight="1">
      <c r="A420" s="52" t="inlineStr">
        <is>
          <t>GN-214</t>
        </is>
      </c>
      <c r="B420" s="53" t="inlineStr">
        <is>
          <t>名称未設定(株)</t>
        </is>
      </c>
      <c r="C420" s="54" t="inlineStr">
        <is>
          <t>一般事業者</t>
        </is>
      </c>
      <c r="D420" s="55" t="inlineStr">
        <is>
          <t>東京都目黒区上目黒３－４３－１８　K８</t>
        </is>
      </c>
      <c r="E420" s="56" t="inlineStr">
        <is>
          <t>土・月・木・水・火・金</t>
        </is>
      </c>
      <c r="F420" s="55" t="inlineStr">
        <is>
          <t>千葉・長谷川</t>
        </is>
      </c>
      <c r="G420" s="55" t="inlineStr">
        <is>
          <t>一般廃・産廃</t>
        </is>
      </c>
      <c r="H420" s="57" t="n">
        <v>9</v>
      </c>
      <c r="I420" s="58">
        <f>ROUND(H420*4.33,0)</f>
        <v/>
      </c>
      <c r="J420" s="43" t="n">
        <v>0</v>
      </c>
      <c r="K420" s="44">
        <f>IF(J420&gt;0,I420*J420,"")</f>
        <v/>
      </c>
    </row>
    <row r="421" ht="18" customHeight="1">
      <c r="A421" s="52" t="inlineStr">
        <is>
          <t>GN-215</t>
        </is>
      </c>
      <c r="B421" s="53" t="inlineStr">
        <is>
          <t>品川エトワール女子高校</t>
        </is>
      </c>
      <c r="C421" s="54" t="inlineStr">
        <is>
          <t>一般事業者</t>
        </is>
      </c>
      <c r="D421" s="55" t="inlineStr">
        <is>
          <t>東京都品川区南品川５－１２－４</t>
        </is>
      </c>
      <c r="E421" s="56" t="inlineStr">
        <is>
          <t>月・木・水・金</t>
        </is>
      </c>
      <c r="F421" s="55" t="inlineStr">
        <is>
          <t>千葉・白</t>
        </is>
      </c>
      <c r="G421" s="55" t="inlineStr">
        <is>
          <t>一般廃・産廃</t>
        </is>
      </c>
      <c r="H421" s="57" t="n">
        <v>255</v>
      </c>
      <c r="I421" s="58">
        <f>ROUND(H421*4.33,0)</f>
        <v/>
      </c>
      <c r="J421" s="43" t="n">
        <v>0</v>
      </c>
      <c r="K421" s="44">
        <f>IF(J421&gt;0,I421*J421,"")</f>
        <v/>
      </c>
    </row>
    <row r="422" ht="18" customHeight="1">
      <c r="A422" s="52" t="inlineStr">
        <is>
          <t>GN-216</t>
        </is>
      </c>
      <c r="B422" s="53" t="inlineStr">
        <is>
          <t>国田屋</t>
        </is>
      </c>
      <c r="C422" s="54" t="inlineStr">
        <is>
          <t>一般事業者</t>
        </is>
      </c>
      <c r="D422" s="55" t="inlineStr">
        <is>
          <t>東京都目黒区鷹番２－２１－１９－１０３A3</t>
        </is>
      </c>
      <c r="E422" s="56" t="inlineStr">
        <is>
          <t>土・月・木・水・火・金</t>
        </is>
      </c>
      <c r="F422" s="55" t="inlineStr">
        <is>
          <t>中條・千葉・長谷川</t>
        </is>
      </c>
      <c r="G422" s="55" t="inlineStr">
        <is>
          <t>一般廃・瓶缶・産廃</t>
        </is>
      </c>
      <c r="H422" s="57" t="n">
        <v>93</v>
      </c>
      <c r="I422" s="58">
        <f>ROUND(H422*4.33,0)</f>
        <v/>
      </c>
      <c r="J422" s="43" t="n">
        <v>0</v>
      </c>
      <c r="K422" s="44">
        <f>IF(J422&gt;0,I422*J422,"")</f>
        <v/>
      </c>
    </row>
    <row r="423" ht="18" customHeight="1">
      <c r="A423" s="52" t="inlineStr">
        <is>
          <t>GN-217</t>
        </is>
      </c>
      <c r="B423" s="53" t="inlineStr">
        <is>
          <t>坂本青果店</t>
        </is>
      </c>
      <c r="C423" s="54" t="inlineStr">
        <is>
          <t>一般事業者</t>
        </is>
      </c>
      <c r="D423" s="55" t="inlineStr">
        <is>
          <t>東京都目黒区中根１－５－２　都立大高架下B館</t>
        </is>
      </c>
      <c r="E423" s="56" t="inlineStr">
        <is>
          <t>土・日・月・木・水・火・金</t>
        </is>
      </c>
      <c r="F423" s="55" t="inlineStr">
        <is>
          <t>中條・千葉・長谷川</t>
        </is>
      </c>
      <c r="G423" s="55" t="inlineStr">
        <is>
          <t>一般廃・瓶缶・産廃</t>
        </is>
      </c>
      <c r="H423" s="57" t="n">
        <v>48</v>
      </c>
      <c r="I423" s="58">
        <f>ROUND(H423*4.33,0)</f>
        <v/>
      </c>
      <c r="J423" s="43" t="n">
        <v>0</v>
      </c>
      <c r="K423" s="44">
        <f>IF(J423&gt;0,I423*J423,"")</f>
        <v/>
      </c>
    </row>
    <row r="424" ht="18" customHeight="1">
      <c r="A424" s="52" t="inlineStr">
        <is>
          <t>GN-218</t>
        </is>
      </c>
      <c r="B424" s="53" t="inlineStr">
        <is>
          <t>堀之内斎場</t>
        </is>
      </c>
      <c r="C424" s="54" t="inlineStr">
        <is>
          <t>一般事業者</t>
        </is>
      </c>
      <c r="D424" s="55" t="inlineStr">
        <is>
          <t>東京都杉並区梅里１－２－２７</t>
        </is>
      </c>
      <c r="E424" s="56" t="inlineStr">
        <is>
          <t>土・木・火</t>
        </is>
      </c>
      <c r="F424" s="55" t="inlineStr">
        <is>
          <t>大迫・山口</t>
        </is>
      </c>
      <c r="G424" s="55" t="inlineStr">
        <is>
          <t>一般廃・不燃物</t>
        </is>
      </c>
      <c r="H424" s="57" t="n">
        <v>210</v>
      </c>
      <c r="I424" s="58">
        <f>ROUND(H424*4.33,0)</f>
        <v/>
      </c>
      <c r="J424" s="43" t="n">
        <v>0</v>
      </c>
      <c r="K424" s="44">
        <f>IF(J424&gt;0,I424*J424,"")</f>
        <v/>
      </c>
    </row>
    <row r="425" ht="18" customHeight="1">
      <c r="A425" s="52" t="inlineStr">
        <is>
          <t>GN-219</t>
        </is>
      </c>
      <c r="B425" s="53" t="inlineStr">
        <is>
          <t>堤工業</t>
        </is>
      </c>
      <c r="C425" s="54" t="inlineStr">
        <is>
          <t>一般事業者</t>
        </is>
      </c>
      <c r="D425" s="55" t="inlineStr">
        <is>
          <t>東京都大田区西六郷３－２０－１２</t>
        </is>
      </c>
      <c r="E425" s="56" t="inlineStr">
        <is>
          <t>火</t>
        </is>
      </c>
      <c r="F425" s="55" t="inlineStr">
        <is>
          <t>鈴木</t>
        </is>
      </c>
      <c r="G425" s="55" t="inlineStr">
        <is>
          <t>不燃物</t>
        </is>
      </c>
      <c r="H425" s="57" t="n">
        <v>40</v>
      </c>
      <c r="I425" s="58">
        <f>ROUND(H425*4.33,0)</f>
        <v/>
      </c>
      <c r="J425" s="43" t="n">
        <v>0</v>
      </c>
      <c r="K425" s="44">
        <f>IF(J425&gt;0,I425*J425,"")</f>
        <v/>
      </c>
    </row>
    <row r="426" ht="18" customHeight="1">
      <c r="A426" s="52" t="inlineStr">
        <is>
          <t>GN-220</t>
        </is>
      </c>
      <c r="B426" s="53" t="inlineStr">
        <is>
          <t>夜喫茶　サヤシ</t>
        </is>
      </c>
      <c r="C426" s="54" t="inlineStr">
        <is>
          <t>一般事業者</t>
        </is>
      </c>
      <c r="D426" s="55" t="inlineStr">
        <is>
          <t>東京都目黒区鷹番２－２１－１９－２０２</t>
        </is>
      </c>
      <c r="E426" s="56" t="inlineStr">
        <is>
          <t>土・月・木・水・火・金</t>
        </is>
      </c>
      <c r="F426" s="55" t="inlineStr">
        <is>
          <t>中條・千葉・長谷川</t>
        </is>
      </c>
      <c r="G426" s="55" t="inlineStr">
        <is>
          <t>一般廃・瓶缶・産廃</t>
        </is>
      </c>
      <c r="H426" s="57" t="n">
        <v>3</v>
      </c>
      <c r="I426" s="58">
        <f>ROUND(H426*4.33,0)</f>
        <v/>
      </c>
      <c r="J426" s="43" t="n">
        <v>0</v>
      </c>
      <c r="K426" s="44">
        <f>IF(J426&gt;0,I426*J426,"")</f>
        <v/>
      </c>
    </row>
    <row r="427" ht="18" customHeight="1">
      <c r="A427" s="52" t="inlineStr">
        <is>
          <t>GN-221</t>
        </is>
      </c>
      <c r="B427" s="53" t="inlineStr">
        <is>
          <t>大井町線上野毛駅構内店舗</t>
        </is>
      </c>
      <c r="C427" s="54" t="inlineStr">
        <is>
          <t>一般事業者</t>
        </is>
      </c>
      <c r="D427" s="55" t="inlineStr">
        <is>
          <t>東京都世田谷区上野毛１－２６－６</t>
        </is>
      </c>
      <c r="E427" s="56" t="inlineStr">
        <is>
          <t>木</t>
        </is>
      </c>
      <c r="F427" s="55" t="inlineStr">
        <is>
          <t>長野</t>
        </is>
      </c>
      <c r="G427" s="55" t="inlineStr">
        <is>
          <t>産廃</t>
        </is>
      </c>
      <c r="H427" s="57" t="n">
        <v>0</v>
      </c>
      <c r="I427" s="58" t="n">
        <v>0</v>
      </c>
      <c r="J427" s="43" t="n">
        <v>0</v>
      </c>
      <c r="K427" s="44">
        <f>IF(J427&gt;0,I427*J427,"")</f>
        <v/>
      </c>
    </row>
    <row r="428" ht="18" customHeight="1">
      <c r="A428" s="52" t="inlineStr">
        <is>
          <t>GN-222</t>
        </is>
      </c>
      <c r="B428" s="53" t="inlineStr">
        <is>
          <t>大崎電気工業所</t>
        </is>
      </c>
      <c r="C428" s="54" t="inlineStr">
        <is>
          <t>一般事業者</t>
        </is>
      </c>
      <c r="D428" s="55" t="inlineStr">
        <is>
          <t>東京都品川区南品川６－５－１３</t>
        </is>
      </c>
      <c r="E428" s="56" t="inlineStr">
        <is>
          <t>火・金</t>
        </is>
      </c>
      <c r="F428" s="55" t="inlineStr">
        <is>
          <t>鈴木</t>
        </is>
      </c>
      <c r="G428" s="55" t="inlineStr">
        <is>
          <t>不燃物</t>
        </is>
      </c>
      <c r="H428" s="57" t="n">
        <v>65</v>
      </c>
      <c r="I428" s="58">
        <f>ROUND(H428*4.33,0)</f>
        <v/>
      </c>
      <c r="J428" s="43" t="n">
        <v>0</v>
      </c>
      <c r="K428" s="44">
        <f>IF(J428&gt;0,I428*J428,"")</f>
        <v/>
      </c>
    </row>
    <row r="429" ht="18" customHeight="1">
      <c r="A429" s="52" t="inlineStr">
        <is>
          <t>GN-223</t>
        </is>
      </c>
      <c r="B429" s="53" t="inlineStr">
        <is>
          <t>天才キッズクラブ楽学館仲池上園</t>
        </is>
      </c>
      <c r="C429" s="54" t="inlineStr">
        <is>
          <t>一般事業者</t>
        </is>
      </c>
      <c r="D429" s="55" t="inlineStr">
        <is>
          <t>東京都大田区仲池上１－２５－４</t>
        </is>
      </c>
      <c r="E429" s="56" t="inlineStr">
        <is>
          <t>・月・木・水・火・金</t>
        </is>
      </c>
      <c r="F429" s="55" t="inlineStr">
        <is>
          <t>千葉</t>
        </is>
      </c>
      <c r="G429" s="55" t="inlineStr">
        <is>
          <t>産廃</t>
        </is>
      </c>
      <c r="H429" s="57" t="n">
        <v>50</v>
      </c>
      <c r="I429" s="58">
        <f>ROUND(H429*4.33,0)</f>
        <v/>
      </c>
      <c r="J429" s="43" t="n">
        <v>0</v>
      </c>
      <c r="K429" s="44">
        <f>IF(J429&gt;0,I429*J429,"")</f>
        <v/>
      </c>
    </row>
    <row r="430" ht="18" customHeight="1">
      <c r="A430" s="52" t="inlineStr">
        <is>
          <t>GN-224</t>
        </is>
      </c>
      <c r="B430" s="53" t="inlineStr">
        <is>
          <t>好香味坊</t>
        </is>
      </c>
      <c r="C430" s="54" t="inlineStr">
        <is>
          <t>一般事業者</t>
        </is>
      </c>
      <c r="D430" s="55" t="inlineStr">
        <is>
          <t>東京都目黒区鷹番３－３－１学大市場</t>
        </is>
      </c>
      <c r="E430" s="56" t="inlineStr">
        <is>
          <t>・土・日・月・木・水・火・金</t>
        </is>
      </c>
      <c r="F430" s="55" t="inlineStr">
        <is>
          <t>中條・千葉・長谷川</t>
        </is>
      </c>
      <c r="G430" s="55" t="inlineStr">
        <is>
          <t>一般廃・産廃</t>
        </is>
      </c>
      <c r="H430" s="57" t="n">
        <v>53</v>
      </c>
      <c r="I430" s="58">
        <f>ROUND(H430*4.33,0)</f>
        <v/>
      </c>
      <c r="J430" s="43" t="n">
        <v>0</v>
      </c>
      <c r="K430" s="44">
        <f>IF(J430&gt;0,I430*J430,"")</f>
        <v/>
      </c>
    </row>
    <row r="431" ht="18" customHeight="1">
      <c r="A431" s="52" t="inlineStr">
        <is>
          <t>GN-225</t>
        </is>
      </c>
      <c r="B431" s="53" t="inlineStr">
        <is>
          <t>学大コレクティブ（１６BL）</t>
        </is>
      </c>
      <c r="C431" s="54" t="inlineStr">
        <is>
          <t>一般事業者</t>
        </is>
      </c>
      <c r="D431" s="55" t="inlineStr">
        <is>
          <t>東京都目黒区碑文谷６－７－２２　１４BL</t>
        </is>
      </c>
      <c r="E431" s="56" t="inlineStr">
        <is>
          <t>土・月・木・水・火・金</t>
        </is>
      </c>
      <c r="F431" s="55" t="inlineStr">
        <is>
          <t>藤内</t>
        </is>
      </c>
      <c r="G431" s="55" t="inlineStr">
        <is>
          <t>段ボール</t>
        </is>
      </c>
      <c r="H431" s="57" t="n">
        <v>20</v>
      </c>
      <c r="I431" s="58">
        <f>ROUND(H431*4.33,0)</f>
        <v/>
      </c>
      <c r="J431" s="43" t="n">
        <v>0</v>
      </c>
      <c r="K431" s="44">
        <f>IF(J431&gt;0,I431*J431,"")</f>
        <v/>
      </c>
    </row>
    <row r="432" ht="18" customHeight="1">
      <c r="A432" s="52" t="inlineStr">
        <is>
          <t>GN-226</t>
        </is>
      </c>
      <c r="B432" s="53" t="inlineStr">
        <is>
          <t>学大マルムス</t>
        </is>
      </c>
      <c r="C432" s="54" t="inlineStr">
        <is>
          <t>一般事業者</t>
        </is>
      </c>
      <c r="D432" s="55" t="inlineStr">
        <is>
          <t>東京都目黒区鷹番３－３－２学大市場</t>
        </is>
      </c>
      <c r="E432" s="56" t="inlineStr">
        <is>
          <t>・土・日・月・木・水・火・金</t>
        </is>
      </c>
      <c r="F432" s="55" t="inlineStr">
        <is>
          <t>中條・千葉・長谷川</t>
        </is>
      </c>
      <c r="G432" s="55" t="inlineStr">
        <is>
          <t>一般廃・産廃</t>
        </is>
      </c>
      <c r="H432" s="57" t="n">
        <v>25</v>
      </c>
      <c r="I432" s="58">
        <f>ROUND(H432*4.33,0)</f>
        <v/>
      </c>
      <c r="J432" s="43" t="n">
        <v>0</v>
      </c>
      <c r="K432" s="44">
        <f>IF(J432&gt;0,I432*J432,"")</f>
        <v/>
      </c>
    </row>
    <row r="433" ht="18" customHeight="1">
      <c r="A433" s="52" t="inlineStr">
        <is>
          <t>GN-227</t>
        </is>
      </c>
      <c r="B433" s="53" t="inlineStr">
        <is>
          <t>学大マーチ＆シーズンカフェ</t>
        </is>
      </c>
      <c r="C433" s="54" t="inlineStr">
        <is>
          <t>一般事業者</t>
        </is>
      </c>
      <c r="D433" s="55" t="inlineStr">
        <is>
          <t>東京都目黒区鷹番３－３－２学大市場</t>
        </is>
      </c>
      <c r="E433" s="56" t="inlineStr">
        <is>
          <t>・日・月・木・水・火・金</t>
        </is>
      </c>
      <c r="F433" s="55" t="inlineStr">
        <is>
          <t>中條・千葉・長谷川</t>
        </is>
      </c>
      <c r="G433" s="55" t="inlineStr">
        <is>
          <t>一般廃・産廃</t>
        </is>
      </c>
      <c r="H433" s="57" t="n">
        <v>24</v>
      </c>
      <c r="I433" s="58">
        <f>ROUND(H433*4.33,0)</f>
        <v/>
      </c>
      <c r="J433" s="43" t="n">
        <v>0</v>
      </c>
      <c r="K433" s="44">
        <f>IF(J433&gt;0,I433*J433,"")</f>
        <v/>
      </c>
    </row>
    <row r="434" ht="18" customHeight="1">
      <c r="A434" s="52" t="inlineStr">
        <is>
          <t>GN-228</t>
        </is>
      </c>
      <c r="B434" s="53" t="inlineStr">
        <is>
          <t>学校法人　河合塾　新宿校</t>
        </is>
      </c>
      <c r="C434" s="54" t="inlineStr">
        <is>
          <t>一般事業者</t>
        </is>
      </c>
      <c r="D434" s="55" t="inlineStr">
        <is>
          <t>東京都新宿区西新宿７－１２－１</t>
        </is>
      </c>
      <c r="E434" s="56" t="inlineStr">
        <is>
          <t>月・水・金</t>
        </is>
      </c>
      <c r="F434" s="55" t="inlineStr">
        <is>
          <t>長谷川・長野</t>
        </is>
      </c>
      <c r="G434" s="55" t="inlineStr">
        <is>
          <t>一般廃・産廃</t>
        </is>
      </c>
      <c r="H434" s="57" t="n">
        <v>510</v>
      </c>
      <c r="I434" s="58">
        <f>ROUND(H434*4.33,0)</f>
        <v/>
      </c>
      <c r="J434" s="43" t="n">
        <v>0</v>
      </c>
      <c r="K434" s="44">
        <f>IF(J434&gt;0,I434*J434,"")</f>
        <v/>
      </c>
    </row>
    <row r="435" ht="18" customHeight="1">
      <c r="A435" s="52" t="inlineStr">
        <is>
          <t>GN-229</t>
        </is>
      </c>
      <c r="B435" s="53" t="inlineStr">
        <is>
          <t>学校法人　聖ドミニコ学園</t>
        </is>
      </c>
      <c r="C435" s="54" t="inlineStr">
        <is>
          <t>一般事業者</t>
        </is>
      </c>
      <c r="D435" s="55" t="inlineStr">
        <is>
          <t>東京都世田谷区岡本１－１０－１</t>
        </is>
      </c>
      <c r="E435" s="56" t="inlineStr">
        <is>
          <t>木</t>
        </is>
      </c>
      <c r="F435" s="55" t="inlineStr">
        <is>
          <t>長野</t>
        </is>
      </c>
      <c r="G435" s="55" t="inlineStr">
        <is>
          <t>産廃</t>
        </is>
      </c>
      <c r="H435" s="57" t="n">
        <v>240</v>
      </c>
      <c r="I435" s="58">
        <f>ROUND(H435*4.33,0)</f>
        <v/>
      </c>
      <c r="J435" s="43" t="n">
        <v>0</v>
      </c>
      <c r="K435" s="44">
        <f>IF(J435&gt;0,I435*J435,"")</f>
        <v/>
      </c>
    </row>
    <row r="436" ht="18" customHeight="1">
      <c r="A436" s="52" t="inlineStr">
        <is>
          <t>GN-230</t>
        </is>
      </c>
      <c r="B436" s="53" t="inlineStr">
        <is>
          <t>学校法人上野塾東京高等学校</t>
        </is>
      </c>
      <c r="C436" s="54" t="inlineStr">
        <is>
          <t>一般事業者</t>
        </is>
      </c>
      <c r="D436" s="55" t="inlineStr">
        <is>
          <t>東京都大田区鵜の木２－３９－１</t>
        </is>
      </c>
      <c r="E436" s="56" t="inlineStr">
        <is>
          <t>水・金</t>
        </is>
      </c>
      <c r="F436" s="55" t="inlineStr">
        <is>
          <t>千葉</t>
        </is>
      </c>
      <c r="G436" s="55" t="inlineStr">
        <is>
          <t>産廃</t>
        </is>
      </c>
      <c r="H436" s="57" t="n">
        <v>130</v>
      </c>
      <c r="I436" s="58">
        <f>ROUND(H436*4.33,0)</f>
        <v/>
      </c>
      <c r="J436" s="43" t="n">
        <v>0</v>
      </c>
      <c r="K436" s="44">
        <f>IF(J436&gt;0,I436*J436,"")</f>
        <v/>
      </c>
    </row>
    <row r="437" ht="18" customHeight="1">
      <c r="A437" s="52" t="inlineStr">
        <is>
          <t>GN-231</t>
        </is>
      </c>
      <c r="B437" s="53" t="inlineStr">
        <is>
          <t>学校法人河合塾　新宿校</t>
        </is>
      </c>
      <c r="C437" s="54" t="inlineStr">
        <is>
          <t>一般事業者</t>
        </is>
      </c>
      <c r="D437" s="55" t="inlineStr">
        <is>
          <t>東京都新宿区西新宿７－１２－１</t>
        </is>
      </c>
      <c r="E437" s="56" t="inlineStr">
        <is>
          <t>土・木・火</t>
        </is>
      </c>
      <c r="F437" s="55" t="inlineStr">
        <is>
          <t>大迫</t>
        </is>
      </c>
      <c r="G437" s="55" t="inlineStr">
        <is>
          <t>一般廃</t>
        </is>
      </c>
      <c r="H437" s="57" t="n">
        <v>70</v>
      </c>
      <c r="I437" s="58">
        <f>ROUND(H437*4.33,0)</f>
        <v/>
      </c>
      <c r="J437" s="43" t="n">
        <v>0</v>
      </c>
      <c r="K437" s="44">
        <f>IF(J437&gt;0,I437*J437,"")</f>
        <v/>
      </c>
    </row>
    <row r="438" ht="18" customHeight="1">
      <c r="A438" s="52" t="inlineStr">
        <is>
          <t>GN-232</t>
        </is>
      </c>
      <c r="B438" s="53" t="inlineStr">
        <is>
          <t>学校法人聖ドミニコ学園</t>
        </is>
      </c>
      <c r="C438" s="54" t="inlineStr">
        <is>
          <t>一般事業者</t>
        </is>
      </c>
      <c r="D438" s="55" t="inlineStr">
        <is>
          <t>東京都世田谷区岡本１－１０－１</t>
        </is>
      </c>
      <c r="E438" s="56" t="inlineStr">
        <is>
          <t>木・火</t>
        </is>
      </c>
      <c r="F438" s="55" t="inlineStr">
        <is>
          <t>白</t>
        </is>
      </c>
      <c r="G438" s="55" t="inlineStr">
        <is>
          <t>一般廃</t>
        </is>
      </c>
      <c r="H438" s="57" t="n">
        <v>450</v>
      </c>
      <c r="I438" s="58">
        <f>ROUND(H438*4.33,0)</f>
        <v/>
      </c>
      <c r="J438" s="43" t="n">
        <v>0</v>
      </c>
      <c r="K438" s="44">
        <f>IF(J438&gt;0,I438*J438,"")</f>
        <v/>
      </c>
    </row>
    <row r="439" ht="18" customHeight="1">
      <c r="A439" s="52" t="inlineStr">
        <is>
          <t>GN-233</t>
        </is>
      </c>
      <c r="B439" s="53" t="inlineStr">
        <is>
          <t>学芸会</t>
        </is>
      </c>
      <c r="C439" s="54" t="inlineStr">
        <is>
          <t>一般事業者</t>
        </is>
      </c>
      <c r="D439" s="55" t="inlineStr">
        <is>
          <t>東京都目黒区碑文谷６－６－８　GAKUDAI COLLECTIV A-0</t>
        </is>
      </c>
      <c r="E439" s="56" t="inlineStr">
        <is>
          <t>土・月・木・水・火・金</t>
        </is>
      </c>
      <c r="F439" s="55" t="inlineStr">
        <is>
          <t>千葉・長谷川</t>
        </is>
      </c>
      <c r="G439" s="55" t="inlineStr">
        <is>
          <t>一般廃・産廃</t>
        </is>
      </c>
      <c r="H439" s="57" t="n">
        <v>20</v>
      </c>
      <c r="I439" s="58">
        <f>ROUND(H439*4.33,0)</f>
        <v/>
      </c>
      <c r="J439" s="43" t="n">
        <v>0</v>
      </c>
      <c r="K439" s="44">
        <f>IF(J439&gt;0,I439*J439,"")</f>
        <v/>
      </c>
    </row>
    <row r="440" ht="18" customHeight="1">
      <c r="A440" s="52" t="inlineStr">
        <is>
          <t>GN-234</t>
        </is>
      </c>
      <c r="B440" s="53" t="inlineStr">
        <is>
          <t>学芸大学高架下（１０BL）</t>
        </is>
      </c>
      <c r="C440" s="54" t="inlineStr">
        <is>
          <t>一般事業者</t>
        </is>
      </c>
      <c r="D440" s="55" t="inlineStr">
        <is>
          <t>東京都目黒区鷹番２－２１－１</t>
        </is>
      </c>
      <c r="E440" s="56" t="inlineStr">
        <is>
          <t>土・月・木・水・火・金</t>
        </is>
      </c>
      <c r="F440" s="55" t="inlineStr">
        <is>
          <t>藤内</t>
        </is>
      </c>
      <c r="G440" s="55" t="inlineStr">
        <is>
          <t>段ボール</t>
        </is>
      </c>
      <c r="H440" s="57" t="n">
        <v>45</v>
      </c>
      <c r="I440" s="58">
        <f>ROUND(H440*4.33,0)</f>
        <v/>
      </c>
      <c r="J440" s="43" t="n">
        <v>0</v>
      </c>
      <c r="K440" s="44">
        <f>IF(J440&gt;0,I440*J440,"")</f>
        <v/>
      </c>
    </row>
    <row r="441" ht="18" customHeight="1">
      <c r="A441" s="52" t="inlineStr">
        <is>
          <t>GN-235</t>
        </is>
      </c>
      <c r="B441" s="53" t="inlineStr">
        <is>
          <t>学芸大学高架下（１３BL）</t>
        </is>
      </c>
      <c r="C441" s="54" t="inlineStr">
        <is>
          <t>一般事業者</t>
        </is>
      </c>
      <c r="D441" s="55" t="inlineStr">
        <is>
          <t>東京都目黒区鷹番３－３－２</t>
        </is>
      </c>
      <c r="E441" s="56" t="inlineStr">
        <is>
          <t>土・月・木・水・火・金</t>
        </is>
      </c>
      <c r="F441" s="55" t="inlineStr">
        <is>
          <t>藤内</t>
        </is>
      </c>
      <c r="G441" s="55" t="inlineStr">
        <is>
          <t>段ボール</t>
        </is>
      </c>
      <c r="H441" s="57" t="n">
        <v>670</v>
      </c>
      <c r="I441" s="58">
        <f>ROUND(H441*4.33,0)</f>
        <v/>
      </c>
      <c r="J441" s="43" t="n">
        <v>0</v>
      </c>
      <c r="K441" s="44">
        <f>IF(J441&gt;0,I441*J441,"")</f>
        <v/>
      </c>
    </row>
    <row r="442" ht="18" customHeight="1">
      <c r="A442" s="52" t="inlineStr">
        <is>
          <t>GN-236</t>
        </is>
      </c>
      <c r="B442" s="53" t="inlineStr">
        <is>
          <t>学芸大学高架下（１４BL）</t>
        </is>
      </c>
      <c r="C442" s="54" t="inlineStr">
        <is>
          <t>一般事業者</t>
        </is>
      </c>
      <c r="D442" s="55" t="inlineStr">
        <is>
          <t>東京都目黒区鷹番３－４－２５</t>
        </is>
      </c>
      <c r="E442" s="56" t="inlineStr">
        <is>
          <t>土・月・木・水・火・金</t>
        </is>
      </c>
      <c r="F442" s="55" t="inlineStr">
        <is>
          <t>藤内</t>
        </is>
      </c>
      <c r="G442" s="55" t="inlineStr">
        <is>
          <t>段ボール</t>
        </is>
      </c>
      <c r="H442" s="57" t="n">
        <v>250</v>
      </c>
      <c r="I442" s="58">
        <f>ROUND(H442*4.33,0)</f>
        <v/>
      </c>
      <c r="J442" s="43" t="n">
        <v>0</v>
      </c>
      <c r="K442" s="44">
        <f>IF(J442&gt;0,I442*J442,"")</f>
        <v/>
      </c>
    </row>
    <row r="443" ht="18" customHeight="1">
      <c r="A443" s="52" t="inlineStr">
        <is>
          <t>GN-237</t>
        </is>
      </c>
      <c r="B443" s="53" t="inlineStr">
        <is>
          <t>居酒屋めぐろ川前</t>
        </is>
      </c>
      <c r="C443" s="54" t="inlineStr">
        <is>
          <t>一般事業者</t>
        </is>
      </c>
      <c r="D443" s="55" t="inlineStr">
        <is>
          <t>東京都品川区西五反田１－１２－１</t>
        </is>
      </c>
      <c r="E443" s="56" t="inlineStr">
        <is>
          <t>月・水・火・金</t>
        </is>
      </c>
      <c r="F443" s="55" t="inlineStr">
        <is>
          <t>中條・千葉</t>
        </is>
      </c>
      <c r="G443" s="55" t="inlineStr">
        <is>
          <t>瓶缶・産廃</t>
        </is>
      </c>
      <c r="H443" s="57" t="n">
        <v>4</v>
      </c>
      <c r="I443" s="58">
        <f>ROUND(H443*4.33,0)</f>
        <v/>
      </c>
      <c r="J443" s="43" t="n">
        <v>0</v>
      </c>
      <c r="K443" s="44">
        <f>IF(J443&gt;0,I443*J443,"")</f>
        <v/>
      </c>
    </row>
    <row r="444" ht="18" customHeight="1">
      <c r="A444" s="52" t="inlineStr">
        <is>
          <t>GN-238</t>
        </is>
      </c>
      <c r="B444" s="53" t="inlineStr">
        <is>
          <t>山崎製作所</t>
        </is>
      </c>
      <c r="C444" s="54" t="inlineStr">
        <is>
          <t>一般事業者</t>
        </is>
      </c>
      <c r="D444" s="55" t="inlineStr">
        <is>
          <t>東京都大田区南千束１－２４－１６</t>
        </is>
      </c>
      <c r="E444" s="56" t="inlineStr">
        <is>
          <t>金</t>
        </is>
      </c>
      <c r="F444" s="55" t="inlineStr">
        <is>
          <t>鈴木</t>
        </is>
      </c>
      <c r="G444" s="55" t="inlineStr">
        <is>
          <t>不燃物</t>
        </is>
      </c>
      <c r="H444" s="57" t="n">
        <v>65</v>
      </c>
      <c r="I444" s="58">
        <f>ROUND(H444*4.33,0)</f>
        <v/>
      </c>
      <c r="J444" s="43" t="n">
        <v>0</v>
      </c>
      <c r="K444" s="44">
        <f>IF(J444&gt;0,I444*J444,"")</f>
        <v/>
      </c>
    </row>
    <row r="445" ht="18" customHeight="1">
      <c r="A445" s="52" t="inlineStr">
        <is>
          <t>GN-239</t>
        </is>
      </c>
      <c r="B445" s="53" t="inlineStr">
        <is>
          <t>干支屋</t>
        </is>
      </c>
      <c r="C445" s="54" t="inlineStr">
        <is>
          <t>一般事業者</t>
        </is>
      </c>
      <c r="D445" s="55" t="inlineStr">
        <is>
          <t>東京都目黒区鷹番２－２１－１９学大横丁A4</t>
        </is>
      </c>
      <c r="E445" s="56" t="inlineStr">
        <is>
          <t>土・月・木・水・火・金</t>
        </is>
      </c>
      <c r="F445" s="55" t="inlineStr">
        <is>
          <t>中條・千葉・長谷川</t>
        </is>
      </c>
      <c r="G445" s="55" t="inlineStr">
        <is>
          <t>一般廃・瓶缶・産廃</t>
        </is>
      </c>
      <c r="H445" s="57" t="n">
        <v>220</v>
      </c>
      <c r="I445" s="58">
        <f>ROUND(H445*4.33,0)</f>
        <v/>
      </c>
      <c r="J445" s="43" t="n">
        <v>0</v>
      </c>
      <c r="K445" s="44">
        <f>IF(J445&gt;0,I445*J445,"")</f>
        <v/>
      </c>
    </row>
    <row r="446" ht="18" customHeight="1">
      <c r="A446" s="52" t="inlineStr">
        <is>
          <t>GN-240</t>
        </is>
      </c>
      <c r="B446" s="53" t="inlineStr">
        <is>
          <t>愛着工房　学芸大学店</t>
        </is>
      </c>
      <c r="C446" s="54" t="inlineStr">
        <is>
          <t>一般事業者</t>
        </is>
      </c>
      <c r="D446" s="55" t="inlineStr">
        <is>
          <t>東京都目黒区鷹番３－４－２５　学大小路１４－０５</t>
        </is>
      </c>
      <c r="E446" s="56" t="inlineStr">
        <is>
          <t>・土・日・月・木・水・火・金</t>
        </is>
      </c>
      <c r="F446" s="55" t="inlineStr">
        <is>
          <t>中條・千葉・長谷川</t>
        </is>
      </c>
      <c r="G446" s="55" t="inlineStr">
        <is>
          <t>一般廃・産廃</t>
        </is>
      </c>
      <c r="H446" s="57" t="n">
        <v>22</v>
      </c>
      <c r="I446" s="58">
        <f>ROUND(H446*4.33,0)</f>
        <v/>
      </c>
      <c r="J446" s="43" t="n">
        <v>0</v>
      </c>
      <c r="K446" s="44">
        <f>IF(J446&gt;0,I446*J446,"")</f>
        <v/>
      </c>
    </row>
    <row r="447" ht="18" customHeight="1">
      <c r="A447" s="52" t="inlineStr">
        <is>
          <t>GN-241</t>
        </is>
      </c>
      <c r="B447" s="53" t="inlineStr">
        <is>
          <t>日吉エリア</t>
        </is>
      </c>
      <c r="C447" s="54" t="inlineStr">
        <is>
          <t>一般事業者</t>
        </is>
      </c>
      <c r="D447" s="55" t="inlineStr">
        <is>
          <t>東京都大田区田園調布１－５３－８</t>
        </is>
      </c>
      <c r="E447" s="56" t="inlineStr">
        <is>
          <t>・土・木・火</t>
        </is>
      </c>
      <c r="F447" s="55" t="inlineStr">
        <is>
          <t>中條・千葉・和田・荻野・長野</t>
        </is>
      </c>
      <c r="G447" s="55" t="inlineStr">
        <is>
          <t>段ボール・産廃・資源</t>
        </is>
      </c>
      <c r="H447" s="57" t="n">
        <v>50</v>
      </c>
      <c r="I447" s="58">
        <f>ROUND(H447*4.33,0)</f>
        <v/>
      </c>
      <c r="J447" s="43" t="n">
        <v>0</v>
      </c>
      <c r="K447" s="44">
        <f>IF(J447&gt;0,I447*J447,"")</f>
        <v/>
      </c>
    </row>
    <row r="448" ht="18" customHeight="1">
      <c r="A448" s="52" t="inlineStr">
        <is>
          <t>GN-242</t>
        </is>
      </c>
      <c r="B448" s="53" t="inlineStr">
        <is>
          <t>日常（KIKI)</t>
        </is>
      </c>
      <c r="C448" s="54" t="inlineStr">
        <is>
          <t>一般事業者</t>
        </is>
      </c>
      <c r="D448" s="55" t="inlineStr">
        <is>
          <t>東京都目黒区碑文谷６－６－８　GAKUDAI COLLECTIV F-1</t>
        </is>
      </c>
      <c r="E448" s="56" t="inlineStr">
        <is>
          <t>土・月・木・水・火・金</t>
        </is>
      </c>
      <c r="F448" s="55" t="inlineStr">
        <is>
          <t>千葉・長谷川</t>
        </is>
      </c>
      <c r="G448" s="55" t="inlineStr">
        <is>
          <t>一般廃・産廃</t>
        </is>
      </c>
      <c r="H448" s="57" t="n">
        <v>0</v>
      </c>
      <c r="I448" s="58" t="n">
        <v>0</v>
      </c>
      <c r="J448" s="43" t="n">
        <v>0</v>
      </c>
      <c r="K448" s="44">
        <f>IF(J448&gt;0,I448*J448,"")</f>
        <v/>
      </c>
    </row>
    <row r="449" ht="18" customHeight="1">
      <c r="A449" s="52" t="inlineStr">
        <is>
          <t>GN-243</t>
        </is>
      </c>
      <c r="B449" s="53" t="inlineStr">
        <is>
          <t>日本ロジテム三幸営業所</t>
        </is>
      </c>
      <c r="C449" s="54" t="inlineStr">
        <is>
          <t>一般事業者</t>
        </is>
      </c>
      <c r="D449" s="55" t="inlineStr">
        <is>
          <t>東京都大田区仲池上１－３１－５</t>
        </is>
      </c>
      <c r="E449" s="56" t="inlineStr">
        <is>
          <t>水・金</t>
        </is>
      </c>
      <c r="F449" s="55" t="inlineStr">
        <is>
          <t>千葉</t>
        </is>
      </c>
      <c r="G449" s="55" t="inlineStr">
        <is>
          <t>産廃</t>
        </is>
      </c>
      <c r="H449" s="57" t="n">
        <v>230</v>
      </c>
      <c r="I449" s="58">
        <f>ROUND(H449*4.33,0)</f>
        <v/>
      </c>
      <c r="J449" s="43" t="n">
        <v>0</v>
      </c>
      <c r="K449" s="44">
        <f>IF(J449&gt;0,I449*J449,"")</f>
        <v/>
      </c>
    </row>
    <row r="450" ht="18" customHeight="1">
      <c r="A450" s="52" t="inlineStr">
        <is>
          <t>GN-244</t>
        </is>
      </c>
      <c r="B450" s="53" t="inlineStr">
        <is>
          <t>日栄インテック　本社</t>
        </is>
      </c>
      <c r="C450" s="54" t="inlineStr">
        <is>
          <t>一般事業者</t>
        </is>
      </c>
      <c r="D450" s="55" t="inlineStr">
        <is>
          <t>東京都荒川区西尾久７－３４－１０</t>
        </is>
      </c>
      <c r="E450" s="56" t="inlineStr">
        <is>
          <t>土・木・水・火</t>
        </is>
      </c>
      <c r="F450" s="55" t="inlineStr">
        <is>
          <t>和田・荻野・岡田・長野</t>
        </is>
      </c>
      <c r="G450" s="55" t="inlineStr">
        <is>
          <t>一般廃・段ボール・産廃</t>
        </is>
      </c>
      <c r="H450" s="57" t="n">
        <v>167</v>
      </c>
      <c r="I450" s="58">
        <f>ROUND(H450*4.33,0)</f>
        <v/>
      </c>
      <c r="J450" s="43" t="n">
        <v>0</v>
      </c>
      <c r="K450" s="44">
        <f>IF(J450&gt;0,I450*J450,"")</f>
        <v/>
      </c>
    </row>
    <row r="451" ht="18" customHeight="1">
      <c r="A451" s="52" t="inlineStr">
        <is>
          <t>GN-245</t>
        </is>
      </c>
      <c r="B451" s="53" t="inlineStr">
        <is>
          <t>日栄インテック　第二ビル</t>
        </is>
      </c>
      <c r="C451" s="54" t="inlineStr">
        <is>
          <t>一般事業者</t>
        </is>
      </c>
      <c r="D451" s="55" t="inlineStr">
        <is>
          <t>東京都荒川区西尾久７－５７－８日栄インテック第二ビル</t>
        </is>
      </c>
      <c r="E451" s="56" t="inlineStr">
        <is>
          <t>土・木・水・火</t>
        </is>
      </c>
      <c r="F451" s="55" t="inlineStr">
        <is>
          <t>和田・荻野・岡田・長野</t>
        </is>
      </c>
      <c r="G451" s="55" t="inlineStr">
        <is>
          <t>一般廃・段ボール・産廃</t>
        </is>
      </c>
      <c r="H451" s="57" t="n">
        <v>118</v>
      </c>
      <c r="I451" s="58">
        <f>ROUND(H451*4.33,0)</f>
        <v/>
      </c>
      <c r="J451" s="43" t="n">
        <v>0</v>
      </c>
      <c r="K451" s="44">
        <f>IF(J451&gt;0,I451*J451,"")</f>
        <v/>
      </c>
    </row>
    <row r="452" ht="18" customHeight="1">
      <c r="A452" s="52" t="inlineStr">
        <is>
          <t>GN-246</t>
        </is>
      </c>
      <c r="B452" s="53" t="inlineStr">
        <is>
          <t>日比谷花壇（WONDER FLOWER)</t>
        </is>
      </c>
      <c r="C452" s="54" t="inlineStr">
        <is>
          <t>一般事業者</t>
        </is>
      </c>
      <c r="D452" s="55" t="inlineStr">
        <is>
          <t>東京都目黒区自由が丘１－３１－２　自由が丘高架下</t>
        </is>
      </c>
      <c r="E452" s="56" t="inlineStr">
        <is>
          <t>・木・火</t>
        </is>
      </c>
      <c r="F452" s="55" t="inlineStr">
        <is>
          <t>千葉</t>
        </is>
      </c>
      <c r="G452" s="55" t="inlineStr">
        <is>
          <t>産廃</t>
        </is>
      </c>
      <c r="H452" s="57" t="n">
        <v>60</v>
      </c>
      <c r="I452" s="58">
        <f>ROUND(H452*4.33,0)</f>
        <v/>
      </c>
      <c r="J452" s="43" t="n">
        <v>0</v>
      </c>
      <c r="K452" s="44">
        <f>IF(J452&gt;0,I452*J452,"")</f>
        <v/>
      </c>
    </row>
    <row r="453" ht="18" customHeight="1">
      <c r="A453" s="52" t="inlineStr">
        <is>
          <t>GN-247</t>
        </is>
      </c>
      <c r="B453" s="53" t="inlineStr">
        <is>
          <t>曼茶羅</t>
        </is>
      </c>
      <c r="C453" s="54" t="inlineStr">
        <is>
          <t>一般事業者</t>
        </is>
      </c>
      <c r="D453" s="55" t="inlineStr">
        <is>
          <t>東京都目黒区上目黒３－４３－１６　L２</t>
        </is>
      </c>
      <c r="E453" s="56" t="inlineStr">
        <is>
          <t>土・月・木・水・火・金</t>
        </is>
      </c>
      <c r="F453" s="55" t="inlineStr">
        <is>
          <t>千葉・長谷川</t>
        </is>
      </c>
      <c r="G453" s="55" t="inlineStr">
        <is>
          <t>一般廃・産廃</t>
        </is>
      </c>
      <c r="H453" s="57" t="n">
        <v>1</v>
      </c>
      <c r="I453" s="58">
        <f>ROUND(H453*4.33,0)</f>
        <v/>
      </c>
      <c r="J453" s="43" t="n">
        <v>0</v>
      </c>
      <c r="K453" s="44">
        <f>IF(J453&gt;0,I453*J453,"")</f>
        <v/>
      </c>
    </row>
    <row r="454" ht="18" customHeight="1">
      <c r="A454" s="52" t="inlineStr">
        <is>
          <t>GN-248</t>
        </is>
      </c>
      <c r="B454" s="53" t="inlineStr">
        <is>
          <t>有縁</t>
        </is>
      </c>
      <c r="C454" s="54" t="inlineStr">
        <is>
          <t>一般事業者</t>
        </is>
      </c>
      <c r="D454" s="55" t="inlineStr">
        <is>
          <t>東京都目黒区碑文谷６－６－６　GAKUDAI COLLECTIV C-2</t>
        </is>
      </c>
      <c r="E454" s="56" t="inlineStr">
        <is>
          <t>土・月・木・水・火・金</t>
        </is>
      </c>
      <c r="F454" s="55" t="inlineStr">
        <is>
          <t>千葉・長谷川</t>
        </is>
      </c>
      <c r="G454" s="55" t="inlineStr">
        <is>
          <t>一般廃・産廃</t>
        </is>
      </c>
      <c r="H454" s="57" t="n">
        <v>146</v>
      </c>
      <c r="I454" s="58">
        <f>ROUND(H454*4.33,0)</f>
        <v/>
      </c>
      <c r="J454" s="43" t="n">
        <v>0</v>
      </c>
      <c r="K454" s="44">
        <f>IF(J454&gt;0,I454*J454,"")</f>
        <v/>
      </c>
    </row>
    <row r="455" ht="18" customHeight="1">
      <c r="A455" s="52" t="inlineStr">
        <is>
          <t>GN-249</t>
        </is>
      </c>
      <c r="B455" s="53" t="inlineStr">
        <is>
          <t>東京ガスリビングラインライフバル西大田</t>
        </is>
      </c>
      <c r="C455" s="54" t="inlineStr">
        <is>
          <t>一般事業者</t>
        </is>
      </c>
      <c r="D455" s="55" t="inlineStr">
        <is>
          <t>東京都大田区上池台４－３９－５　２F</t>
        </is>
      </c>
      <c r="E455" s="56" t="inlineStr">
        <is>
          <t>水・金</t>
        </is>
      </c>
      <c r="F455" s="55" t="inlineStr">
        <is>
          <t>千葉</t>
        </is>
      </c>
      <c r="G455" s="55" t="inlineStr">
        <is>
          <t>産廃</t>
        </is>
      </c>
      <c r="H455" s="57" t="n">
        <v>110</v>
      </c>
      <c r="I455" s="58">
        <f>ROUND(H455*4.33,0)</f>
        <v/>
      </c>
      <c r="J455" s="43" t="n">
        <v>0</v>
      </c>
      <c r="K455" s="44">
        <f>IF(J455&gt;0,I455*J455,"")</f>
        <v/>
      </c>
    </row>
    <row r="456" ht="18" customHeight="1">
      <c r="A456" s="52" t="inlineStr">
        <is>
          <t>GN-250</t>
        </is>
      </c>
      <c r="B456" s="53" t="inlineStr">
        <is>
          <t>東京リーガルマインド　水道橋本校</t>
        </is>
      </c>
      <c r="C456" s="54" t="inlineStr">
        <is>
          <t>一般事業者</t>
        </is>
      </c>
      <c r="D456" s="55" t="inlineStr">
        <is>
          <t>東京都千代田区神田三崎町２－２－１５</t>
        </is>
      </c>
      <c r="E456" s="56" t="inlineStr">
        <is>
          <t>金</t>
        </is>
      </c>
      <c r="F456" s="55" t="inlineStr">
        <is>
          <t>長野</t>
        </is>
      </c>
      <c r="G456" s="55" t="inlineStr">
        <is>
          <t>産廃</t>
        </is>
      </c>
      <c r="H456" s="57" t="n">
        <v>60</v>
      </c>
      <c r="I456" s="58">
        <f>ROUND(H456*4.33,0)</f>
        <v/>
      </c>
      <c r="J456" s="43" t="n">
        <v>0</v>
      </c>
      <c r="K456" s="44">
        <f>IF(J456&gt;0,I456*J456,"")</f>
        <v/>
      </c>
    </row>
    <row r="457" ht="18" customHeight="1">
      <c r="A457" s="52" t="inlineStr">
        <is>
          <t>GN-251</t>
        </is>
      </c>
      <c r="B457" s="53" t="inlineStr">
        <is>
          <t>東京宝くじロトハウス鵜の木駅店</t>
        </is>
      </c>
      <c r="C457" s="54" t="inlineStr">
        <is>
          <t>一般事業者</t>
        </is>
      </c>
      <c r="D457" s="55" t="inlineStr">
        <is>
          <t>東京都大田区鵜の木２－４－１　エトモ鵜の木</t>
        </is>
      </c>
      <c r="E457" s="56" t="inlineStr">
        <is>
          <t>火</t>
        </is>
      </c>
      <c r="F457" s="55" t="inlineStr">
        <is>
          <t>千葉</t>
        </is>
      </c>
      <c r="G457" s="55" t="inlineStr">
        <is>
          <t>産廃</t>
        </is>
      </c>
      <c r="H457" s="57" t="n">
        <v>0</v>
      </c>
      <c r="I457" s="58" t="n">
        <v>0</v>
      </c>
      <c r="J457" s="43" t="n">
        <v>0</v>
      </c>
      <c r="K457" s="44">
        <f>IF(J457&gt;0,I457*J457,"")</f>
        <v/>
      </c>
    </row>
    <row r="458" ht="18" customHeight="1">
      <c r="A458" s="52" t="inlineStr">
        <is>
          <t>GN-252</t>
        </is>
      </c>
      <c r="B458" s="53" t="inlineStr">
        <is>
          <t>東京食堂</t>
        </is>
      </c>
      <c r="C458" s="54" t="inlineStr">
        <is>
          <t>一般事業者</t>
        </is>
      </c>
      <c r="D458" s="55" t="inlineStr">
        <is>
          <t>東京都品川区西五反田１－１２－１</t>
        </is>
      </c>
      <c r="E458" s="56" t="inlineStr">
        <is>
          <t>月・水・火・金</t>
        </is>
      </c>
      <c r="F458" s="55" t="inlineStr">
        <is>
          <t>中條・千葉</t>
        </is>
      </c>
      <c r="G458" s="55" t="inlineStr">
        <is>
          <t>瓶缶・産廃</t>
        </is>
      </c>
      <c r="H458" s="57" t="n">
        <v>16</v>
      </c>
      <c r="I458" s="58">
        <f>ROUND(H458*4.33,0)</f>
        <v/>
      </c>
      <c r="J458" s="43" t="n">
        <v>0</v>
      </c>
      <c r="K458" s="44">
        <f>IF(J458&gt;0,I458*J458,"")</f>
        <v/>
      </c>
    </row>
    <row r="459" ht="18" customHeight="1">
      <c r="A459" s="52" t="inlineStr">
        <is>
          <t>GN-253</t>
        </is>
      </c>
      <c r="B459" s="53" t="inlineStr">
        <is>
          <t>東洋レコーディング</t>
        </is>
      </c>
      <c r="C459" s="54" t="inlineStr">
        <is>
          <t>一般事業者</t>
        </is>
      </c>
      <c r="D459" s="55" t="inlineStr">
        <is>
          <t>東京都港区赤坂４－５－１９</t>
        </is>
      </c>
      <c r="E459" s="56" t="inlineStr">
        <is>
          <t>土・木・火</t>
        </is>
      </c>
      <c r="F459" s="55" t="inlineStr">
        <is>
          <t>岡田・長野</t>
        </is>
      </c>
      <c r="G459" s="55" t="inlineStr">
        <is>
          <t>一般廃・産廃</t>
        </is>
      </c>
      <c r="H459" s="57" t="n">
        <v>227</v>
      </c>
      <c r="I459" s="58">
        <f>ROUND(H459*4.33,0)</f>
        <v/>
      </c>
      <c r="J459" s="43" t="n">
        <v>0</v>
      </c>
      <c r="K459" s="44">
        <f>IF(J459&gt;0,I459*J459,"")</f>
        <v/>
      </c>
    </row>
    <row r="460" ht="18" customHeight="1">
      <c r="A460" s="52" t="inlineStr">
        <is>
          <t>GN-254</t>
        </is>
      </c>
      <c r="B460" s="53" t="inlineStr">
        <is>
          <t>東洋紙業(株)</t>
        </is>
      </c>
      <c r="C460" s="54" t="inlineStr">
        <is>
          <t>一般事業者</t>
        </is>
      </c>
      <c r="D460" s="55" t="inlineStr">
        <is>
          <t>東京都品川区南品川６－１－５</t>
        </is>
      </c>
      <c r="E460" s="56" t="inlineStr">
        <is>
          <t>月・木・水・金</t>
        </is>
      </c>
      <c r="F460" s="55" t="inlineStr">
        <is>
          <t>千葉・白</t>
        </is>
      </c>
      <c r="G460" s="55" t="inlineStr">
        <is>
          <t>一般廃・産廃</t>
        </is>
      </c>
      <c r="H460" s="57" t="n">
        <v>70</v>
      </c>
      <c r="I460" s="58">
        <f>ROUND(H460*4.33,0)</f>
        <v/>
      </c>
      <c r="J460" s="43" t="n">
        <v>0</v>
      </c>
      <c r="K460" s="44">
        <f>IF(J460&gt;0,I460*J460,"")</f>
        <v/>
      </c>
    </row>
    <row r="461" ht="18" customHeight="1">
      <c r="A461" s="52" t="inlineStr">
        <is>
          <t>GN-255</t>
        </is>
      </c>
      <c r="B461" s="53" t="inlineStr">
        <is>
          <t>桐ケ谷斎場</t>
        </is>
      </c>
      <c r="C461" s="54" t="inlineStr">
        <is>
          <t>一般事業者</t>
        </is>
      </c>
      <c r="D461" s="55" t="inlineStr">
        <is>
          <t>東京都品川区西五反田５－３２－２０</t>
        </is>
      </c>
      <c r="E461" s="56" t="inlineStr">
        <is>
          <t>土・火</t>
        </is>
      </c>
      <c r="F461" s="55" t="inlineStr">
        <is>
          <t>千葉・山口</t>
        </is>
      </c>
      <c r="G461" s="55" t="inlineStr">
        <is>
          <t>不燃物・産廃</t>
        </is>
      </c>
      <c r="H461" s="57" t="n">
        <v>160</v>
      </c>
      <c r="I461" s="58">
        <f>ROUND(H461*4.33,0)</f>
        <v/>
      </c>
      <c r="J461" s="43" t="n">
        <v>0</v>
      </c>
      <c r="K461" s="44">
        <f>IF(J461&gt;0,I461*J461,"")</f>
        <v/>
      </c>
    </row>
    <row r="462" ht="18" customHeight="1">
      <c r="A462" s="52" t="inlineStr">
        <is>
          <t>GN-256</t>
        </is>
      </c>
      <c r="B462" s="53" t="inlineStr">
        <is>
          <t>桜小路　共用部</t>
        </is>
      </c>
      <c r="C462" s="54" t="inlineStr">
        <is>
          <t>一般事業者</t>
        </is>
      </c>
      <c r="D462" s="55" t="inlineStr">
        <is>
          <t>東京都品川区西五反田１－１２－１</t>
        </is>
      </c>
      <c r="E462" s="56" t="inlineStr">
        <is>
          <t>月・水・金</t>
        </is>
      </c>
      <c r="F462" s="55" t="inlineStr">
        <is>
          <t>千葉</t>
        </is>
      </c>
      <c r="G462" s="55" t="inlineStr">
        <is>
          <t>産廃</t>
        </is>
      </c>
      <c r="H462" s="57" t="n">
        <v>0</v>
      </c>
      <c r="I462" s="58" t="n">
        <v>0</v>
      </c>
      <c r="J462" s="43" t="n">
        <v>0</v>
      </c>
      <c r="K462" s="44">
        <f>IF(J462&gt;0,I462*J462,"")</f>
        <v/>
      </c>
    </row>
    <row r="463" ht="18" customHeight="1">
      <c r="A463" s="52" t="inlineStr">
        <is>
          <t>GN-257</t>
        </is>
      </c>
      <c r="B463" s="53" t="inlineStr">
        <is>
          <t>武蔵小山西口駐輪場</t>
        </is>
      </c>
      <c r="C463" s="54" t="inlineStr">
        <is>
          <t>一般事業者</t>
        </is>
      </c>
      <c r="D463" s="55" t="inlineStr">
        <is>
          <t>東京都品川区小山３－４－８</t>
        </is>
      </c>
      <c r="E463" s="56" t="inlineStr">
        <is>
          <t>火</t>
        </is>
      </c>
      <c r="F463" s="55" t="inlineStr">
        <is>
          <t>中條</t>
        </is>
      </c>
      <c r="G463" s="55" t="inlineStr">
        <is>
          <t>不燃物</t>
        </is>
      </c>
      <c r="H463" s="57" t="n">
        <v>0</v>
      </c>
      <c r="I463" s="58" t="n">
        <v>0</v>
      </c>
      <c r="J463" s="43" t="n">
        <v>0</v>
      </c>
      <c r="K463" s="44">
        <f>IF(J463&gt;0,I463*J463,"")</f>
        <v/>
      </c>
    </row>
    <row r="464" ht="18" customHeight="1">
      <c r="A464" s="52" t="inlineStr">
        <is>
          <t>GN-258</t>
        </is>
      </c>
      <c r="B464" s="53" t="inlineStr">
        <is>
          <t>武蔵新田駐輪場</t>
        </is>
      </c>
      <c r="C464" s="54" t="inlineStr">
        <is>
          <t>一般事業者</t>
        </is>
      </c>
      <c r="D464" s="55" t="inlineStr">
        <is>
          <t>東京都大田区矢口１－１８－１</t>
        </is>
      </c>
      <c r="E464" s="56" t="inlineStr">
        <is>
          <t>火</t>
        </is>
      </c>
      <c r="F464" s="55" t="inlineStr">
        <is>
          <t>千葉</t>
        </is>
      </c>
      <c r="G464" s="55" t="inlineStr">
        <is>
          <t>産廃</t>
        </is>
      </c>
      <c r="H464" s="57" t="n">
        <v>0</v>
      </c>
      <c r="I464" s="58" t="n">
        <v>0</v>
      </c>
      <c r="J464" s="43" t="n">
        <v>0</v>
      </c>
      <c r="K464" s="44">
        <f>IF(J464&gt;0,I464*J464,"")</f>
        <v/>
      </c>
    </row>
    <row r="465" ht="18" customHeight="1">
      <c r="A465" s="52" t="inlineStr">
        <is>
          <t>GN-259</t>
        </is>
      </c>
      <c r="B465" s="53" t="inlineStr">
        <is>
          <t>永谷園　別館</t>
        </is>
      </c>
      <c r="C465" s="54" t="inlineStr">
        <is>
          <t>一般事業者</t>
        </is>
      </c>
      <c r="D465" s="55" t="inlineStr">
        <is>
          <t>東京都大田区南六郷１－４－７</t>
        </is>
      </c>
      <c r="E465" s="56" t="inlineStr">
        <is>
          <t>水・金</t>
        </is>
      </c>
      <c r="F465" s="55" t="inlineStr">
        <is>
          <t>千葉</t>
        </is>
      </c>
      <c r="G465" s="55" t="inlineStr">
        <is>
          <t>産廃</t>
        </is>
      </c>
      <c r="H465" s="57" t="n">
        <v>190</v>
      </c>
      <c r="I465" s="58">
        <f>ROUND(H465*4.33,0)</f>
        <v/>
      </c>
      <c r="J465" s="43" t="n">
        <v>0</v>
      </c>
      <c r="K465" s="44">
        <f>IF(J465&gt;0,I465*J465,"")</f>
        <v/>
      </c>
    </row>
    <row r="466" ht="18" customHeight="1">
      <c r="A466" s="52" t="inlineStr">
        <is>
          <t>GN-260</t>
        </is>
      </c>
      <c r="B466" s="53" t="inlineStr">
        <is>
          <t>永谷園　本館</t>
        </is>
      </c>
      <c r="C466" s="54" t="inlineStr">
        <is>
          <t>一般事業者</t>
        </is>
      </c>
      <c r="D466" s="55" t="inlineStr">
        <is>
          <t>東京都大田区東六郷１－１７－８</t>
        </is>
      </c>
      <c r="E466" s="56" t="inlineStr">
        <is>
          <t>水・金</t>
        </is>
      </c>
      <c r="F466" s="55" t="inlineStr">
        <is>
          <t>千葉</t>
        </is>
      </c>
      <c r="G466" s="55" t="inlineStr">
        <is>
          <t>産廃</t>
        </is>
      </c>
      <c r="H466" s="57" t="n">
        <v>220</v>
      </c>
      <c r="I466" s="58">
        <f>ROUND(H466*4.33,0)</f>
        <v/>
      </c>
      <c r="J466" s="43" t="n">
        <v>0</v>
      </c>
      <c r="K466" s="44">
        <f>IF(J466&gt;0,I466*J466,"")</f>
        <v/>
      </c>
    </row>
    <row r="467" ht="18" customHeight="1">
      <c r="A467" s="52" t="inlineStr">
        <is>
          <t>GN-261</t>
        </is>
      </c>
      <c r="B467" s="53" t="inlineStr">
        <is>
          <t>永谷園別館</t>
        </is>
      </c>
      <c r="C467" s="54" t="inlineStr">
        <is>
          <t>一般事業者</t>
        </is>
      </c>
      <c r="D467" s="55" t="inlineStr">
        <is>
          <t>東京都大田区南六郷１－４－７</t>
        </is>
      </c>
      <c r="E467" s="56" t="inlineStr">
        <is>
          <t>月・木・水・金</t>
        </is>
      </c>
      <c r="F467" s="55" t="inlineStr">
        <is>
          <t>中條・白</t>
        </is>
      </c>
      <c r="G467" s="55" t="inlineStr">
        <is>
          <t>一般廃・段ボール</t>
        </is>
      </c>
      <c r="H467" s="57" t="n">
        <v>110</v>
      </c>
      <c r="I467" s="58">
        <f>ROUND(H467*4.33,0)</f>
        <v/>
      </c>
      <c r="J467" s="43" t="n">
        <v>0</v>
      </c>
      <c r="K467" s="44">
        <f>IF(J467&gt;0,I467*J467,"")</f>
        <v/>
      </c>
    </row>
    <row r="468" ht="18" customHeight="1">
      <c r="A468" s="52" t="inlineStr">
        <is>
          <t>GN-262</t>
        </is>
      </c>
      <c r="B468" s="53" t="inlineStr">
        <is>
          <t>永谷園本館</t>
        </is>
      </c>
      <c r="C468" s="54" t="inlineStr">
        <is>
          <t>一般事業者</t>
        </is>
      </c>
      <c r="D468" s="55" t="inlineStr">
        <is>
          <t>東京都大田区東六郷１－１７－８</t>
        </is>
      </c>
      <c r="E468" s="56" t="inlineStr">
        <is>
          <t>月・木・水・金</t>
        </is>
      </c>
      <c r="F468" s="55" t="inlineStr">
        <is>
          <t>中條・白</t>
        </is>
      </c>
      <c r="G468" s="55" t="inlineStr">
        <is>
          <t>一般廃・段ボール</t>
        </is>
      </c>
      <c r="H468" s="57" t="n">
        <v>385</v>
      </c>
      <c r="I468" s="58">
        <f>ROUND(H468*4.33,0)</f>
        <v/>
      </c>
      <c r="J468" s="43" t="n">
        <v>0</v>
      </c>
      <c r="K468" s="44">
        <f>IF(J468&gt;0,I468*J468,"")</f>
        <v/>
      </c>
    </row>
    <row r="469" ht="18" customHeight="1">
      <c r="A469" s="52" t="inlineStr">
        <is>
          <t>GN-263</t>
        </is>
      </c>
      <c r="B469" s="53" t="inlineStr">
        <is>
          <t>河合塾COSMO</t>
        </is>
      </c>
      <c r="C469" s="54" t="inlineStr">
        <is>
          <t>一般事業者</t>
        </is>
      </c>
      <c r="D469" s="55" t="inlineStr">
        <is>
          <t>東京都新宿区西新宿７－１４－７　2階</t>
        </is>
      </c>
      <c r="E469" s="56" t="inlineStr">
        <is>
          <t>土・月・木・水・火・金</t>
        </is>
      </c>
      <c r="F469" s="55" t="inlineStr">
        <is>
          <t>大迫・長谷川・長野</t>
        </is>
      </c>
      <c r="G469" s="55" t="inlineStr">
        <is>
          <t>一般廃・産廃</t>
        </is>
      </c>
      <c r="H469" s="57" t="n">
        <v>97</v>
      </c>
      <c r="I469" s="58">
        <f>ROUND(H469*4.33,0)</f>
        <v/>
      </c>
      <c r="J469" s="43" t="n">
        <v>0</v>
      </c>
      <c r="K469" s="44">
        <f>IF(J469&gt;0,I469*J469,"")</f>
        <v/>
      </c>
    </row>
    <row r="470" ht="18" customHeight="1">
      <c r="A470" s="52" t="inlineStr">
        <is>
          <t>GN-264</t>
        </is>
      </c>
      <c r="B470" s="53" t="inlineStr">
        <is>
          <t>河合塾　KALS新宿校</t>
        </is>
      </c>
      <c r="C470" s="54" t="inlineStr">
        <is>
          <t>一般事業者</t>
        </is>
      </c>
      <c r="D470" s="55" t="inlineStr">
        <is>
          <t>東京都新宿区西新宿７－１５－２</t>
        </is>
      </c>
      <c r="E470" s="56" t="inlineStr">
        <is>
          <t>土・木・火</t>
        </is>
      </c>
      <c r="F470" s="55" t="inlineStr">
        <is>
          <t>和田・荻野・大迫・長野</t>
        </is>
      </c>
      <c r="G470" s="55" t="inlineStr">
        <is>
          <t>一般廃・段ボール・産廃</t>
        </is>
      </c>
      <c r="H470" s="57" t="n">
        <v>190</v>
      </c>
      <c r="I470" s="58">
        <f>ROUND(H470*4.33,0)</f>
        <v/>
      </c>
      <c r="J470" s="43" t="n">
        <v>0</v>
      </c>
      <c r="K470" s="44">
        <f>IF(J470&gt;0,I470*J470,"")</f>
        <v/>
      </c>
    </row>
    <row r="471" ht="18" customHeight="1">
      <c r="A471" s="52" t="inlineStr">
        <is>
          <t>GN-265</t>
        </is>
      </c>
      <c r="B471" s="53" t="inlineStr">
        <is>
          <t>河合塾　本郷校</t>
        </is>
      </c>
      <c r="C471" s="54" t="inlineStr">
        <is>
          <t>一般事業者</t>
        </is>
      </c>
      <c r="D471" s="55" t="inlineStr">
        <is>
          <t>東京都文京区小石川２－６－１</t>
        </is>
      </c>
      <c r="E471" s="56" t="inlineStr">
        <is>
          <t>月</t>
        </is>
      </c>
      <c r="F471" s="55" t="inlineStr">
        <is>
          <t>長野</t>
        </is>
      </c>
      <c r="G471" s="55" t="inlineStr">
        <is>
          <t>産廃</t>
        </is>
      </c>
      <c r="H471" s="57" t="n">
        <v>200</v>
      </c>
      <c r="I471" s="58">
        <f>ROUND(H471*4.33,0)</f>
        <v/>
      </c>
      <c r="J471" s="43" t="n">
        <v>0</v>
      </c>
      <c r="K471" s="44">
        <f>IF(J471&gt;0,I471*J471,"")</f>
        <v/>
      </c>
    </row>
    <row r="472" ht="18" customHeight="1">
      <c r="A472" s="52" t="inlineStr">
        <is>
          <t>GN-266</t>
        </is>
      </c>
      <c r="B472" s="53" t="inlineStr">
        <is>
          <t>河合塾美術研究所</t>
        </is>
      </c>
      <c r="C472" s="54" t="inlineStr">
        <is>
          <t>一般事業者</t>
        </is>
      </c>
      <c r="D472" s="55" t="inlineStr">
        <is>
          <t>東京都新宿区西新宿７－１４－５</t>
        </is>
      </c>
      <c r="E472" s="56" t="inlineStr">
        <is>
          <t>土・月・木・火</t>
        </is>
      </c>
      <c r="F472" s="55" t="inlineStr">
        <is>
          <t>和田・荻野・大迫・長野</t>
        </is>
      </c>
      <c r="G472" s="55" t="inlineStr">
        <is>
          <t>一般廃・段ボール・産廃</t>
        </is>
      </c>
      <c r="H472" s="57" t="n">
        <v>200</v>
      </c>
      <c r="I472" s="58">
        <f>ROUND(H472*4.33,0)</f>
        <v/>
      </c>
      <c r="J472" s="43" t="n">
        <v>0</v>
      </c>
      <c r="K472" s="44">
        <f>IF(J472&gt;0,I472*J472,"")</f>
        <v/>
      </c>
    </row>
    <row r="473" ht="18" customHeight="1">
      <c r="A473" s="52" t="inlineStr">
        <is>
          <t>GN-267</t>
        </is>
      </c>
      <c r="B473" s="53" t="inlineStr">
        <is>
          <t>清澄庁舎</t>
        </is>
      </c>
      <c r="C473" s="54" t="inlineStr">
        <is>
          <t>一般事業者</t>
        </is>
      </c>
      <c r="D473" s="55" t="inlineStr">
        <is>
          <t>東京都江東区清澄３－１１－４</t>
        </is>
      </c>
      <c r="E473" s="56" t="inlineStr">
        <is>
          <t>土・木・水・火</t>
        </is>
      </c>
      <c r="F473" s="55" t="inlineStr">
        <is>
          <t>宮原・岡田</t>
        </is>
      </c>
      <c r="G473" s="55" t="inlineStr">
        <is>
          <t>一般廃・産廃</t>
        </is>
      </c>
      <c r="H473" s="57" t="n">
        <v>202</v>
      </c>
      <c r="I473" s="58">
        <f>ROUND(H473*4.33,0)</f>
        <v/>
      </c>
      <c r="J473" s="43" t="n">
        <v>0</v>
      </c>
      <c r="K473" s="44">
        <f>IF(J473&gt;0,I473*J473,"")</f>
        <v/>
      </c>
    </row>
    <row r="474" ht="18" customHeight="1">
      <c r="A474" s="52" t="inlineStr">
        <is>
          <t>GN-268</t>
        </is>
      </c>
      <c r="B474" s="53" t="inlineStr">
        <is>
          <t>渋谷金王タワー共用部</t>
        </is>
      </c>
      <c r="C474" s="54" t="inlineStr">
        <is>
          <t>一般事業者</t>
        </is>
      </c>
      <c r="D474" s="55" t="inlineStr">
        <is>
          <t>東京都渋谷区渋谷３－６－７</t>
        </is>
      </c>
      <c r="E474" s="56" t="inlineStr">
        <is>
          <t>土・月・木・水・火・金</t>
        </is>
      </c>
      <c r="F474" s="55" t="inlineStr">
        <is>
          <t>長谷川・長野</t>
        </is>
      </c>
      <c r="G474" s="55" t="inlineStr">
        <is>
          <t>一般廃・産廃</t>
        </is>
      </c>
      <c r="H474" s="57" t="n">
        <v>2</v>
      </c>
      <c r="I474" s="58">
        <f>ROUND(H474*4.33,0)</f>
        <v/>
      </c>
      <c r="J474" s="43" t="n">
        <v>0</v>
      </c>
      <c r="K474" s="44">
        <f>IF(J474&gt;0,I474*J474,"")</f>
        <v/>
      </c>
    </row>
    <row r="475" ht="18" customHeight="1">
      <c r="A475" s="52" t="inlineStr">
        <is>
          <t>GN-269</t>
        </is>
      </c>
      <c r="B475" s="53" t="inlineStr">
        <is>
          <t>港町　バル</t>
        </is>
      </c>
      <c r="C475" s="54" t="inlineStr">
        <is>
          <t>一般事業者</t>
        </is>
      </c>
      <c r="D475" s="55" t="inlineStr">
        <is>
          <t>東京都目黒区上目黒３－５－２　４G-3</t>
        </is>
      </c>
      <c r="E475" s="56" t="inlineStr">
        <is>
          <t>・土・日・月・木・水・火・金</t>
        </is>
      </c>
      <c r="F475" s="55" t="inlineStr">
        <is>
          <t>中條・千葉・長谷川</t>
        </is>
      </c>
      <c r="G475" s="55" t="inlineStr">
        <is>
          <t>一般廃・瓶缶・産廃</t>
        </is>
      </c>
      <c r="H475" s="57" t="n">
        <v>155</v>
      </c>
      <c r="I475" s="58">
        <f>ROUND(H475*4.33,0)</f>
        <v/>
      </c>
      <c r="J475" s="43" t="n">
        <v>0</v>
      </c>
      <c r="K475" s="44">
        <f>IF(J475&gt;0,I475*J475,"")</f>
        <v/>
      </c>
    </row>
    <row r="476" ht="18" customHeight="1">
      <c r="A476" s="52" t="inlineStr">
        <is>
          <t>GN-270</t>
        </is>
      </c>
      <c r="B476" s="53" t="inlineStr">
        <is>
          <t>湖山</t>
        </is>
      </c>
      <c r="C476" s="54" t="inlineStr">
        <is>
          <t>一般事業者</t>
        </is>
      </c>
      <c r="D476" s="55" t="inlineStr">
        <is>
          <t>東京都目黒区鷹番２－２１－１９－２０４</t>
        </is>
      </c>
      <c r="E476" s="56" t="inlineStr">
        <is>
          <t>土・月・木・水・火・金</t>
        </is>
      </c>
      <c r="F476" s="55" t="inlineStr">
        <is>
          <t>中條・千葉・長谷川</t>
        </is>
      </c>
      <c r="G476" s="55" t="inlineStr">
        <is>
          <t>一般廃・瓶缶・産廃</t>
        </is>
      </c>
      <c r="H476" s="57" t="n">
        <v>76</v>
      </c>
      <c r="I476" s="58">
        <f>ROUND(H476*4.33,0)</f>
        <v/>
      </c>
      <c r="J476" s="43" t="n">
        <v>0</v>
      </c>
      <c r="K476" s="44">
        <f>IF(J476&gt;0,I476*J476,"")</f>
        <v/>
      </c>
    </row>
    <row r="477" ht="18" customHeight="1">
      <c r="A477" s="52" t="inlineStr">
        <is>
          <t>GN-271</t>
        </is>
      </c>
      <c r="B477" s="53" t="inlineStr">
        <is>
          <t>炉端のぬる燗　佐藤</t>
        </is>
      </c>
      <c r="C477" s="54" t="inlineStr">
        <is>
          <t>一般事業者</t>
        </is>
      </c>
      <c r="D477" s="55" t="inlineStr">
        <is>
          <t>東京都目黒区上目黒３－５－２　２G-4</t>
        </is>
      </c>
      <c r="E477" s="56" t="inlineStr">
        <is>
          <t>・土・日・月・木・水・火・金</t>
        </is>
      </c>
      <c r="F477" s="55" t="inlineStr">
        <is>
          <t>中條・千葉・長谷川</t>
        </is>
      </c>
      <c r="G477" s="55" t="inlineStr">
        <is>
          <t>一般廃・瓶缶・産廃</t>
        </is>
      </c>
      <c r="H477" s="57" t="n">
        <v>133</v>
      </c>
      <c r="I477" s="58">
        <f>ROUND(H477*4.33,0)</f>
        <v/>
      </c>
      <c r="J477" s="43" t="n">
        <v>0</v>
      </c>
      <c r="K477" s="44">
        <f>IF(J477&gt;0,I477*J477,"")</f>
        <v/>
      </c>
    </row>
    <row r="478" ht="18" customHeight="1">
      <c r="A478" s="52" t="inlineStr">
        <is>
          <t>GN-272</t>
        </is>
      </c>
      <c r="B478" s="53" t="inlineStr">
        <is>
          <t>煮込みヤマニ</t>
        </is>
      </c>
      <c r="C478" s="54" t="inlineStr">
        <is>
          <t>一般事業者</t>
        </is>
      </c>
      <c r="D478" s="55" t="inlineStr">
        <is>
          <t>東京都目黒区上目黒３－５－３　１E-１</t>
        </is>
      </c>
      <c r="E478" s="56" t="inlineStr">
        <is>
          <t>・土・月・木・水・火・金</t>
        </is>
      </c>
      <c r="F478" s="55" t="inlineStr">
        <is>
          <t>千葉・長谷川</t>
        </is>
      </c>
      <c r="G478" s="55" t="inlineStr">
        <is>
          <t>一般廃・産廃</t>
        </is>
      </c>
      <c r="H478" s="57" t="n">
        <v>171</v>
      </c>
      <c r="I478" s="58">
        <f>ROUND(H478*4.33,0)</f>
        <v/>
      </c>
      <c r="J478" s="43" t="n">
        <v>0</v>
      </c>
      <c r="K478" s="44">
        <f>IF(J478&gt;0,I478*J478,"")</f>
        <v/>
      </c>
    </row>
    <row r="479" ht="18" customHeight="1">
      <c r="A479" s="52" t="inlineStr">
        <is>
          <t>GN-273</t>
        </is>
      </c>
      <c r="B479" s="53" t="inlineStr">
        <is>
          <t>熱炒　虎打楽</t>
        </is>
      </c>
      <c r="C479" s="54" t="inlineStr">
        <is>
          <t>一般事業者</t>
        </is>
      </c>
      <c r="D479" s="55" t="inlineStr">
        <is>
          <t>東京都目黒区上目黒３－４－１　５D－７</t>
        </is>
      </c>
      <c r="E479" s="56" t="inlineStr">
        <is>
          <t>土・日・月・木・水・火・金</t>
        </is>
      </c>
      <c r="F479" s="55" t="inlineStr">
        <is>
          <t>中條・千葉・長谷川</t>
        </is>
      </c>
      <c r="G479" s="55" t="inlineStr">
        <is>
          <t>一般廃・瓶缶・産廃</t>
        </is>
      </c>
      <c r="H479" s="57" t="n">
        <v>88</v>
      </c>
      <c r="I479" s="58">
        <f>ROUND(H479*4.33,0)</f>
        <v/>
      </c>
      <c r="J479" s="43" t="n">
        <v>0</v>
      </c>
      <c r="K479" s="44">
        <f>IF(J479&gt;0,I479*J479,"")</f>
        <v/>
      </c>
    </row>
    <row r="480" ht="18" customHeight="1">
      <c r="A480" s="52" t="inlineStr">
        <is>
          <t>GN-274</t>
        </is>
      </c>
      <c r="B480" s="53" t="inlineStr">
        <is>
          <t>猿田彦珈琲　駒澤大学駅店</t>
        </is>
      </c>
      <c r="C480" s="54" t="inlineStr">
        <is>
          <t>一般事業者</t>
        </is>
      </c>
      <c r="D480" s="55" t="inlineStr">
        <is>
          <t>東京都世田谷区上馬３－１８　A区画</t>
        </is>
      </c>
      <c r="E480" s="56" t="inlineStr">
        <is>
          <t>土・月・木・水・火・金</t>
        </is>
      </c>
      <c r="F480" s="55" t="inlineStr">
        <is>
          <t>和田・荻野・長谷川・長野</t>
        </is>
      </c>
      <c r="G480" s="55" t="inlineStr">
        <is>
          <t>一般廃・段ボール・産廃</t>
        </is>
      </c>
      <c r="H480" s="57" t="n">
        <v>250</v>
      </c>
      <c r="I480" s="58">
        <f>ROUND(H480*4.33,0)</f>
        <v/>
      </c>
      <c r="J480" s="43" t="n">
        <v>0</v>
      </c>
      <c r="K480" s="44">
        <f>IF(J480&gt;0,I480*J480,"")</f>
        <v/>
      </c>
    </row>
    <row r="481" ht="18" customHeight="1">
      <c r="A481" s="52" t="inlineStr">
        <is>
          <t>GN-275</t>
        </is>
      </c>
      <c r="B481" s="53" t="inlineStr">
        <is>
          <t>甘や　羽田工場</t>
        </is>
      </c>
      <c r="C481" s="54" t="inlineStr">
        <is>
          <t>一般事業者</t>
        </is>
      </c>
      <c r="D481" s="55" t="inlineStr">
        <is>
          <t>東京都大田区羽田４－４－４</t>
        </is>
      </c>
      <c r="E481" s="56" t="inlineStr">
        <is>
          <t>月・木・水・火・金</t>
        </is>
      </c>
      <c r="F481" s="55" t="inlineStr">
        <is>
          <t>千葉・白</t>
        </is>
      </c>
      <c r="G481" s="55" t="inlineStr">
        <is>
          <t>一般廃・産廃</t>
        </is>
      </c>
      <c r="H481" s="57" t="n">
        <v>440</v>
      </c>
      <c r="I481" s="58">
        <f>ROUND(H481*4.33,0)</f>
        <v/>
      </c>
      <c r="J481" s="43" t="n">
        <v>0</v>
      </c>
      <c r="K481" s="44">
        <f>IF(J481&gt;0,I481*J481,"")</f>
        <v/>
      </c>
    </row>
    <row r="482" ht="18" customHeight="1">
      <c r="A482" s="52" t="inlineStr">
        <is>
          <t>GN-276</t>
        </is>
      </c>
      <c r="B482" s="53" t="inlineStr">
        <is>
          <t>田なか</t>
        </is>
      </c>
      <c r="C482" s="54" t="inlineStr">
        <is>
          <t>一般事業者</t>
        </is>
      </c>
      <c r="D482" s="55" t="inlineStr">
        <is>
          <t>東京都目黒区中根１－５－２　都立大高架下B館</t>
        </is>
      </c>
      <c r="E482" s="56" t="inlineStr">
        <is>
          <t>土・日・月・木・水・火・金</t>
        </is>
      </c>
      <c r="F482" s="55" t="inlineStr">
        <is>
          <t>中條・千葉・長谷川</t>
        </is>
      </c>
      <c r="G482" s="55" t="inlineStr">
        <is>
          <t>一般廃・瓶缶・産廃</t>
        </is>
      </c>
      <c r="H482" s="57" t="n">
        <v>13</v>
      </c>
      <c r="I482" s="58">
        <f>ROUND(H482*4.33,0)</f>
        <v/>
      </c>
      <c r="J482" s="43" t="n">
        <v>0</v>
      </c>
      <c r="K482" s="44">
        <f>IF(J482&gt;0,I482*J482,"")</f>
        <v/>
      </c>
    </row>
    <row r="483" ht="18" customHeight="1">
      <c r="A483" s="52" t="inlineStr">
        <is>
          <t>GN-277</t>
        </is>
      </c>
      <c r="B483" s="53" t="inlineStr">
        <is>
          <t>白洋舎　東京支店</t>
        </is>
      </c>
      <c r="C483" s="54" t="inlineStr">
        <is>
          <t>一般事業者</t>
        </is>
      </c>
      <c r="D483" s="55" t="inlineStr">
        <is>
          <t>東京都大田区下丸子２－１１－１</t>
        </is>
      </c>
      <c r="E483" s="56" t="inlineStr">
        <is>
          <t>月・水・金</t>
        </is>
      </c>
      <c r="F483" s="55" t="inlineStr">
        <is>
          <t>長野</t>
        </is>
      </c>
      <c r="G483" s="55" t="inlineStr">
        <is>
          <t>産廃</t>
        </is>
      </c>
      <c r="H483" s="57" t="n">
        <v>980</v>
      </c>
      <c r="I483" s="58">
        <f>ROUND(H483*4.33,0)</f>
        <v/>
      </c>
      <c r="J483" s="43" t="n">
        <v>0</v>
      </c>
      <c r="K483" s="44">
        <f>IF(J483&gt;0,I483*J483,"")</f>
        <v/>
      </c>
    </row>
    <row r="484" ht="18" customHeight="1">
      <c r="A484" s="52" t="inlineStr">
        <is>
          <t>GN-278</t>
        </is>
      </c>
      <c r="B484" s="53" t="inlineStr">
        <is>
          <t>白洋舎東京支店</t>
        </is>
      </c>
      <c r="C484" s="54" t="inlineStr">
        <is>
          <t>一般事業者</t>
        </is>
      </c>
      <c r="D484" s="55" t="inlineStr">
        <is>
          <t>東京都大田区下丸子２－１１－１</t>
        </is>
      </c>
      <c r="E484" s="56" t="inlineStr">
        <is>
          <t>土・木・火</t>
        </is>
      </c>
      <c r="F484" s="55" t="inlineStr">
        <is>
          <t>白</t>
        </is>
      </c>
      <c r="G484" s="55" t="inlineStr">
        <is>
          <t>一般廃</t>
        </is>
      </c>
      <c r="H484" s="57" t="n">
        <v>550</v>
      </c>
      <c r="I484" s="58">
        <f>ROUND(H484*4.33,0)</f>
        <v/>
      </c>
      <c r="J484" s="43" t="n">
        <v>0</v>
      </c>
      <c r="K484" s="44">
        <f>IF(J484&gt;0,I484*J484,"")</f>
        <v/>
      </c>
    </row>
    <row r="485" ht="18" customHeight="1">
      <c r="A485" s="52" t="inlineStr">
        <is>
          <t>GN-279</t>
        </is>
      </c>
      <c r="B485" s="53" t="inlineStr">
        <is>
          <t>白百合幼稚園</t>
        </is>
      </c>
      <c r="C485" s="54" t="inlineStr">
        <is>
          <t>一般事業者</t>
        </is>
      </c>
      <c r="D485" s="55" t="inlineStr">
        <is>
          <t>東京都大田区上池台４－７－５</t>
        </is>
      </c>
      <c r="E485" s="56" t="inlineStr">
        <is>
          <t>水・金</t>
        </is>
      </c>
      <c r="F485" s="55" t="inlineStr">
        <is>
          <t>千葉</t>
        </is>
      </c>
      <c r="G485" s="55" t="inlineStr">
        <is>
          <t>産廃</t>
        </is>
      </c>
      <c r="H485" s="57" t="n">
        <v>10</v>
      </c>
      <c r="I485" s="58">
        <f>ROUND(H485*4.33,0)</f>
        <v/>
      </c>
      <c r="J485" s="43" t="n">
        <v>0</v>
      </c>
      <c r="K485" s="44">
        <f>IF(J485&gt;0,I485*J485,"")</f>
        <v/>
      </c>
    </row>
    <row r="486" ht="18" customHeight="1">
      <c r="A486" s="52" t="inlineStr">
        <is>
          <t>GN-280</t>
        </is>
      </c>
      <c r="B486" s="53" t="inlineStr">
        <is>
          <t>目黒高架下　共用部ーI</t>
        </is>
      </c>
      <c r="C486" s="54" t="inlineStr">
        <is>
          <t>一般事業者</t>
        </is>
      </c>
      <c r="D486" s="55" t="inlineStr">
        <is>
          <t>東京都目黒区上目黒２－４５－１４　I敷地</t>
        </is>
      </c>
      <c r="E486" s="56" t="inlineStr">
        <is>
          <t>土・月・木・水・火・金</t>
        </is>
      </c>
      <c r="F486" s="55" t="inlineStr">
        <is>
          <t>長谷川</t>
        </is>
      </c>
      <c r="G486" s="55" t="inlineStr">
        <is>
          <t>一般廃</t>
        </is>
      </c>
      <c r="H486" s="57" t="n">
        <v>0</v>
      </c>
      <c r="I486" s="58" t="n">
        <v>0</v>
      </c>
      <c r="J486" s="43" t="n">
        <v>0</v>
      </c>
      <c r="K486" s="44">
        <f>IF(J486&gt;0,I486*J486,"")</f>
        <v/>
      </c>
    </row>
    <row r="487" ht="18" customHeight="1">
      <c r="A487" s="52" t="inlineStr">
        <is>
          <t>GN-281</t>
        </is>
      </c>
      <c r="B487" s="53" t="inlineStr">
        <is>
          <t>第一商事</t>
        </is>
      </c>
      <c r="C487" s="54" t="inlineStr">
        <is>
          <t>一般事業者</t>
        </is>
      </c>
      <c r="D487" s="55" t="inlineStr">
        <is>
          <t>東京都大田区西蒲田７－３１－１グレワン第3ビル　１F</t>
        </is>
      </c>
      <c r="E487" s="56" t="inlineStr">
        <is>
          <t>水</t>
        </is>
      </c>
      <c r="F487" s="55" t="inlineStr">
        <is>
          <t>千葉</t>
        </is>
      </c>
      <c r="G487" s="55" t="inlineStr">
        <is>
          <t>産廃</t>
        </is>
      </c>
      <c r="H487" s="57" t="n">
        <v>20</v>
      </c>
      <c r="I487" s="58">
        <f>ROUND(H487*4.33,0)</f>
        <v/>
      </c>
      <c r="J487" s="43" t="n">
        <v>0</v>
      </c>
      <c r="K487" s="44">
        <f>IF(J487&gt;0,I487*J487,"")</f>
        <v/>
      </c>
    </row>
    <row r="488" ht="18" customHeight="1">
      <c r="A488" s="52" t="inlineStr">
        <is>
          <t>GN-282</t>
        </is>
      </c>
      <c r="B488" s="53" t="inlineStr">
        <is>
          <t>米粉と鉄板</t>
        </is>
      </c>
      <c r="C488" s="54" t="inlineStr">
        <is>
          <t>一般事業者</t>
        </is>
      </c>
      <c r="D488" s="55" t="inlineStr">
        <is>
          <t>東京都目黒区碑文谷６－６－５　GAKUDAI COLLECTIV B-２</t>
        </is>
      </c>
      <c r="E488" s="56" t="inlineStr">
        <is>
          <t>土・月・木・水・火・金</t>
        </is>
      </c>
      <c r="F488" s="55" t="inlineStr">
        <is>
          <t>千葉・長谷川</t>
        </is>
      </c>
      <c r="G488" s="55" t="inlineStr">
        <is>
          <t>一般廃・産廃</t>
        </is>
      </c>
      <c r="H488" s="57" t="n">
        <v>0</v>
      </c>
      <c r="I488" s="58" t="n">
        <v>0</v>
      </c>
      <c r="J488" s="43" t="n">
        <v>0</v>
      </c>
      <c r="K488" s="44">
        <f>IF(J488&gt;0,I488*J488,"")</f>
        <v/>
      </c>
    </row>
    <row r="489" ht="18" customHeight="1">
      <c r="A489" s="52" t="inlineStr">
        <is>
          <t>GN-283</t>
        </is>
      </c>
      <c r="B489" s="53" t="inlineStr">
        <is>
          <t>紅矢　都立大学店</t>
        </is>
      </c>
      <c r="C489" s="54" t="inlineStr">
        <is>
          <t>一般事業者</t>
        </is>
      </c>
      <c r="D489" s="55" t="inlineStr">
        <is>
          <t>東京都目黒区中根１－５－２　都立大高架下B館</t>
        </is>
      </c>
      <c r="E489" s="56" t="inlineStr">
        <is>
          <t>土・日・月・木・水・火・金</t>
        </is>
      </c>
      <c r="F489" s="55" t="inlineStr">
        <is>
          <t>中條・千葉・長谷川</t>
        </is>
      </c>
      <c r="G489" s="55" t="inlineStr">
        <is>
          <t>一般廃・瓶缶・産廃</t>
        </is>
      </c>
      <c r="H489" s="57" t="n">
        <v>32</v>
      </c>
      <c r="I489" s="58">
        <f>ROUND(H489*4.33,0)</f>
        <v/>
      </c>
      <c r="J489" s="43" t="n">
        <v>0</v>
      </c>
      <c r="K489" s="44">
        <f>IF(J489&gt;0,I489*J489,"")</f>
        <v/>
      </c>
    </row>
    <row r="490" ht="18" customHeight="1">
      <c r="A490" s="52" t="inlineStr">
        <is>
          <t>GN-284</t>
        </is>
      </c>
      <c r="B490" s="53" t="inlineStr">
        <is>
          <t>総合病院一心病院</t>
        </is>
      </c>
      <c r="C490" s="54" t="inlineStr">
        <is>
          <t>一般事業者</t>
        </is>
      </c>
      <c r="D490" s="55" t="inlineStr">
        <is>
          <t>東京都豊島区北大塚１－１８－７</t>
        </is>
      </c>
      <c r="E490" s="56" t="inlineStr">
        <is>
          <t>土・月・木・火・金</t>
        </is>
      </c>
      <c r="F490" s="55" t="inlineStr">
        <is>
          <t>大迫・長野</t>
        </is>
      </c>
      <c r="G490" s="55" t="inlineStr">
        <is>
          <t>一般廃・産廃</t>
        </is>
      </c>
      <c r="H490" s="57" t="n">
        <v>860</v>
      </c>
      <c r="I490" s="58">
        <f>ROUND(H490*4.33,0)</f>
        <v/>
      </c>
      <c r="J490" s="43" t="n">
        <v>0</v>
      </c>
      <c r="K490" s="44">
        <f>IF(J490&gt;0,I490*J490,"")</f>
        <v/>
      </c>
    </row>
    <row r="491" ht="18" customHeight="1">
      <c r="A491" s="52" t="inlineStr">
        <is>
          <t>GN-285</t>
        </is>
      </c>
      <c r="B491" s="53" t="inlineStr">
        <is>
          <t>緑が丘エキナカ保育園</t>
        </is>
      </c>
      <c r="C491" s="54" t="inlineStr">
        <is>
          <t>一般事業者</t>
        </is>
      </c>
      <c r="D491" s="55" t="inlineStr">
        <is>
          <t>東京都目黒区緑が丘３－１－１２</t>
        </is>
      </c>
      <c r="E491" s="56" t="inlineStr">
        <is>
          <t>火</t>
        </is>
      </c>
      <c r="F491" s="55" t="inlineStr">
        <is>
          <t>千葉</t>
        </is>
      </c>
      <c r="G491" s="55" t="inlineStr">
        <is>
          <t>産廃</t>
        </is>
      </c>
      <c r="H491" s="57" t="n">
        <v>0</v>
      </c>
      <c r="I491" s="58" t="n">
        <v>0</v>
      </c>
      <c r="J491" s="43" t="n">
        <v>0</v>
      </c>
      <c r="K491" s="44">
        <f>IF(J491&gt;0,I491*J491,"")</f>
        <v/>
      </c>
    </row>
    <row r="492" ht="18" customHeight="1">
      <c r="A492" s="52" t="inlineStr">
        <is>
          <t>GN-286</t>
        </is>
      </c>
      <c r="B492" s="53" t="inlineStr">
        <is>
          <t>自由が丘駅/北口</t>
        </is>
      </c>
      <c r="C492" s="54" t="inlineStr">
        <is>
          <t>一般事業者</t>
        </is>
      </c>
      <c r="D492" s="55" t="inlineStr">
        <is>
          <t>東京都目黒区自由が丘１－３０－１</t>
        </is>
      </c>
      <c r="E492" s="56" t="inlineStr">
        <is>
          <t>土・月・木・水・火・金</t>
        </is>
      </c>
      <c r="F492" s="55" t="inlineStr">
        <is>
          <t>藤内</t>
        </is>
      </c>
      <c r="G492" s="55" t="inlineStr">
        <is>
          <t>段ボール</t>
        </is>
      </c>
      <c r="H492" s="57" t="n">
        <v>370</v>
      </c>
      <c r="I492" s="58">
        <f>ROUND(H492*4.33,0)</f>
        <v/>
      </c>
      <c r="J492" s="43" t="n">
        <v>0</v>
      </c>
      <c r="K492" s="44">
        <f>IF(J492&gt;0,I492*J492,"")</f>
        <v/>
      </c>
    </row>
    <row r="493" ht="18" customHeight="1">
      <c r="A493" s="52" t="inlineStr">
        <is>
          <t>GN-287</t>
        </is>
      </c>
      <c r="B493" s="53" t="inlineStr">
        <is>
          <t>自由が丘駅/南口</t>
        </is>
      </c>
      <c r="C493" s="54" t="inlineStr">
        <is>
          <t>一般事業者</t>
        </is>
      </c>
      <c r="D493" s="55" t="inlineStr">
        <is>
          <t>東京都目黒区自由が丘１－３０－２</t>
        </is>
      </c>
      <c r="E493" s="56" t="inlineStr">
        <is>
          <t>土・月・木・水・火・金</t>
        </is>
      </c>
      <c r="F493" s="55" t="inlineStr">
        <is>
          <t>藤内</t>
        </is>
      </c>
      <c r="G493" s="55" t="inlineStr">
        <is>
          <t>段ボール</t>
        </is>
      </c>
      <c r="H493" s="57" t="n">
        <v>180</v>
      </c>
      <c r="I493" s="58">
        <f>ROUND(H493*4.33,0)</f>
        <v/>
      </c>
      <c r="J493" s="43" t="n">
        <v>0</v>
      </c>
      <c r="K493" s="44">
        <f>IF(J493&gt;0,I493*J493,"")</f>
        <v/>
      </c>
    </row>
    <row r="494" ht="18" customHeight="1">
      <c r="A494" s="52" t="inlineStr">
        <is>
          <t>GN-288</t>
        </is>
      </c>
      <c r="B494" s="53" t="inlineStr">
        <is>
          <t>荏原中延駐輪場</t>
        </is>
      </c>
      <c r="C494" s="54" t="inlineStr">
        <is>
          <t>一般事業者</t>
        </is>
      </c>
      <c r="D494" s="55" t="inlineStr">
        <is>
          <t>東京都品川区中延２－８－１</t>
        </is>
      </c>
      <c r="E494" s="56" t="inlineStr">
        <is>
          <t>火・金</t>
        </is>
      </c>
      <c r="F494" s="55" t="inlineStr">
        <is>
          <t>中條</t>
        </is>
      </c>
      <c r="G494" s="55" t="inlineStr">
        <is>
          <t>不燃物</t>
        </is>
      </c>
      <c r="H494" s="57" t="n">
        <v>10</v>
      </c>
      <c r="I494" s="58">
        <f>ROUND(H494*4.33,0)</f>
        <v/>
      </c>
      <c r="J494" s="43" t="n">
        <v>0</v>
      </c>
      <c r="K494" s="44">
        <f>IF(J494&gt;0,I494*J494,"")</f>
        <v/>
      </c>
    </row>
    <row r="495" ht="18" customHeight="1">
      <c r="A495" s="52" t="inlineStr">
        <is>
          <t>GN-289</t>
        </is>
      </c>
      <c r="B495" s="53" t="inlineStr">
        <is>
          <t>落合斎場</t>
        </is>
      </c>
      <c r="C495" s="54" t="inlineStr">
        <is>
          <t>一般事業者</t>
        </is>
      </c>
      <c r="D495" s="55" t="inlineStr">
        <is>
          <t>東京都新宿区上落合３－３４－１２</t>
        </is>
      </c>
      <c r="E495" s="56" t="inlineStr">
        <is>
          <t>土・月・木・水・火・金</t>
        </is>
      </c>
      <c r="F495" s="55" t="inlineStr">
        <is>
          <t>大迫・山口・長谷川・長野</t>
        </is>
      </c>
      <c r="G495" s="55" t="inlineStr">
        <is>
          <t>一般廃・不燃物・産廃</t>
        </is>
      </c>
      <c r="H495" s="57" t="n">
        <v>510</v>
      </c>
      <c r="I495" s="58">
        <f>ROUND(H495*4.33,0)</f>
        <v/>
      </c>
      <c r="J495" s="43" t="n">
        <v>0</v>
      </c>
      <c r="K495" s="44">
        <f>IF(J495&gt;0,I495*J495,"")</f>
        <v/>
      </c>
    </row>
    <row r="496" ht="18" customHeight="1">
      <c r="A496" s="52" t="inlineStr">
        <is>
          <t>GN-290</t>
        </is>
      </c>
      <c r="B496" s="53" t="inlineStr">
        <is>
          <t>西小山（南）駐輪場</t>
        </is>
      </c>
      <c r="C496" s="54" t="inlineStr">
        <is>
          <t>一般事業者</t>
        </is>
      </c>
      <c r="D496" s="55" t="inlineStr">
        <is>
          <t>東京都品川区小山６－３－１０</t>
        </is>
      </c>
      <c r="E496" s="56" t="inlineStr">
        <is>
          <t>火</t>
        </is>
      </c>
      <c r="F496" s="55" t="inlineStr">
        <is>
          <t>中條</t>
        </is>
      </c>
      <c r="G496" s="55" t="inlineStr">
        <is>
          <t>不燃物</t>
        </is>
      </c>
      <c r="H496" s="57" t="n">
        <v>0</v>
      </c>
      <c r="I496" s="58" t="n">
        <v>0</v>
      </c>
      <c r="J496" s="43" t="n">
        <v>0</v>
      </c>
      <c r="K496" s="44">
        <f>IF(J496&gt;0,I496*J496,"")</f>
        <v/>
      </c>
    </row>
    <row r="497" ht="18" customHeight="1">
      <c r="A497" s="52" t="inlineStr">
        <is>
          <t>GN-291</t>
        </is>
      </c>
      <c r="B497" s="53" t="inlineStr">
        <is>
          <t>親子カフェ　ぷっぷ</t>
        </is>
      </c>
      <c r="C497" s="54" t="inlineStr">
        <is>
          <t>一般事業者</t>
        </is>
      </c>
      <c r="D497" s="55" t="inlineStr">
        <is>
          <t>東京都目黒区碑文谷６－６－４　GAKUDAI COLLECTIV A-1</t>
        </is>
      </c>
      <c r="E497" s="56" t="inlineStr">
        <is>
          <t>土・月・木・水・火・金</t>
        </is>
      </c>
      <c r="F497" s="55" t="inlineStr">
        <is>
          <t>千葉・長谷川</t>
        </is>
      </c>
      <c r="G497" s="55" t="inlineStr">
        <is>
          <t>一般廃・産廃</t>
        </is>
      </c>
      <c r="H497" s="57" t="n">
        <v>10</v>
      </c>
      <c r="I497" s="58">
        <f>ROUND(H497*4.33,0)</f>
        <v/>
      </c>
      <c r="J497" s="43" t="n">
        <v>0</v>
      </c>
      <c r="K497" s="44">
        <f>IF(J497&gt;0,I497*J497,"")</f>
        <v/>
      </c>
    </row>
    <row r="498" ht="18" customHeight="1">
      <c r="A498" s="52" t="inlineStr">
        <is>
          <t>GN-292</t>
        </is>
      </c>
      <c r="B498" s="53" t="inlineStr">
        <is>
          <t>誠伸商事</t>
        </is>
      </c>
      <c r="C498" s="54" t="inlineStr">
        <is>
          <t>一般事業者</t>
        </is>
      </c>
      <c r="D498" s="55" t="inlineStr">
        <is>
          <t>東京都大田区北千束２－９－１０</t>
        </is>
      </c>
      <c r="E498" s="56" t="inlineStr">
        <is>
          <t>月・木・火</t>
        </is>
      </c>
      <c r="F498" s="55" t="inlineStr">
        <is>
          <t>中條・千葉・白</t>
        </is>
      </c>
      <c r="G498" s="55" t="inlineStr">
        <is>
          <t>一般廃・段ボール・産廃</t>
        </is>
      </c>
      <c r="H498" s="57" t="n">
        <v>65</v>
      </c>
      <c r="I498" s="58">
        <f>ROUND(H498*4.33,0)</f>
        <v/>
      </c>
      <c r="J498" s="43" t="n">
        <v>0</v>
      </c>
      <c r="K498" s="44">
        <f>IF(J498&gt;0,I498*J498,"")</f>
        <v/>
      </c>
    </row>
    <row r="499" ht="18" customHeight="1">
      <c r="A499" s="52" t="inlineStr">
        <is>
          <t>GN-293</t>
        </is>
      </c>
      <c r="B499" s="53" t="inlineStr">
        <is>
          <t>貝々　味海</t>
        </is>
      </c>
      <c r="C499" s="54" t="inlineStr">
        <is>
          <t>一般事業者</t>
        </is>
      </c>
      <c r="D499" s="55" t="inlineStr">
        <is>
          <t>東京都品川区西五反田１－１２－１</t>
        </is>
      </c>
      <c r="E499" s="56" t="inlineStr">
        <is>
          <t>月・水・火・金</t>
        </is>
      </c>
      <c r="F499" s="55" t="inlineStr">
        <is>
          <t>中條・千葉</t>
        </is>
      </c>
      <c r="G499" s="55" t="inlineStr">
        <is>
          <t>瓶缶・産廃</t>
        </is>
      </c>
      <c r="H499" s="57" t="n">
        <v>22</v>
      </c>
      <c r="I499" s="58">
        <f>ROUND(H499*4.33,0)</f>
        <v/>
      </c>
      <c r="J499" s="43" t="n">
        <v>0</v>
      </c>
      <c r="K499" s="44">
        <f>IF(J499&gt;0,I499*J499,"")</f>
        <v/>
      </c>
    </row>
    <row r="500" ht="18" customHeight="1">
      <c r="A500" s="52" t="inlineStr">
        <is>
          <t>GN-294</t>
        </is>
      </c>
      <c r="B500" s="53" t="inlineStr">
        <is>
          <t>都立大学高架下共用部</t>
        </is>
      </c>
      <c r="C500" s="54" t="inlineStr">
        <is>
          <t>一般事業者</t>
        </is>
      </c>
      <c r="D500" s="55" t="inlineStr">
        <is>
          <t>東京都目黒区中根１－５－２　都立大高架下</t>
        </is>
      </c>
      <c r="E500" s="56" t="inlineStr">
        <is>
          <t>土・日・月・木・水・火・金</t>
        </is>
      </c>
      <c r="F500" s="55" t="inlineStr">
        <is>
          <t>中條・千葉・藤内</t>
        </is>
      </c>
      <c r="G500" s="55" t="inlineStr">
        <is>
          <t>一般廃・段ボール・産廃</t>
        </is>
      </c>
      <c r="H500" s="57" t="n">
        <v>145</v>
      </c>
      <c r="I500" s="58">
        <f>ROUND(H500*4.33,0)</f>
        <v/>
      </c>
      <c r="J500" s="43" t="n">
        <v>0</v>
      </c>
      <c r="K500" s="44">
        <f>IF(J500&gt;0,I500*J500,"")</f>
        <v/>
      </c>
    </row>
    <row r="501" ht="18" customHeight="1">
      <c r="A501" s="52" t="inlineStr">
        <is>
          <t>GN-295</t>
        </is>
      </c>
      <c r="B501" s="53" t="inlineStr">
        <is>
          <t>銀座マギー　商品センター</t>
        </is>
      </c>
      <c r="C501" s="54" t="inlineStr">
        <is>
          <t>一般事業者</t>
        </is>
      </c>
      <c r="D501" s="55" t="inlineStr">
        <is>
          <t>東京都世田谷区東玉川２－３７－１１</t>
        </is>
      </c>
      <c r="E501" s="56" t="inlineStr">
        <is>
          <t>・木・火</t>
        </is>
      </c>
      <c r="F501" s="55" t="inlineStr">
        <is>
          <t>千葉・長野</t>
        </is>
      </c>
      <c r="G501" s="55" t="inlineStr">
        <is>
          <t>産廃</t>
        </is>
      </c>
      <c r="H501" s="57" t="n">
        <v>290</v>
      </c>
      <c r="I501" s="58">
        <f>ROUND(H501*4.33,0)</f>
        <v/>
      </c>
      <c r="J501" s="43" t="n">
        <v>0</v>
      </c>
      <c r="K501" s="44">
        <f>IF(J501&gt;0,I501*J501,"")</f>
        <v/>
      </c>
    </row>
    <row r="502" ht="18" customHeight="1">
      <c r="A502" s="52" t="inlineStr">
        <is>
          <t>GN-296</t>
        </is>
      </c>
      <c r="B502" s="53" t="inlineStr">
        <is>
          <t>青山フラワーマーケット</t>
        </is>
      </c>
      <c r="C502" s="54" t="inlineStr">
        <is>
          <t>一般事業者</t>
        </is>
      </c>
      <c r="D502" s="55" t="inlineStr">
        <is>
          <t>東京都目黒区上目黒３－４－１　５D－１</t>
        </is>
      </c>
      <c r="E502" s="56" t="inlineStr">
        <is>
          <t>土・日・月・木・水・火・金</t>
        </is>
      </c>
      <c r="F502" s="55" t="inlineStr">
        <is>
          <t>中條・千葉・長谷川</t>
        </is>
      </c>
      <c r="G502" s="55" t="inlineStr">
        <is>
          <t>一般廃・瓶缶・産廃</t>
        </is>
      </c>
      <c r="H502" s="57" t="n">
        <v>132</v>
      </c>
      <c r="I502" s="58">
        <f>ROUND(H502*4.33,0)</f>
        <v/>
      </c>
      <c r="J502" s="43" t="n">
        <v>0</v>
      </c>
      <c r="K502" s="44">
        <f>IF(J502&gt;0,I502*J502,"")</f>
        <v/>
      </c>
    </row>
    <row r="503" ht="18" customHeight="1">
      <c r="A503" s="52" t="inlineStr">
        <is>
          <t>GN-297</t>
        </is>
      </c>
      <c r="B503" s="53" t="inlineStr">
        <is>
          <t>魚の店　オカモ倶楽部</t>
        </is>
      </c>
      <c r="C503" s="54" t="inlineStr">
        <is>
          <t>一般事業者</t>
        </is>
      </c>
      <c r="D503" s="55" t="inlineStr">
        <is>
          <t>東京都目黒区上目黒３－５－２　９中目黒高架下F-1</t>
        </is>
      </c>
      <c r="E503" s="56" t="inlineStr">
        <is>
          <t>・土・日・月・木・水・火・金</t>
        </is>
      </c>
      <c r="F503" s="55" t="inlineStr">
        <is>
          <t>中條・千葉・長谷川</t>
        </is>
      </c>
      <c r="G503" s="55" t="inlineStr">
        <is>
          <t>一般廃・瓶缶・産廃</t>
        </is>
      </c>
      <c r="H503" s="57" t="n">
        <v>525</v>
      </c>
      <c r="I503" s="58">
        <f>ROUND(H503*4.33,0)</f>
        <v/>
      </c>
      <c r="J503" s="43" t="n">
        <v>0</v>
      </c>
      <c r="K503" s="44">
        <f>IF(J503&gt;0,I503*J503,"")</f>
        <v/>
      </c>
    </row>
    <row r="504" ht="18" customHeight="1">
      <c r="A504" s="52" t="inlineStr">
        <is>
          <t>GN-298</t>
        </is>
      </c>
      <c r="B504" s="53" t="inlineStr">
        <is>
          <t>魚潮</t>
        </is>
      </c>
      <c r="C504" s="54" t="inlineStr">
        <is>
          <t>一般事業者</t>
        </is>
      </c>
      <c r="D504" s="55" t="inlineStr">
        <is>
          <t>東京都目黒区鷹番２－２１－１６－２０９</t>
        </is>
      </c>
      <c r="E504" s="56" t="inlineStr">
        <is>
          <t>土・月・木・水・火・金</t>
        </is>
      </c>
      <c r="F504" s="55" t="inlineStr">
        <is>
          <t>中條・千葉・長谷川</t>
        </is>
      </c>
      <c r="G504" s="55" t="inlineStr">
        <is>
          <t>一般廃・瓶缶・産廃</t>
        </is>
      </c>
      <c r="H504" s="57" t="n">
        <v>165</v>
      </c>
      <c r="I504" s="58">
        <f>ROUND(H504*4.33,0)</f>
        <v/>
      </c>
      <c r="J504" s="43" t="n">
        <v>0</v>
      </c>
      <c r="K504" s="44">
        <f>IF(J504&gt;0,I504*J504,"")</f>
        <v/>
      </c>
    </row>
    <row r="505" ht="18" customHeight="1">
      <c r="A505" s="52" t="inlineStr">
        <is>
          <t>GN-299</t>
        </is>
      </c>
      <c r="B505" s="53" t="inlineStr">
        <is>
          <t>鮮魚　北浜　学芸大学店</t>
        </is>
      </c>
      <c r="C505" s="54" t="inlineStr">
        <is>
          <t>一般事業者</t>
        </is>
      </c>
      <c r="D505" s="55" t="inlineStr">
        <is>
          <t>東京都目黒区鷹番３－２－１学大市場　１３－３</t>
        </is>
      </c>
      <c r="E505" s="56" t="inlineStr">
        <is>
          <t>・土・日・月・木・水・火・金</t>
        </is>
      </c>
      <c r="F505" s="55" t="inlineStr">
        <is>
          <t>中條・千葉・長谷川</t>
        </is>
      </c>
      <c r="G505" s="55" t="inlineStr">
        <is>
          <t>一般廃・産廃</t>
        </is>
      </c>
      <c r="H505" s="57" t="n">
        <v>162</v>
      </c>
      <c r="I505" s="58">
        <f>ROUND(H505*4.33,0)</f>
        <v/>
      </c>
      <c r="J505" s="43" t="n">
        <v>0</v>
      </c>
      <c r="K505" s="44">
        <f>IF(J505&gt;0,I505*J505,"")</f>
        <v/>
      </c>
    </row>
    <row r="506" ht="18" customHeight="1">
      <c r="A506" s="52" t="inlineStr">
        <is>
          <t>GN-300</t>
        </is>
      </c>
      <c r="B506" s="53" t="inlineStr">
        <is>
          <t>鶏だしおでん　さもん</t>
        </is>
      </c>
      <c r="C506" s="54" t="inlineStr">
        <is>
          <t>一般事業者</t>
        </is>
      </c>
      <c r="D506" s="55" t="inlineStr">
        <is>
          <t>東京都目黒区上目黒３－５－３　１E-1</t>
        </is>
      </c>
      <c r="E506" s="56" t="inlineStr">
        <is>
          <t>土・日・月・木・水・火・金</t>
        </is>
      </c>
      <c r="F506" s="55" t="inlineStr">
        <is>
          <t>中條・千葉・長谷川</t>
        </is>
      </c>
      <c r="G506" s="55" t="inlineStr">
        <is>
          <t>一般廃・瓶缶・産廃</t>
        </is>
      </c>
      <c r="H506" s="57" t="n">
        <v>361</v>
      </c>
      <c r="I506" s="58">
        <f>ROUND(H506*4.33,0)</f>
        <v/>
      </c>
      <c r="J506" s="43" t="n">
        <v>0</v>
      </c>
      <c r="K506" s="44">
        <f>IF(J506&gt;0,I506*J506,"")</f>
        <v/>
      </c>
    </row>
    <row r="507" ht="18" customHeight="1">
      <c r="A507" s="52" t="inlineStr">
        <is>
          <t>GN-301</t>
        </is>
      </c>
      <c r="B507" s="53" t="inlineStr">
        <is>
          <t>鶴本部・工房</t>
        </is>
      </c>
      <c r="C507" s="54" t="inlineStr">
        <is>
          <t>一般事業者</t>
        </is>
      </c>
      <c r="D507" s="55" t="inlineStr">
        <is>
          <t>東京都渋谷区代官山町１３－１代官山ログロード</t>
        </is>
      </c>
      <c r="E507" s="56" t="inlineStr">
        <is>
          <t>土・月・木・水・火・金</t>
        </is>
      </c>
      <c r="F507" s="55" t="inlineStr">
        <is>
          <t>和田・荻野・長谷川・長野</t>
        </is>
      </c>
      <c r="G507" s="55" t="inlineStr">
        <is>
          <t>一般廃・段ボール・産廃</t>
        </is>
      </c>
      <c r="H507" s="57" t="n">
        <v>8</v>
      </c>
      <c r="I507" s="58">
        <f>ROUND(H507*4.33,0)</f>
        <v/>
      </c>
      <c r="J507" s="43" t="n">
        <v>0</v>
      </c>
      <c r="K507" s="44">
        <f>IF(J507&gt;0,I507*J507,"")</f>
        <v/>
      </c>
    </row>
    <row r="508" ht="18" customHeight="1">
      <c r="A508" s="52" t="inlineStr">
        <is>
          <t>GN-302</t>
        </is>
      </c>
      <c r="B508" s="53" t="inlineStr">
        <is>
          <t>１０BL共用部分</t>
        </is>
      </c>
      <c r="C508" s="54" t="inlineStr">
        <is>
          <t>一般事業者</t>
        </is>
      </c>
      <c r="D508" s="55" t="inlineStr">
        <is>
          <t>東京都目黒区鷹番２－２１－１９</t>
        </is>
      </c>
      <c r="E508" s="56" t="inlineStr">
        <is>
          <t>土・月・木・水・火・金</t>
        </is>
      </c>
      <c r="F508" s="55" t="inlineStr">
        <is>
          <t>中條・千葉・長谷川</t>
        </is>
      </c>
      <c r="G508" s="55" t="inlineStr">
        <is>
          <t>一般廃・瓶缶・産廃</t>
        </is>
      </c>
      <c r="H508" s="57" t="n">
        <v>10</v>
      </c>
      <c r="I508" s="58">
        <f>ROUND(H508*4.33,0)</f>
        <v/>
      </c>
      <c r="J508" s="43" t="n">
        <v>0</v>
      </c>
      <c r="K508" s="44">
        <f>IF(J508&gt;0,I508*J508,"")</f>
        <v/>
      </c>
    </row>
    <row r="510" ht="22" customHeight="1">
      <c r="A510" s="59" t="inlineStr">
        <is>
          <t>カテゴリ別集計</t>
        </is>
      </c>
      <c r="B510" s="60" t="n"/>
      <c r="C510" s="61" t="n"/>
    </row>
    <row r="511" ht="22" customHeight="1">
      <c r="A511" s="8" t="inlineStr">
        <is>
          <t>東急グループ</t>
        </is>
      </c>
      <c r="B511" s="60" t="n"/>
      <c r="C511" s="61" t="n"/>
      <c r="G511" s="62">
        <f>COUNTIF(C4:C508,"東急グループ")拠点</f>
        <v/>
      </c>
      <c r="H511" s="63">
        <f>SUMIF(C4:C508,"東急グループ",H4:H508)</f>
        <v/>
      </c>
    </row>
    <row r="512" ht="22" customHeight="1">
      <c r="A512" s="17" t="inlineStr">
        <is>
          <t>都営地下鉄</t>
        </is>
      </c>
      <c r="B512" s="60" t="n"/>
      <c r="C512" s="61" t="n"/>
      <c r="G512" s="64">
        <f>COUNTIF(C4:C508,"都営地下鉄")拠点</f>
        <v/>
      </c>
      <c r="H512" s="65">
        <f>SUMIF(C4:C508,"都営地下鉄",H4:H508)</f>
        <v/>
      </c>
    </row>
    <row r="513" ht="22" customHeight="1">
      <c r="A513" s="25" t="inlineStr">
        <is>
          <t>一般事業者</t>
        </is>
      </c>
      <c r="B513" s="60" t="n"/>
      <c r="C513" s="61" t="n"/>
      <c r="G513" s="66">
        <f>COUNTIF(C4:C508,"一般事業者")拠点</f>
        <v/>
      </c>
      <c r="H513" s="67">
        <f>SUMIF(C4:C508,"一般事業者",H4:H508)</f>
        <v/>
      </c>
    </row>
  </sheetData>
  <mergeCells count="7">
    <mergeCell ref="I2:K2"/>
    <mergeCell ref="A511:C511"/>
    <mergeCell ref="A510:C510"/>
    <mergeCell ref="A2:H2"/>
    <mergeCell ref="A512:C512"/>
    <mergeCell ref="A513:C513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3F00"/>
    <outlinePr summaryBelow="1" summaryRight="1"/>
    <pageSetUpPr/>
  </sheetPr>
  <dimension ref="A1:U3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1" customWidth="1" min="4" max="4"/>
    <col width="13" customWidth="1" min="5" max="5"/>
    <col width="13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4" customWidth="1" min="17" max="17"/>
    <col width="14" customWidth="1" min="18" max="18"/>
    <col width="10" customWidth="1" min="19" max="19"/>
    <col width="10" customWidth="1" min="20" max="20"/>
    <col width="16" customWidth="1" min="21" max="21"/>
  </cols>
  <sheetData>
    <row r="1" ht="36" customHeight="1">
      <c r="A1" s="1" t="inlineStr">
        <is>
          <t>月次採算入力シート（案件別）</t>
        </is>
      </c>
    </row>
    <row r="2" ht="22" customHeight="1">
      <c r="A2" s="2" t="inlineStr">
        <is>
          <t>案件情報</t>
        </is>
      </c>
      <c r="E2" s="3" t="inlineStr">
        <is>
          <t>売　上</t>
        </is>
      </c>
      <c r="J2" s="68" t="inlineStr">
        <is>
          <t>原　価</t>
        </is>
      </c>
      <c r="R2" s="4" t="inlineStr">
        <is>
          <t>採　算</t>
        </is>
      </c>
    </row>
    <row r="3" ht="36" customHeight="1">
      <c r="A3" s="5" t="inlineStr">
        <is>
          <t>案件ID</t>
        </is>
      </c>
      <c r="B3" s="5" t="inlineStr">
        <is>
          <t>案件名</t>
        </is>
      </c>
      <c r="C3" s="5" t="inlineStr">
        <is>
          <t>カテゴリ</t>
        </is>
      </c>
      <c r="D3" s="5" t="inlineStr">
        <is>
          <t>集計年月</t>
        </is>
      </c>
      <c r="E3" s="5" t="inlineStr">
        <is>
          <t>基本料金
(円)</t>
        </is>
      </c>
      <c r="F3" s="5" t="inlineStr">
        <is>
          <t>スポット
料金(円)</t>
        </is>
      </c>
      <c r="G3" s="5" t="inlineStr">
        <is>
          <t>処理委託
収入(円)</t>
        </is>
      </c>
      <c r="H3" s="5" t="inlineStr">
        <is>
          <t>その他
売上(円)</t>
        </is>
      </c>
      <c r="I3" s="5" t="inlineStr">
        <is>
          <t>売上
合計(円)</t>
        </is>
      </c>
      <c r="J3" s="5" t="inlineStr">
        <is>
          <t>ドライバー
人件費(円)</t>
        </is>
      </c>
      <c r="K3" s="5" t="inlineStr">
        <is>
          <t>燃料費
(円)</t>
        </is>
      </c>
      <c r="L3" s="5" t="inlineStr">
        <is>
          <t>車両
維持費(円)</t>
        </is>
      </c>
      <c r="M3" s="5" t="inlineStr">
        <is>
          <t>中間
処理費(円)</t>
        </is>
      </c>
      <c r="N3" s="5" t="inlineStr">
        <is>
          <t>搬入・
運搬費(円)</t>
        </is>
      </c>
      <c r="O3" s="5" t="inlineStr">
        <is>
          <t>電子M
代行費(円)</t>
        </is>
      </c>
      <c r="P3" s="5" t="inlineStr">
        <is>
          <t>管理費
(円)</t>
        </is>
      </c>
      <c r="Q3" s="5" t="inlineStr">
        <is>
          <t>原価
合計(円)</t>
        </is>
      </c>
      <c r="R3" s="5" t="inlineStr">
        <is>
          <t>粗利益
(円)</t>
        </is>
      </c>
      <c r="S3" s="5" t="inlineStr">
        <is>
          <t>粗利率</t>
        </is>
      </c>
      <c r="T3" s="5" t="inlineStr">
        <is>
          <t>採算
判定</t>
        </is>
      </c>
      <c r="U3" s="5" t="inlineStr">
        <is>
          <t>備考</t>
        </is>
      </c>
    </row>
    <row r="4" ht="22" customHeight="1">
      <c r="A4" s="69" t="inlineStr">
        <is>
          <t>C001</t>
        </is>
      </c>
      <c r="B4" s="14" t="inlineStr">
        <is>
          <t>東急グループ案件</t>
        </is>
      </c>
      <c r="C4" s="38" t="inlineStr">
        <is>
          <t>東急グループ</t>
        </is>
      </c>
      <c r="D4" s="36" t="inlineStr">
        <is>
          <t>2026-04</t>
        </is>
      </c>
      <c r="E4" s="42" t="n">
        <v>2850000</v>
      </c>
      <c r="F4" s="42" t="n">
        <v>320000</v>
      </c>
      <c r="G4" s="42" t="n">
        <v>180000</v>
      </c>
      <c r="H4" s="42" t="n">
        <v>50000</v>
      </c>
      <c r="I4" s="63">
        <f>E4+F4+G4+H4</f>
        <v/>
      </c>
      <c r="J4" s="70" t="n">
        <v>680000</v>
      </c>
      <c r="K4" s="70" t="n">
        <v>185000</v>
      </c>
      <c r="L4" s="70" t="n">
        <v>95000</v>
      </c>
      <c r="M4" s="70" t="n">
        <v>620000</v>
      </c>
      <c r="N4" s="70" t="n">
        <v>85000</v>
      </c>
      <c r="O4" s="70" t="n">
        <v>45000</v>
      </c>
      <c r="P4" s="70" t="n">
        <v>120000</v>
      </c>
      <c r="Q4" s="71">
        <f>J4+K4+L4+M4+N4+O4+P4</f>
        <v/>
      </c>
      <c r="R4" s="67">
        <f>I4-Q4</f>
        <v/>
      </c>
      <c r="S4" s="72">
        <f>IF(I4&lt;&gt;0,R4/I4,0)</f>
        <v/>
      </c>
      <c r="T4" s="73">
        <f>IF(S4&gt;=0.25,"◎ 優良",IF(S4&gt;=0.15,"○ 良好",IF(S4&gt;=0.05,"△ 要注意","× 赤字")))</f>
        <v/>
      </c>
      <c r="U4" s="14" t="inlineStr"/>
    </row>
    <row r="5" ht="22" customHeight="1">
      <c r="A5" s="69" t="inlineStr">
        <is>
          <t>C001</t>
        </is>
      </c>
      <c r="B5" s="14" t="inlineStr">
        <is>
          <t>東急グループ案件</t>
        </is>
      </c>
      <c r="C5" s="38" t="inlineStr">
        <is>
          <t>東急グループ</t>
        </is>
      </c>
      <c r="D5" s="36" t="inlineStr">
        <is>
          <t>2026-05</t>
        </is>
      </c>
      <c r="E5" s="42" t="n">
        <v>2850000</v>
      </c>
      <c r="F5" s="42" t="n">
        <v>280000</v>
      </c>
      <c r="G5" s="42" t="n">
        <v>175000</v>
      </c>
      <c r="H5" s="42" t="n">
        <v>30000</v>
      </c>
      <c r="I5" s="63">
        <f>E5+F5+G5+H5</f>
        <v/>
      </c>
      <c r="J5" s="70" t="n">
        <v>675000</v>
      </c>
      <c r="K5" s="70" t="n">
        <v>178000</v>
      </c>
      <c r="L5" s="70" t="n">
        <v>92000</v>
      </c>
      <c r="M5" s="70" t="n">
        <v>608000</v>
      </c>
      <c r="N5" s="70" t="n">
        <v>82000</v>
      </c>
      <c r="O5" s="70" t="n">
        <v>43000</v>
      </c>
      <c r="P5" s="70" t="n">
        <v>118000</v>
      </c>
      <c r="Q5" s="71">
        <f>J5+K5+L5+M5+N5+O5+P5</f>
        <v/>
      </c>
      <c r="R5" s="67">
        <f>I5-Q5</f>
        <v/>
      </c>
      <c r="S5" s="72">
        <f>IF(I5&lt;&gt;0,R5/I5,0)</f>
        <v/>
      </c>
      <c r="T5" s="73">
        <f>IF(S5&gt;=0.25,"◎ 優良",IF(S5&gt;=0.15,"○ 良好",IF(S5&gt;=0.05,"△ 要注意","× 赤字")))</f>
        <v/>
      </c>
      <c r="U5" s="14" t="inlineStr"/>
    </row>
    <row r="6" ht="22" customHeight="1">
      <c r="A6" s="69" t="inlineStr">
        <is>
          <t>C001</t>
        </is>
      </c>
      <c r="B6" s="14" t="inlineStr">
        <is>
          <t>東急グループ案件</t>
        </is>
      </c>
      <c r="C6" s="38" t="inlineStr">
        <is>
          <t>東急グループ</t>
        </is>
      </c>
      <c r="D6" s="36" t="inlineStr">
        <is>
          <t>2026-06</t>
        </is>
      </c>
      <c r="E6" s="42" t="n">
        <v>2850000</v>
      </c>
      <c r="F6" s="42" t="n">
        <v>410000</v>
      </c>
      <c r="G6" s="42" t="n">
        <v>190000</v>
      </c>
      <c r="H6" s="42" t="n">
        <v>60000</v>
      </c>
      <c r="I6" s="63">
        <f>E6+F6+G6+H6</f>
        <v/>
      </c>
      <c r="J6" s="70" t="n">
        <v>690000</v>
      </c>
      <c r="K6" s="70" t="n">
        <v>195000</v>
      </c>
      <c r="L6" s="70" t="n">
        <v>98000</v>
      </c>
      <c r="M6" s="70" t="n">
        <v>635000</v>
      </c>
      <c r="N6" s="70" t="n">
        <v>90000</v>
      </c>
      <c r="O6" s="70" t="n">
        <v>47000</v>
      </c>
      <c r="P6" s="70" t="n">
        <v>125000</v>
      </c>
      <c r="Q6" s="71">
        <f>J6+K6+L6+M6+N6+O6+P6</f>
        <v/>
      </c>
      <c r="R6" s="67">
        <f>I6-Q6</f>
        <v/>
      </c>
      <c r="S6" s="72">
        <f>IF(I6&lt;&gt;0,R6/I6,0)</f>
        <v/>
      </c>
      <c r="T6" s="73">
        <f>IF(S6&gt;=0.25,"◎ 優良",IF(S6&gt;=0.15,"○ 良好",IF(S6&gt;=0.05,"△ 要注意","× 赤字")))</f>
        <v/>
      </c>
      <c r="U6" s="14" t="inlineStr"/>
    </row>
    <row r="7" ht="22" customHeight="1">
      <c r="A7" s="74" t="inlineStr">
        <is>
          <t>C002</t>
        </is>
      </c>
      <c r="B7" s="22" t="inlineStr">
        <is>
          <t>都営地下鉄案件</t>
        </is>
      </c>
      <c r="C7" s="47" t="inlineStr">
        <is>
          <t>都営地下鉄</t>
        </is>
      </c>
      <c r="D7" s="45" t="inlineStr">
        <is>
          <t>2026-04</t>
        </is>
      </c>
      <c r="E7" s="42" t="n">
        <v>1950000</v>
      </c>
      <c r="F7" s="42" t="n">
        <v>80000</v>
      </c>
      <c r="G7" s="42" t="n">
        <v>95000</v>
      </c>
      <c r="H7" s="42" t="n">
        <v>20000</v>
      </c>
      <c r="I7" s="63">
        <f>E7+F7+G7+H7</f>
        <v/>
      </c>
      <c r="J7" s="70" t="n">
        <v>420000</v>
      </c>
      <c r="K7" s="70" t="n">
        <v>125000</v>
      </c>
      <c r="L7" s="70" t="n">
        <v>68000</v>
      </c>
      <c r="M7" s="70" t="n">
        <v>380000</v>
      </c>
      <c r="N7" s="70" t="n">
        <v>45000</v>
      </c>
      <c r="O7" s="70" t="n">
        <v>30000</v>
      </c>
      <c r="P7" s="70" t="n">
        <v>85000</v>
      </c>
      <c r="Q7" s="71">
        <f>J7+K7+L7+M7+N7+O7+P7</f>
        <v/>
      </c>
      <c r="R7" s="67">
        <f>I7-Q7</f>
        <v/>
      </c>
      <c r="S7" s="72">
        <f>IF(I7&lt;&gt;0,R7/I7,0)</f>
        <v/>
      </c>
      <c r="T7" s="73">
        <f>IF(S7&gt;=0.25,"◎ 優良",IF(S7&gt;=0.15,"○ 良好",IF(S7&gt;=0.05,"△ 要注意","× 赤字")))</f>
        <v/>
      </c>
      <c r="U7" s="22" t="inlineStr"/>
    </row>
    <row r="8" ht="22" customHeight="1">
      <c r="A8" s="74" t="inlineStr">
        <is>
          <t>C002</t>
        </is>
      </c>
      <c r="B8" s="22" t="inlineStr">
        <is>
          <t>都営地下鉄案件</t>
        </is>
      </c>
      <c r="C8" s="47" t="inlineStr">
        <is>
          <t>都営地下鉄</t>
        </is>
      </c>
      <c r="D8" s="45" t="inlineStr">
        <is>
          <t>2026-05</t>
        </is>
      </c>
      <c r="E8" s="42" t="n">
        <v>1950000</v>
      </c>
      <c r="F8" s="42" t="n">
        <v>65000</v>
      </c>
      <c r="G8" s="42" t="n">
        <v>92000</v>
      </c>
      <c r="H8" s="42" t="n">
        <v>15000</v>
      </c>
      <c r="I8" s="63">
        <f>E8+F8+G8+H8</f>
        <v/>
      </c>
      <c r="J8" s="70" t="n">
        <v>415000</v>
      </c>
      <c r="K8" s="70" t="n">
        <v>120000</v>
      </c>
      <c r="L8" s="70" t="n">
        <v>65000</v>
      </c>
      <c r="M8" s="70" t="n">
        <v>372000</v>
      </c>
      <c r="N8" s="70" t="n">
        <v>42000</v>
      </c>
      <c r="O8" s="70" t="n">
        <v>28000</v>
      </c>
      <c r="P8" s="70" t="n">
        <v>82000</v>
      </c>
      <c r="Q8" s="71">
        <f>J8+K8+L8+M8+N8+O8+P8</f>
        <v/>
      </c>
      <c r="R8" s="67">
        <f>I8-Q8</f>
        <v/>
      </c>
      <c r="S8" s="72">
        <f>IF(I8&lt;&gt;0,R8/I8,0)</f>
        <v/>
      </c>
      <c r="T8" s="73">
        <f>IF(S8&gt;=0.25,"◎ 優良",IF(S8&gt;=0.15,"○ 良好",IF(S8&gt;=0.05,"△ 要注意","× 赤字")))</f>
        <v/>
      </c>
      <c r="U8" s="22" t="inlineStr"/>
    </row>
    <row r="9" ht="22" customHeight="1">
      <c r="A9" s="73" t="inlineStr">
        <is>
          <t>C003</t>
        </is>
      </c>
      <c r="B9" s="30" t="inlineStr">
        <is>
          <t>一般事業者案件</t>
        </is>
      </c>
      <c r="C9" s="54" t="inlineStr">
        <is>
          <t>一般事業者</t>
        </is>
      </c>
      <c r="D9" s="52" t="inlineStr">
        <is>
          <t>2026-04</t>
        </is>
      </c>
      <c r="E9" s="42" t="n">
        <v>5200000</v>
      </c>
      <c r="F9" s="42" t="n">
        <v>520000</v>
      </c>
      <c r="G9" s="42" t="n">
        <v>410000</v>
      </c>
      <c r="H9" s="42" t="n">
        <v>80000</v>
      </c>
      <c r="I9" s="63">
        <f>E9+F9+G9+H9</f>
        <v/>
      </c>
      <c r="J9" s="70" t="n">
        <v>1350000</v>
      </c>
      <c r="K9" s="70" t="n">
        <v>485000</v>
      </c>
      <c r="L9" s="70" t="n">
        <v>220000</v>
      </c>
      <c r="M9" s="70" t="n">
        <v>1180000</v>
      </c>
      <c r="N9" s="70" t="n">
        <v>165000</v>
      </c>
      <c r="O9" s="70" t="n">
        <v>85000</v>
      </c>
      <c r="P9" s="70" t="n">
        <v>210000</v>
      </c>
      <c r="Q9" s="71">
        <f>J9+K9+L9+M9+N9+O9+P9</f>
        <v/>
      </c>
      <c r="R9" s="67">
        <f>I9-Q9</f>
        <v/>
      </c>
      <c r="S9" s="72">
        <f>IF(I9&lt;&gt;0,R9/I9,0)</f>
        <v/>
      </c>
      <c r="T9" s="73">
        <f>IF(S9&gt;=0.25,"◎ 優良",IF(S9&gt;=0.15,"○ 良好",IF(S9&gt;=0.05,"△ 要注意","× 赤字")))</f>
        <v/>
      </c>
      <c r="U9" s="30" t="inlineStr"/>
    </row>
    <row r="10" ht="22" customHeight="1">
      <c r="A10" s="73" t="inlineStr">
        <is>
          <t>C003</t>
        </is>
      </c>
      <c r="B10" s="30" t="inlineStr">
        <is>
          <t>一般事業者案件</t>
        </is>
      </c>
      <c r="C10" s="54" t="inlineStr">
        <is>
          <t>一般事業者</t>
        </is>
      </c>
      <c r="D10" s="52" t="inlineStr">
        <is>
          <t>2026-05</t>
        </is>
      </c>
      <c r="E10" s="42" t="n">
        <v>5200000</v>
      </c>
      <c r="F10" s="42" t="n">
        <v>480000</v>
      </c>
      <c r="G10" s="42" t="n">
        <v>398000</v>
      </c>
      <c r="H10" s="42" t="n">
        <v>60000</v>
      </c>
      <c r="I10" s="63">
        <f>E10+F10+G10+H10</f>
        <v/>
      </c>
      <c r="J10" s="70" t="n">
        <v>1340000</v>
      </c>
      <c r="K10" s="70" t="n">
        <v>472000</v>
      </c>
      <c r="L10" s="70" t="n">
        <v>215000</v>
      </c>
      <c r="M10" s="70" t="n">
        <v>1155000</v>
      </c>
      <c r="N10" s="70" t="n">
        <v>160000</v>
      </c>
      <c r="O10" s="70" t="n">
        <v>82000</v>
      </c>
      <c r="P10" s="70" t="n">
        <v>205000</v>
      </c>
      <c r="Q10" s="71">
        <f>J10+K10+L10+M10+N10+O10+P10</f>
        <v/>
      </c>
      <c r="R10" s="67">
        <f>I10-Q10</f>
        <v/>
      </c>
      <c r="S10" s="72">
        <f>IF(I10&lt;&gt;0,R10/I10,0)</f>
        <v/>
      </c>
      <c r="T10" s="73">
        <f>IF(S10&gt;=0.25,"◎ 優良",IF(S10&gt;=0.15,"○ 良好",IF(S10&gt;=0.05,"△ 要注意","× 赤字")))</f>
        <v/>
      </c>
      <c r="U10" s="30" t="inlineStr"/>
    </row>
    <row r="11" ht="22" customHeight="1">
      <c r="A11" s="73" t="inlineStr">
        <is>
          <t>C003</t>
        </is>
      </c>
      <c r="B11" s="30" t="inlineStr">
        <is>
          <t>一般事業者案件</t>
        </is>
      </c>
      <c r="C11" s="54" t="inlineStr">
        <is>
          <t>一般事業者</t>
        </is>
      </c>
      <c r="D11" s="52" t="inlineStr">
        <is>
          <t>2026-06</t>
        </is>
      </c>
      <c r="E11" s="42" t="n">
        <v>5200000</v>
      </c>
      <c r="F11" s="42" t="n">
        <v>610000</v>
      </c>
      <c r="G11" s="42" t="n">
        <v>425000</v>
      </c>
      <c r="H11" s="42" t="n">
        <v>90000</v>
      </c>
      <c r="I11" s="63">
        <f>E11+F11+G11+H11</f>
        <v/>
      </c>
      <c r="J11" s="70" t="n">
        <v>1365000</v>
      </c>
      <c r="K11" s="70" t="n">
        <v>502000</v>
      </c>
      <c r="L11" s="70" t="n">
        <v>228000</v>
      </c>
      <c r="M11" s="70" t="n">
        <v>1205000</v>
      </c>
      <c r="N11" s="70" t="n">
        <v>172000</v>
      </c>
      <c r="O11" s="70" t="n">
        <v>88000</v>
      </c>
      <c r="P11" s="70" t="n">
        <v>218000</v>
      </c>
      <c r="Q11" s="71">
        <f>J11+K11+L11+M11+N11+O11+P11</f>
        <v/>
      </c>
      <c r="R11" s="67">
        <f>I11-Q11</f>
        <v/>
      </c>
      <c r="S11" s="72">
        <f>IF(I11&lt;&gt;0,R11/I11,0)</f>
        <v/>
      </c>
      <c r="T11" s="73">
        <f>IF(S11&gt;=0.25,"◎ 優良",IF(S11&gt;=0.15,"○ 良好",IF(S11&gt;=0.05,"△ 要注意","× 赤字")))</f>
        <v/>
      </c>
      <c r="U11" s="30" t="inlineStr"/>
    </row>
    <row r="12" ht="22" customHeight="1">
      <c r="A12" s="75" t="n"/>
      <c r="B12" s="76" t="n"/>
      <c r="C12" s="75" t="n"/>
      <c r="D12" s="75" t="n"/>
      <c r="E12" s="77" t="n"/>
      <c r="F12" s="77" t="n"/>
      <c r="G12" s="77" t="n"/>
      <c r="H12" s="77" t="n"/>
      <c r="I12" s="41">
        <f>IF(E12+F12+G12+H12=0,"",E12+F12+G12+H12)</f>
        <v/>
      </c>
      <c r="J12" s="77" t="n"/>
      <c r="K12" s="77" t="n"/>
      <c r="L12" s="77" t="n"/>
      <c r="M12" s="77" t="n"/>
      <c r="N12" s="77" t="n"/>
      <c r="O12" s="77" t="n"/>
      <c r="P12" s="77" t="n"/>
      <c r="Q12" s="78">
        <f>IF(J12+K12+L12+M12+N12+O12+P12=0,"",J12+K12+L12+M12+N12+O12+P12)</f>
        <v/>
      </c>
      <c r="R12" s="57">
        <f>IF(OR(I12="",I12=0),"",I12-Q12)</f>
        <v/>
      </c>
      <c r="S12" s="79">
        <f>IF(OR(I12="",I12=0),"",R12/I12)</f>
        <v/>
      </c>
      <c r="T12" s="80">
        <f>IF(S12="","",IF(S12&gt;=0.25,"◎ 優良",IF(S12&gt;=0.15,"○ 良好",IF(S12&gt;=0.05,"△ 要注意","× 赤字"))))</f>
        <v/>
      </c>
      <c r="U12" s="81" t="n"/>
    </row>
    <row r="13" ht="22" customHeight="1">
      <c r="A13" s="82" t="n"/>
      <c r="B13" s="83" t="n"/>
      <c r="C13" s="82" t="n"/>
      <c r="D13" s="82" t="n"/>
      <c r="E13" s="84" t="n"/>
      <c r="F13" s="84" t="n"/>
      <c r="G13" s="84" t="n"/>
      <c r="H13" s="84" t="n"/>
      <c r="I13" s="41">
        <f>IF(E13+F13+G13+H13=0,"",E13+F13+G13+H13)</f>
        <v/>
      </c>
      <c r="J13" s="84" t="n"/>
      <c r="K13" s="84" t="n"/>
      <c r="L13" s="84" t="n"/>
      <c r="M13" s="84" t="n"/>
      <c r="N13" s="84" t="n"/>
      <c r="O13" s="84" t="n"/>
      <c r="P13" s="84" t="n"/>
      <c r="Q13" s="78">
        <f>IF(J13+K13+L13+M13+N13+O13+P13=0,"",J13+K13+L13+M13+N13+O13+P13)</f>
        <v/>
      </c>
      <c r="R13" s="57">
        <f>IF(OR(I13="",I13=0),"",I13-Q13)</f>
        <v/>
      </c>
      <c r="S13" s="79">
        <f>IF(OR(I13="",I13=0),"",R13/I13)</f>
        <v/>
      </c>
      <c r="T13" s="80">
        <f>IF(S13="","",IF(S13&gt;=0.25,"◎ 優良",IF(S13&gt;=0.15,"○ 良好",IF(S13&gt;=0.05,"△ 要注意","× 赤字"))))</f>
        <v/>
      </c>
      <c r="U13" s="85" t="n"/>
    </row>
    <row r="14" ht="22" customHeight="1">
      <c r="A14" s="75" t="n"/>
      <c r="B14" s="76" t="n"/>
      <c r="C14" s="75" t="n"/>
      <c r="D14" s="75" t="n"/>
      <c r="E14" s="77" t="n"/>
      <c r="F14" s="77" t="n"/>
      <c r="G14" s="77" t="n"/>
      <c r="H14" s="77" t="n"/>
      <c r="I14" s="41">
        <f>IF(E14+F14+G14+H14=0,"",E14+F14+G14+H14)</f>
        <v/>
      </c>
      <c r="J14" s="77" t="n"/>
      <c r="K14" s="77" t="n"/>
      <c r="L14" s="77" t="n"/>
      <c r="M14" s="77" t="n"/>
      <c r="N14" s="77" t="n"/>
      <c r="O14" s="77" t="n"/>
      <c r="P14" s="77" t="n"/>
      <c r="Q14" s="78">
        <f>IF(J14+K14+L14+M14+N14+O14+P14=0,"",J14+K14+L14+M14+N14+O14+P14)</f>
        <v/>
      </c>
      <c r="R14" s="57">
        <f>IF(OR(I14="",I14=0),"",I14-Q14)</f>
        <v/>
      </c>
      <c r="S14" s="79">
        <f>IF(OR(I14="",I14=0),"",R14/I14)</f>
        <v/>
      </c>
      <c r="T14" s="80">
        <f>IF(S14="","",IF(S14&gt;=0.25,"◎ 優良",IF(S14&gt;=0.15,"○ 良好",IF(S14&gt;=0.05,"△ 要注意","× 赤字"))))</f>
        <v/>
      </c>
      <c r="U14" s="81" t="n"/>
    </row>
    <row r="15" ht="22" customHeight="1">
      <c r="A15" s="82" t="n"/>
      <c r="B15" s="83" t="n"/>
      <c r="C15" s="82" t="n"/>
      <c r="D15" s="82" t="n"/>
      <c r="E15" s="84" t="n"/>
      <c r="F15" s="84" t="n"/>
      <c r="G15" s="84" t="n"/>
      <c r="H15" s="84" t="n"/>
      <c r="I15" s="41">
        <f>IF(E15+F15+G15+H15=0,"",E15+F15+G15+H15)</f>
        <v/>
      </c>
      <c r="J15" s="84" t="n"/>
      <c r="K15" s="84" t="n"/>
      <c r="L15" s="84" t="n"/>
      <c r="M15" s="84" t="n"/>
      <c r="N15" s="84" t="n"/>
      <c r="O15" s="84" t="n"/>
      <c r="P15" s="84" t="n"/>
      <c r="Q15" s="78">
        <f>IF(J15+K15+L15+M15+N15+O15+P15=0,"",J15+K15+L15+M15+N15+O15+P15)</f>
        <v/>
      </c>
      <c r="R15" s="57">
        <f>IF(OR(I15="",I15=0),"",I15-Q15)</f>
        <v/>
      </c>
      <c r="S15" s="79">
        <f>IF(OR(I15="",I15=0),"",R15/I15)</f>
        <v/>
      </c>
      <c r="T15" s="80">
        <f>IF(S15="","",IF(S15&gt;=0.25,"◎ 優良",IF(S15&gt;=0.15,"○ 良好",IF(S15&gt;=0.05,"△ 要注意","× 赤字"))))</f>
        <v/>
      </c>
      <c r="U15" s="85" t="n"/>
    </row>
    <row r="16" ht="22" customHeight="1">
      <c r="A16" s="75" t="n"/>
      <c r="B16" s="76" t="n"/>
      <c r="C16" s="75" t="n"/>
      <c r="D16" s="75" t="n"/>
      <c r="E16" s="77" t="n"/>
      <c r="F16" s="77" t="n"/>
      <c r="G16" s="77" t="n"/>
      <c r="H16" s="77" t="n"/>
      <c r="I16" s="41">
        <f>IF(E16+F16+G16+H16=0,"",E16+F16+G16+H16)</f>
        <v/>
      </c>
      <c r="J16" s="77" t="n"/>
      <c r="K16" s="77" t="n"/>
      <c r="L16" s="77" t="n"/>
      <c r="M16" s="77" t="n"/>
      <c r="N16" s="77" t="n"/>
      <c r="O16" s="77" t="n"/>
      <c r="P16" s="77" t="n"/>
      <c r="Q16" s="78">
        <f>IF(J16+K16+L16+M16+N16+O16+P16=0,"",J16+K16+L16+M16+N16+O16+P16)</f>
        <v/>
      </c>
      <c r="R16" s="57">
        <f>IF(OR(I16="",I16=0),"",I16-Q16)</f>
        <v/>
      </c>
      <c r="S16" s="79">
        <f>IF(OR(I16="",I16=0),"",R16/I16)</f>
        <v/>
      </c>
      <c r="T16" s="80">
        <f>IF(S16="","",IF(S16&gt;=0.25,"◎ 優良",IF(S16&gt;=0.15,"○ 良好",IF(S16&gt;=0.05,"△ 要注意","× 赤字"))))</f>
        <v/>
      </c>
      <c r="U16" s="81" t="n"/>
    </row>
    <row r="17" ht="22" customHeight="1">
      <c r="A17" s="82" t="n"/>
      <c r="B17" s="83" t="n"/>
      <c r="C17" s="82" t="n"/>
      <c r="D17" s="82" t="n"/>
      <c r="E17" s="84" t="n"/>
      <c r="F17" s="84" t="n"/>
      <c r="G17" s="84" t="n"/>
      <c r="H17" s="84" t="n"/>
      <c r="I17" s="41">
        <f>IF(E17+F17+G17+H17=0,"",E17+F17+G17+H17)</f>
        <v/>
      </c>
      <c r="J17" s="84" t="n"/>
      <c r="K17" s="84" t="n"/>
      <c r="L17" s="84" t="n"/>
      <c r="M17" s="84" t="n"/>
      <c r="N17" s="84" t="n"/>
      <c r="O17" s="84" t="n"/>
      <c r="P17" s="84" t="n"/>
      <c r="Q17" s="78">
        <f>IF(J17+K17+L17+M17+N17+O17+P17=0,"",J17+K17+L17+M17+N17+O17+P17)</f>
        <v/>
      </c>
      <c r="R17" s="57">
        <f>IF(OR(I17="",I17=0),"",I17-Q17)</f>
        <v/>
      </c>
      <c r="S17" s="79">
        <f>IF(OR(I17="",I17=0),"",R17/I17)</f>
        <v/>
      </c>
      <c r="T17" s="80">
        <f>IF(S17="","",IF(S17&gt;=0.25,"◎ 優良",IF(S17&gt;=0.15,"○ 良好",IF(S17&gt;=0.05,"△ 要注意","× 赤字"))))</f>
        <v/>
      </c>
      <c r="U17" s="85" t="n"/>
    </row>
    <row r="18" ht="22" customHeight="1">
      <c r="A18" s="75" t="n"/>
      <c r="B18" s="76" t="n"/>
      <c r="C18" s="75" t="n"/>
      <c r="D18" s="75" t="n"/>
      <c r="E18" s="77" t="n"/>
      <c r="F18" s="77" t="n"/>
      <c r="G18" s="77" t="n"/>
      <c r="H18" s="77" t="n"/>
      <c r="I18" s="41">
        <f>IF(E18+F18+G18+H18=0,"",E18+F18+G18+H18)</f>
        <v/>
      </c>
      <c r="J18" s="77" t="n"/>
      <c r="K18" s="77" t="n"/>
      <c r="L18" s="77" t="n"/>
      <c r="M18" s="77" t="n"/>
      <c r="N18" s="77" t="n"/>
      <c r="O18" s="77" t="n"/>
      <c r="P18" s="77" t="n"/>
      <c r="Q18" s="78">
        <f>IF(J18+K18+L18+M18+N18+O18+P18=0,"",J18+K18+L18+M18+N18+O18+P18)</f>
        <v/>
      </c>
      <c r="R18" s="57">
        <f>IF(OR(I18="",I18=0),"",I18-Q18)</f>
        <v/>
      </c>
      <c r="S18" s="79">
        <f>IF(OR(I18="",I18=0),"",R18/I18)</f>
        <v/>
      </c>
      <c r="T18" s="80">
        <f>IF(S18="","",IF(S18&gt;=0.25,"◎ 優良",IF(S18&gt;=0.15,"○ 良好",IF(S18&gt;=0.05,"△ 要注意","× 赤字"))))</f>
        <v/>
      </c>
      <c r="U18" s="81" t="n"/>
    </row>
    <row r="19" ht="22" customHeight="1">
      <c r="A19" s="82" t="n"/>
      <c r="B19" s="83" t="n"/>
      <c r="C19" s="82" t="n"/>
      <c r="D19" s="82" t="n"/>
      <c r="E19" s="84" t="n"/>
      <c r="F19" s="84" t="n"/>
      <c r="G19" s="84" t="n"/>
      <c r="H19" s="84" t="n"/>
      <c r="I19" s="41">
        <f>IF(E19+F19+G19+H19=0,"",E19+F19+G19+H19)</f>
        <v/>
      </c>
      <c r="J19" s="84" t="n"/>
      <c r="K19" s="84" t="n"/>
      <c r="L19" s="84" t="n"/>
      <c r="M19" s="84" t="n"/>
      <c r="N19" s="84" t="n"/>
      <c r="O19" s="84" t="n"/>
      <c r="P19" s="84" t="n"/>
      <c r="Q19" s="78">
        <f>IF(J19+K19+L19+M19+N19+O19+P19=0,"",J19+K19+L19+M19+N19+O19+P19)</f>
        <v/>
      </c>
      <c r="R19" s="57">
        <f>IF(OR(I19="",I19=0),"",I19-Q19)</f>
        <v/>
      </c>
      <c r="S19" s="79">
        <f>IF(OR(I19="",I19=0),"",R19/I19)</f>
        <v/>
      </c>
      <c r="T19" s="80">
        <f>IF(S19="","",IF(S19&gt;=0.25,"◎ 優良",IF(S19&gt;=0.15,"○ 良好",IF(S19&gt;=0.05,"△ 要注意","× 赤字"))))</f>
        <v/>
      </c>
      <c r="U19" s="85" t="n"/>
    </row>
    <row r="20" ht="22" customHeight="1">
      <c r="A20" s="75" t="n"/>
      <c r="B20" s="76" t="n"/>
      <c r="C20" s="75" t="n"/>
      <c r="D20" s="75" t="n"/>
      <c r="E20" s="77" t="n"/>
      <c r="F20" s="77" t="n"/>
      <c r="G20" s="77" t="n"/>
      <c r="H20" s="77" t="n"/>
      <c r="I20" s="41">
        <f>IF(E20+F20+G20+H20=0,"",E20+F20+G20+H20)</f>
        <v/>
      </c>
      <c r="J20" s="77" t="n"/>
      <c r="K20" s="77" t="n"/>
      <c r="L20" s="77" t="n"/>
      <c r="M20" s="77" t="n"/>
      <c r="N20" s="77" t="n"/>
      <c r="O20" s="77" t="n"/>
      <c r="P20" s="77" t="n"/>
      <c r="Q20" s="78">
        <f>IF(J20+K20+L20+M20+N20+O20+P20=0,"",J20+K20+L20+M20+N20+O20+P20)</f>
        <v/>
      </c>
      <c r="R20" s="57">
        <f>IF(OR(I20="",I20=0),"",I20-Q20)</f>
        <v/>
      </c>
      <c r="S20" s="79">
        <f>IF(OR(I20="",I20=0),"",R20/I20)</f>
        <v/>
      </c>
      <c r="T20" s="80">
        <f>IF(S20="","",IF(S20&gt;=0.25,"◎ 優良",IF(S20&gt;=0.15,"○ 良好",IF(S20&gt;=0.05,"△ 要注意","× 赤字"))))</f>
        <v/>
      </c>
      <c r="U20" s="81" t="n"/>
    </row>
    <row r="21" ht="22" customHeight="1">
      <c r="A21" s="82" t="n"/>
      <c r="B21" s="83" t="n"/>
      <c r="C21" s="82" t="n"/>
      <c r="D21" s="82" t="n"/>
      <c r="E21" s="84" t="n"/>
      <c r="F21" s="84" t="n"/>
      <c r="G21" s="84" t="n"/>
      <c r="H21" s="84" t="n"/>
      <c r="I21" s="41">
        <f>IF(E21+F21+G21+H21=0,"",E21+F21+G21+H21)</f>
        <v/>
      </c>
      <c r="J21" s="84" t="n"/>
      <c r="K21" s="84" t="n"/>
      <c r="L21" s="84" t="n"/>
      <c r="M21" s="84" t="n"/>
      <c r="N21" s="84" t="n"/>
      <c r="O21" s="84" t="n"/>
      <c r="P21" s="84" t="n"/>
      <c r="Q21" s="78">
        <f>IF(J21+K21+L21+M21+N21+O21+P21=0,"",J21+K21+L21+M21+N21+O21+P21)</f>
        <v/>
      </c>
      <c r="R21" s="57">
        <f>IF(OR(I21="",I21=0),"",I21-Q21)</f>
        <v/>
      </c>
      <c r="S21" s="79">
        <f>IF(OR(I21="",I21=0),"",R21/I21)</f>
        <v/>
      </c>
      <c r="T21" s="80">
        <f>IF(S21="","",IF(S21&gt;=0.25,"◎ 優良",IF(S21&gt;=0.15,"○ 良好",IF(S21&gt;=0.05,"△ 要注意","× 赤字"))))</f>
        <v/>
      </c>
      <c r="U21" s="85" t="n"/>
    </row>
    <row r="22" ht="22" customHeight="1">
      <c r="A22" s="75" t="n"/>
      <c r="B22" s="76" t="n"/>
      <c r="C22" s="75" t="n"/>
      <c r="D22" s="75" t="n"/>
      <c r="E22" s="77" t="n"/>
      <c r="F22" s="77" t="n"/>
      <c r="G22" s="77" t="n"/>
      <c r="H22" s="77" t="n"/>
      <c r="I22" s="41">
        <f>IF(E22+F22+G22+H22=0,"",E22+F22+G22+H22)</f>
        <v/>
      </c>
      <c r="J22" s="77" t="n"/>
      <c r="K22" s="77" t="n"/>
      <c r="L22" s="77" t="n"/>
      <c r="M22" s="77" t="n"/>
      <c r="N22" s="77" t="n"/>
      <c r="O22" s="77" t="n"/>
      <c r="P22" s="77" t="n"/>
      <c r="Q22" s="78">
        <f>IF(J22+K22+L22+M22+N22+O22+P22=0,"",J22+K22+L22+M22+N22+O22+P22)</f>
        <v/>
      </c>
      <c r="R22" s="57">
        <f>IF(OR(I22="",I22=0),"",I22-Q22)</f>
        <v/>
      </c>
      <c r="S22" s="79">
        <f>IF(OR(I22="",I22=0),"",R22/I22)</f>
        <v/>
      </c>
      <c r="T22" s="80">
        <f>IF(S22="","",IF(S22&gt;=0.25,"◎ 優良",IF(S22&gt;=0.15,"○ 良好",IF(S22&gt;=0.05,"△ 要注意","× 赤字"))))</f>
        <v/>
      </c>
      <c r="U22" s="81" t="n"/>
    </row>
    <row r="23" ht="22" customHeight="1">
      <c r="A23" s="82" t="n"/>
      <c r="B23" s="83" t="n"/>
      <c r="C23" s="82" t="n"/>
      <c r="D23" s="82" t="n"/>
      <c r="E23" s="84" t="n"/>
      <c r="F23" s="84" t="n"/>
      <c r="G23" s="84" t="n"/>
      <c r="H23" s="84" t="n"/>
      <c r="I23" s="41">
        <f>IF(E23+F23+G23+H23=0,"",E23+F23+G23+H23)</f>
        <v/>
      </c>
      <c r="J23" s="84" t="n"/>
      <c r="K23" s="84" t="n"/>
      <c r="L23" s="84" t="n"/>
      <c r="M23" s="84" t="n"/>
      <c r="N23" s="84" t="n"/>
      <c r="O23" s="84" t="n"/>
      <c r="P23" s="84" t="n"/>
      <c r="Q23" s="78">
        <f>IF(J23+K23+L23+M23+N23+O23+P23=0,"",J23+K23+L23+M23+N23+O23+P23)</f>
        <v/>
      </c>
      <c r="R23" s="57">
        <f>IF(OR(I23="",I23=0),"",I23-Q23)</f>
        <v/>
      </c>
      <c r="S23" s="79">
        <f>IF(OR(I23="",I23=0),"",R23/I23)</f>
        <v/>
      </c>
      <c r="T23" s="80">
        <f>IF(S23="","",IF(S23&gt;=0.25,"◎ 優良",IF(S23&gt;=0.15,"○ 良好",IF(S23&gt;=0.05,"△ 要注意","× 赤字"))))</f>
        <v/>
      </c>
      <c r="U23" s="85" t="n"/>
    </row>
    <row r="24" ht="22" customHeight="1">
      <c r="A24" s="75" t="n"/>
      <c r="B24" s="76" t="n"/>
      <c r="C24" s="75" t="n"/>
      <c r="D24" s="75" t="n"/>
      <c r="E24" s="77" t="n"/>
      <c r="F24" s="77" t="n"/>
      <c r="G24" s="77" t="n"/>
      <c r="H24" s="77" t="n"/>
      <c r="I24" s="41">
        <f>IF(E24+F24+G24+H24=0,"",E24+F24+G24+H24)</f>
        <v/>
      </c>
      <c r="J24" s="77" t="n"/>
      <c r="K24" s="77" t="n"/>
      <c r="L24" s="77" t="n"/>
      <c r="M24" s="77" t="n"/>
      <c r="N24" s="77" t="n"/>
      <c r="O24" s="77" t="n"/>
      <c r="P24" s="77" t="n"/>
      <c r="Q24" s="78">
        <f>IF(J24+K24+L24+M24+N24+O24+P24=0,"",J24+K24+L24+M24+N24+O24+P24)</f>
        <v/>
      </c>
      <c r="R24" s="57">
        <f>IF(OR(I24="",I24=0),"",I24-Q24)</f>
        <v/>
      </c>
      <c r="S24" s="79">
        <f>IF(OR(I24="",I24=0),"",R24/I24)</f>
        <v/>
      </c>
      <c r="T24" s="80">
        <f>IF(S24="","",IF(S24&gt;=0.25,"◎ 優良",IF(S24&gt;=0.15,"○ 良好",IF(S24&gt;=0.05,"△ 要注意","× 赤字"))))</f>
        <v/>
      </c>
      <c r="U24" s="81" t="n"/>
    </row>
    <row r="25" ht="22" customHeight="1">
      <c r="A25" s="82" t="n"/>
      <c r="B25" s="83" t="n"/>
      <c r="C25" s="82" t="n"/>
      <c r="D25" s="82" t="n"/>
      <c r="E25" s="84" t="n"/>
      <c r="F25" s="84" t="n"/>
      <c r="G25" s="84" t="n"/>
      <c r="H25" s="84" t="n"/>
      <c r="I25" s="41">
        <f>IF(E25+F25+G25+H25=0,"",E25+F25+G25+H25)</f>
        <v/>
      </c>
      <c r="J25" s="84" t="n"/>
      <c r="K25" s="84" t="n"/>
      <c r="L25" s="84" t="n"/>
      <c r="M25" s="84" t="n"/>
      <c r="N25" s="84" t="n"/>
      <c r="O25" s="84" t="n"/>
      <c r="P25" s="84" t="n"/>
      <c r="Q25" s="78">
        <f>IF(J25+K25+L25+M25+N25+O25+P25=0,"",J25+K25+L25+M25+N25+O25+P25)</f>
        <v/>
      </c>
      <c r="R25" s="57">
        <f>IF(OR(I25="",I25=0),"",I25-Q25)</f>
        <v/>
      </c>
      <c r="S25" s="79">
        <f>IF(OR(I25="",I25=0),"",R25/I25)</f>
        <v/>
      </c>
      <c r="T25" s="80">
        <f>IF(S25="","",IF(S25&gt;=0.25,"◎ 優良",IF(S25&gt;=0.15,"○ 良好",IF(S25&gt;=0.05,"△ 要注意","× 赤字"))))</f>
        <v/>
      </c>
      <c r="U25" s="85" t="n"/>
    </row>
    <row r="26" ht="22" customHeight="1">
      <c r="A26" s="75" t="n"/>
      <c r="B26" s="76" t="n"/>
      <c r="C26" s="75" t="n"/>
      <c r="D26" s="75" t="n"/>
      <c r="E26" s="77" t="n"/>
      <c r="F26" s="77" t="n"/>
      <c r="G26" s="77" t="n"/>
      <c r="H26" s="77" t="n"/>
      <c r="I26" s="41">
        <f>IF(E26+F26+G26+H26=0,"",E26+F26+G26+H26)</f>
        <v/>
      </c>
      <c r="J26" s="77" t="n"/>
      <c r="K26" s="77" t="n"/>
      <c r="L26" s="77" t="n"/>
      <c r="M26" s="77" t="n"/>
      <c r="N26" s="77" t="n"/>
      <c r="O26" s="77" t="n"/>
      <c r="P26" s="77" t="n"/>
      <c r="Q26" s="78">
        <f>IF(J26+K26+L26+M26+N26+O26+P26=0,"",J26+K26+L26+M26+N26+O26+P26)</f>
        <v/>
      </c>
      <c r="R26" s="57">
        <f>IF(OR(I26="",I26=0),"",I26-Q26)</f>
        <v/>
      </c>
      <c r="S26" s="79">
        <f>IF(OR(I26="",I26=0),"",R26/I26)</f>
        <v/>
      </c>
      <c r="T26" s="80">
        <f>IF(S26="","",IF(S26&gt;=0.25,"◎ 優良",IF(S26&gt;=0.15,"○ 良好",IF(S26&gt;=0.05,"△ 要注意","× 赤字"))))</f>
        <v/>
      </c>
      <c r="U26" s="81" t="n"/>
    </row>
    <row r="27" ht="22" customHeight="1">
      <c r="A27" s="82" t="n"/>
      <c r="B27" s="83" t="n"/>
      <c r="C27" s="82" t="n"/>
      <c r="D27" s="82" t="n"/>
      <c r="E27" s="84" t="n"/>
      <c r="F27" s="84" t="n"/>
      <c r="G27" s="84" t="n"/>
      <c r="H27" s="84" t="n"/>
      <c r="I27" s="41">
        <f>IF(E27+F27+G27+H27=0,"",E27+F27+G27+H27)</f>
        <v/>
      </c>
      <c r="J27" s="84" t="n"/>
      <c r="K27" s="84" t="n"/>
      <c r="L27" s="84" t="n"/>
      <c r="M27" s="84" t="n"/>
      <c r="N27" s="84" t="n"/>
      <c r="O27" s="84" t="n"/>
      <c r="P27" s="84" t="n"/>
      <c r="Q27" s="78">
        <f>IF(J27+K27+L27+M27+N27+O27+P27=0,"",J27+K27+L27+M27+N27+O27+P27)</f>
        <v/>
      </c>
      <c r="R27" s="57">
        <f>IF(OR(I27="",I27=0),"",I27-Q27)</f>
        <v/>
      </c>
      <c r="S27" s="79">
        <f>IF(OR(I27="",I27=0),"",R27/I27)</f>
        <v/>
      </c>
      <c r="T27" s="80">
        <f>IF(S27="","",IF(S27&gt;=0.25,"◎ 優良",IF(S27&gt;=0.15,"○ 良好",IF(S27&gt;=0.05,"△ 要注意","× 赤字"))))</f>
        <v/>
      </c>
      <c r="U27" s="85" t="n"/>
    </row>
    <row r="28" ht="22" customHeight="1">
      <c r="A28" s="75" t="n"/>
      <c r="B28" s="76" t="n"/>
      <c r="C28" s="75" t="n"/>
      <c r="D28" s="75" t="n"/>
      <c r="E28" s="77" t="n"/>
      <c r="F28" s="77" t="n"/>
      <c r="G28" s="77" t="n"/>
      <c r="H28" s="77" t="n"/>
      <c r="I28" s="41">
        <f>IF(E28+F28+G28+H28=0,"",E28+F28+G28+H28)</f>
        <v/>
      </c>
      <c r="J28" s="77" t="n"/>
      <c r="K28" s="77" t="n"/>
      <c r="L28" s="77" t="n"/>
      <c r="M28" s="77" t="n"/>
      <c r="N28" s="77" t="n"/>
      <c r="O28" s="77" t="n"/>
      <c r="P28" s="77" t="n"/>
      <c r="Q28" s="78">
        <f>IF(J28+K28+L28+M28+N28+O28+P28=0,"",J28+K28+L28+M28+N28+O28+P28)</f>
        <v/>
      </c>
      <c r="R28" s="57">
        <f>IF(OR(I28="",I28=0),"",I28-Q28)</f>
        <v/>
      </c>
      <c r="S28" s="79">
        <f>IF(OR(I28="",I28=0),"",R28/I28)</f>
        <v/>
      </c>
      <c r="T28" s="80">
        <f>IF(S28="","",IF(S28&gt;=0.25,"◎ 優良",IF(S28&gt;=0.15,"○ 良好",IF(S28&gt;=0.05,"△ 要注意","× 赤字"))))</f>
        <v/>
      </c>
      <c r="U28" s="81" t="n"/>
    </row>
    <row r="29" ht="22" customHeight="1">
      <c r="A29" s="82" t="n"/>
      <c r="B29" s="83" t="n"/>
      <c r="C29" s="82" t="n"/>
      <c r="D29" s="82" t="n"/>
      <c r="E29" s="84" t="n"/>
      <c r="F29" s="84" t="n"/>
      <c r="G29" s="84" t="n"/>
      <c r="H29" s="84" t="n"/>
      <c r="I29" s="41">
        <f>IF(E29+F29+G29+H29=0,"",E29+F29+G29+H29)</f>
        <v/>
      </c>
      <c r="J29" s="84" t="n"/>
      <c r="K29" s="84" t="n"/>
      <c r="L29" s="84" t="n"/>
      <c r="M29" s="84" t="n"/>
      <c r="N29" s="84" t="n"/>
      <c r="O29" s="84" t="n"/>
      <c r="P29" s="84" t="n"/>
      <c r="Q29" s="78">
        <f>IF(J29+K29+L29+M29+N29+O29+P29=0,"",J29+K29+L29+M29+N29+O29+P29)</f>
        <v/>
      </c>
      <c r="R29" s="57">
        <f>IF(OR(I29="",I29=0),"",I29-Q29)</f>
        <v/>
      </c>
      <c r="S29" s="79">
        <f>IF(OR(I29="",I29=0),"",R29/I29)</f>
        <v/>
      </c>
      <c r="T29" s="80">
        <f>IF(S29="","",IF(S29&gt;=0.25,"◎ 優良",IF(S29&gt;=0.15,"○ 良好",IF(S29&gt;=0.05,"△ 要注意","× 赤字"))))</f>
        <v/>
      </c>
      <c r="U29" s="85" t="n"/>
    </row>
    <row r="30" ht="22" customHeight="1">
      <c r="A30" s="75" t="n"/>
      <c r="B30" s="76" t="n"/>
      <c r="C30" s="75" t="n"/>
      <c r="D30" s="75" t="n"/>
      <c r="E30" s="77" t="n"/>
      <c r="F30" s="77" t="n"/>
      <c r="G30" s="77" t="n"/>
      <c r="H30" s="77" t="n"/>
      <c r="I30" s="41">
        <f>IF(E30+F30+G30+H30=0,"",E30+F30+G30+H30)</f>
        <v/>
      </c>
      <c r="J30" s="77" t="n"/>
      <c r="K30" s="77" t="n"/>
      <c r="L30" s="77" t="n"/>
      <c r="M30" s="77" t="n"/>
      <c r="N30" s="77" t="n"/>
      <c r="O30" s="77" t="n"/>
      <c r="P30" s="77" t="n"/>
      <c r="Q30" s="78">
        <f>IF(J30+K30+L30+M30+N30+O30+P30=0,"",J30+K30+L30+M30+N30+O30+P30)</f>
        <v/>
      </c>
      <c r="R30" s="57">
        <f>IF(OR(I30="",I30=0),"",I30-Q30)</f>
        <v/>
      </c>
      <c r="S30" s="79">
        <f>IF(OR(I30="",I30=0),"",R30/I30)</f>
        <v/>
      </c>
      <c r="T30" s="80">
        <f>IF(S30="","",IF(S30&gt;=0.25,"◎ 優良",IF(S30&gt;=0.15,"○ 良好",IF(S30&gt;=0.05,"△ 要注意","× 赤字"))))</f>
        <v/>
      </c>
      <c r="U30" s="81" t="n"/>
    </row>
    <row r="31" ht="22" customHeight="1">
      <c r="A31" s="82" t="n"/>
      <c r="B31" s="83" t="n"/>
      <c r="C31" s="82" t="n"/>
      <c r="D31" s="82" t="n"/>
      <c r="E31" s="84" t="n"/>
      <c r="F31" s="84" t="n"/>
      <c r="G31" s="84" t="n"/>
      <c r="H31" s="84" t="n"/>
      <c r="I31" s="41">
        <f>IF(E31+F31+G31+H31=0,"",E31+F31+G31+H31)</f>
        <v/>
      </c>
      <c r="J31" s="84" t="n"/>
      <c r="K31" s="84" t="n"/>
      <c r="L31" s="84" t="n"/>
      <c r="M31" s="84" t="n"/>
      <c r="N31" s="84" t="n"/>
      <c r="O31" s="84" t="n"/>
      <c r="P31" s="84" t="n"/>
      <c r="Q31" s="78">
        <f>IF(J31+K31+L31+M31+N31+O31+P31=0,"",J31+K31+L31+M31+N31+O31+P31)</f>
        <v/>
      </c>
      <c r="R31" s="57">
        <f>IF(OR(I31="",I31=0),"",I31-Q31)</f>
        <v/>
      </c>
      <c r="S31" s="79">
        <f>IF(OR(I31="",I31=0),"",R31/I31)</f>
        <v/>
      </c>
      <c r="T31" s="80">
        <f>IF(S31="","",IF(S31&gt;=0.25,"◎ 優良",IF(S31&gt;=0.15,"○ 良好",IF(S31&gt;=0.05,"△ 要注意","× 赤字"))))</f>
        <v/>
      </c>
      <c r="U31" s="85" t="n"/>
    </row>
  </sheetData>
  <mergeCells count="5">
    <mergeCell ref="A1:T1"/>
    <mergeCell ref="E2:I2"/>
    <mergeCell ref="J2:Q2"/>
    <mergeCell ref="A2:D2"/>
    <mergeCell ref="R2:U2"/>
  </mergeCells>
  <conditionalFormatting sqref="T4:T31">
    <cfRule type="expression" priority="1" dxfId="0">
      <formula>T4="◎ 優良"</formula>
    </cfRule>
    <cfRule type="expression" priority="2" dxfId="1">
      <formula>T4="○ 良好"</formula>
    </cfRule>
    <cfRule type="expression" priority="3" dxfId="2">
      <formula>T4="△ 要注意"</formula>
    </cfRule>
    <cfRule type="expression" priority="4" dxfId="3">
      <formula>T4="× 赤字"</formula>
    </cfRule>
  </conditionalFormatting>
  <conditionalFormatting sqref="S4:S31">
    <cfRule type="colorScale" priority="5">
      <colorScale>
        <cfvo type="num" val="0"/>
        <cfvo type="num" val="0.15"/>
        <cfvo type="num" val="0.3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6B2E"/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 ht="36" customHeight="1">
      <c r="A1" s="1" t="inlineStr">
        <is>
          <t>案件別月次集計（2026年4月〜）</t>
        </is>
      </c>
    </row>
    <row r="2" ht="28" customHeight="1">
      <c r="A2" s="86" t="inlineStr">
        <is>
          <t xml:space="preserve">  C001  東急グループ案件</t>
        </is>
      </c>
    </row>
    <row r="3" ht="22" customHeight="1">
      <c r="A3" s="2" t="inlineStr">
        <is>
          <t>集計月</t>
        </is>
      </c>
      <c r="B3" s="2" t="inlineStr">
        <is>
          <t>売上合計</t>
        </is>
      </c>
      <c r="C3" s="2" t="inlineStr">
        <is>
          <t>原価合計</t>
        </is>
      </c>
      <c r="D3" s="2" t="inlineStr">
        <is>
          <t>粗利益</t>
        </is>
      </c>
      <c r="E3" s="2" t="inlineStr">
        <is>
          <t>粗利率</t>
        </is>
      </c>
      <c r="F3" s="2" t="inlineStr">
        <is>
          <t>前月比 売上</t>
        </is>
      </c>
      <c r="G3" s="2" t="inlineStr">
        <is>
          <t>前月比 粗利</t>
        </is>
      </c>
      <c r="H3" s="2" t="inlineStr">
        <is>
          <t>判定</t>
        </is>
      </c>
    </row>
    <row r="4" ht="22" customHeight="1">
      <c r="A4" s="9" t="inlineStr">
        <is>
          <t>2026-04</t>
        </is>
      </c>
      <c r="B4" s="87" t="n">
        <v>3400000</v>
      </c>
      <c r="C4" s="87" t="n">
        <v>1630000</v>
      </c>
      <c r="D4" s="63" t="n">
        <v>1770000</v>
      </c>
      <c r="E4" s="88" t="n">
        <v>0.5205882352941177</v>
      </c>
      <c r="F4" s="36" t="inlineStr">
        <is>
          <t>—</t>
        </is>
      </c>
      <c r="G4" s="36" t="inlineStr">
        <is>
          <t>—</t>
        </is>
      </c>
      <c r="H4" s="89" t="inlineStr">
        <is>
          <t>◎ 優良</t>
        </is>
      </c>
    </row>
    <row r="5" ht="22" customHeight="1">
      <c r="A5" s="9" t="inlineStr">
        <is>
          <t>2026-05</t>
        </is>
      </c>
      <c r="B5" s="87" t="n">
        <v>3335000</v>
      </c>
      <c r="C5" s="87" t="n">
        <v>1598000</v>
      </c>
      <c r="D5" s="63" t="n">
        <v>1737000</v>
      </c>
      <c r="E5" s="88" t="n">
        <v>0.5208395802098951</v>
      </c>
      <c r="F5" s="90">
        <f>IF(B4&lt;&gt;0,B5/B4-1,"")</f>
        <v/>
      </c>
      <c r="G5" s="90">
        <f>IF(D4&lt;&gt;0,D5/D4-1,"")</f>
        <v/>
      </c>
      <c r="H5" s="89" t="inlineStr">
        <is>
          <t>◎ 優良</t>
        </is>
      </c>
    </row>
    <row r="6" ht="22" customHeight="1">
      <c r="A6" s="9" t="inlineStr">
        <is>
          <t>2026-06</t>
        </is>
      </c>
      <c r="B6" s="87" t="n">
        <v>3510000</v>
      </c>
      <c r="C6" s="87" t="n">
        <v>1680000</v>
      </c>
      <c r="D6" s="63" t="n">
        <v>1830000</v>
      </c>
      <c r="E6" s="88" t="n">
        <v>0.5213675213675214</v>
      </c>
      <c r="F6" s="90">
        <f>IF(B5&lt;&gt;0,B6/B5-1,"")</f>
        <v/>
      </c>
      <c r="G6" s="90">
        <f>IF(D5&lt;&gt;0,D6/D5-1,"")</f>
        <v/>
      </c>
      <c r="H6" s="89" t="inlineStr">
        <is>
          <t>◎ 優良</t>
        </is>
      </c>
    </row>
    <row r="7" ht="22" customHeight="1">
      <c r="A7" s="9" t="inlineStr">
        <is>
          <t>2026-07</t>
        </is>
      </c>
      <c r="B7" s="87" t="n"/>
      <c r="C7" s="87" t="n"/>
      <c r="D7" s="63" t="n"/>
      <c r="E7" s="88" t="n"/>
      <c r="F7" s="90">
        <f>IF(B6&lt;&gt;0,B7/B6-1,"")</f>
        <v/>
      </c>
      <c r="G7" s="90">
        <f>IF(D6&lt;&gt;0,D7/D6-1,"")</f>
        <v/>
      </c>
      <c r="H7" s="69" t="inlineStr">
        <is>
          <t>—</t>
        </is>
      </c>
    </row>
    <row r="8" ht="22" customHeight="1">
      <c r="A8" s="9" t="inlineStr">
        <is>
          <t>2026-08</t>
        </is>
      </c>
      <c r="B8" s="87" t="n"/>
      <c r="C8" s="87" t="n"/>
      <c r="D8" s="63" t="n"/>
      <c r="E8" s="88" t="n"/>
      <c r="F8" s="90">
        <f>IF(B7&lt;&gt;0,B8/B7-1,"")</f>
        <v/>
      </c>
      <c r="G8" s="90">
        <f>IF(D7&lt;&gt;0,D8/D7-1,"")</f>
        <v/>
      </c>
      <c r="H8" s="69" t="inlineStr">
        <is>
          <t>—</t>
        </is>
      </c>
    </row>
    <row r="9" ht="22" customHeight="1">
      <c r="A9" s="9" t="inlineStr">
        <is>
          <t>2026-09</t>
        </is>
      </c>
      <c r="B9" s="87" t="n"/>
      <c r="C9" s="87" t="n"/>
      <c r="D9" s="63" t="n"/>
      <c r="E9" s="88" t="n"/>
      <c r="F9" s="90">
        <f>IF(B8&lt;&gt;0,B9/B8-1,"")</f>
        <v/>
      </c>
      <c r="G9" s="90">
        <f>IF(D8&lt;&gt;0,D9/D8-1,"")</f>
        <v/>
      </c>
      <c r="H9" s="69" t="inlineStr">
        <is>
          <t>—</t>
        </is>
      </c>
    </row>
    <row r="10" ht="22" customHeight="1">
      <c r="A10" s="8" t="inlineStr">
        <is>
          <t>小　計</t>
        </is>
      </c>
      <c r="B10" s="91">
        <f>SUM(B4:B9)</f>
        <v/>
      </c>
      <c r="C10" s="91">
        <f>SUM(C4:C9)</f>
        <v/>
      </c>
      <c r="D10" s="91">
        <f>SUM(D4:D9)</f>
        <v/>
      </c>
      <c r="E10" s="92">
        <f>IF(B10&lt;&gt;0,D10/B10,0)</f>
        <v/>
      </c>
      <c r="F10" s="93" t="inlineStr"/>
      <c r="G10" s="93" t="inlineStr"/>
      <c r="H10" s="93" t="inlineStr"/>
    </row>
    <row r="12" ht="28" customHeight="1">
      <c r="A12" s="94" t="inlineStr">
        <is>
          <t xml:space="preserve">  C002  都営地下鉄案件</t>
        </is>
      </c>
    </row>
    <row r="13" ht="22" customHeight="1">
      <c r="A13" s="2" t="inlineStr">
        <is>
          <t>集計月</t>
        </is>
      </c>
      <c r="B13" s="2" t="inlineStr">
        <is>
          <t>売上合計</t>
        </is>
      </c>
      <c r="C13" s="2" t="inlineStr">
        <is>
          <t>原価合計</t>
        </is>
      </c>
      <c r="D13" s="2" t="inlineStr">
        <is>
          <t>粗利益</t>
        </is>
      </c>
      <c r="E13" s="2" t="inlineStr">
        <is>
          <t>粗利率</t>
        </is>
      </c>
      <c r="F13" s="2" t="inlineStr">
        <is>
          <t>前月比 売上</t>
        </is>
      </c>
      <c r="G13" s="2" t="inlineStr">
        <is>
          <t>前月比 粗利</t>
        </is>
      </c>
      <c r="H13" s="2" t="inlineStr">
        <is>
          <t>判定</t>
        </is>
      </c>
    </row>
    <row r="14" ht="22" customHeight="1">
      <c r="A14" s="18" t="inlineStr">
        <is>
          <t>2026-04</t>
        </is>
      </c>
      <c r="B14" s="95" t="n">
        <v>2145000</v>
      </c>
      <c r="C14" s="95" t="n">
        <v>1153000</v>
      </c>
      <c r="D14" s="65" t="n">
        <v>992000</v>
      </c>
      <c r="E14" s="96" t="n">
        <v>0.4624708624708625</v>
      </c>
      <c r="F14" s="45" t="inlineStr">
        <is>
          <t>—</t>
        </is>
      </c>
      <c r="G14" s="45" t="inlineStr">
        <is>
          <t>—</t>
        </is>
      </c>
      <c r="H14" s="89" t="inlineStr">
        <is>
          <t>◎ 優良</t>
        </is>
      </c>
    </row>
    <row r="15" ht="22" customHeight="1">
      <c r="A15" s="18" t="inlineStr">
        <is>
          <t>2026-05</t>
        </is>
      </c>
      <c r="B15" s="95" t="n">
        <v>2122000</v>
      </c>
      <c r="C15" s="95" t="n">
        <v>1124000</v>
      </c>
      <c r="D15" s="65" t="n">
        <v>998000</v>
      </c>
      <c r="E15" s="96" t="n">
        <v>0.470311027332705</v>
      </c>
      <c r="F15" s="97">
        <f>IF(B14&lt;&gt;0,B15/B14-1,"")</f>
        <v/>
      </c>
      <c r="G15" s="97">
        <f>IF(D14&lt;&gt;0,D15/D14-1,"")</f>
        <v/>
      </c>
      <c r="H15" s="89" t="inlineStr">
        <is>
          <t>◎ 優良</t>
        </is>
      </c>
    </row>
    <row r="16" ht="22" customHeight="1">
      <c r="A16" s="18" t="inlineStr">
        <is>
          <t>2026-06</t>
        </is>
      </c>
      <c r="B16" s="95" t="n"/>
      <c r="C16" s="95" t="n"/>
      <c r="D16" s="65" t="n"/>
      <c r="E16" s="96" t="n"/>
      <c r="F16" s="97">
        <f>IF(B15&lt;&gt;0,B16/B15-1,"")</f>
        <v/>
      </c>
      <c r="G16" s="97">
        <f>IF(D15&lt;&gt;0,D16/D15-1,"")</f>
        <v/>
      </c>
      <c r="H16" s="74" t="inlineStr">
        <is>
          <t>—</t>
        </is>
      </c>
    </row>
    <row r="17" ht="22" customHeight="1">
      <c r="A17" s="18" t="inlineStr">
        <is>
          <t>2026-07</t>
        </is>
      </c>
      <c r="B17" s="95" t="n"/>
      <c r="C17" s="95" t="n"/>
      <c r="D17" s="65" t="n"/>
      <c r="E17" s="96" t="n"/>
      <c r="F17" s="97">
        <f>IF(B16&lt;&gt;0,B17/B16-1,"")</f>
        <v/>
      </c>
      <c r="G17" s="97">
        <f>IF(D16&lt;&gt;0,D17/D16-1,"")</f>
        <v/>
      </c>
      <c r="H17" s="74" t="inlineStr">
        <is>
          <t>—</t>
        </is>
      </c>
    </row>
    <row r="18" ht="22" customHeight="1">
      <c r="A18" s="18" t="inlineStr">
        <is>
          <t>2026-08</t>
        </is>
      </c>
      <c r="B18" s="95" t="n"/>
      <c r="C18" s="95" t="n"/>
      <c r="D18" s="65" t="n"/>
      <c r="E18" s="96" t="n"/>
      <c r="F18" s="97">
        <f>IF(B17&lt;&gt;0,B18/B17-1,"")</f>
        <v/>
      </c>
      <c r="G18" s="97">
        <f>IF(D17&lt;&gt;0,D18/D17-1,"")</f>
        <v/>
      </c>
      <c r="H18" s="74" t="inlineStr">
        <is>
          <t>—</t>
        </is>
      </c>
    </row>
    <row r="19" ht="22" customHeight="1">
      <c r="A19" s="18" t="inlineStr">
        <is>
          <t>2026-09</t>
        </is>
      </c>
      <c r="B19" s="95" t="n"/>
      <c r="C19" s="95" t="n"/>
      <c r="D19" s="65" t="n"/>
      <c r="E19" s="96" t="n"/>
      <c r="F19" s="97">
        <f>IF(B18&lt;&gt;0,B19/B18-1,"")</f>
        <v/>
      </c>
      <c r="G19" s="97">
        <f>IF(D18&lt;&gt;0,D19/D18-1,"")</f>
        <v/>
      </c>
      <c r="H19" s="74" t="inlineStr">
        <is>
          <t>—</t>
        </is>
      </c>
    </row>
    <row r="20" ht="22" customHeight="1">
      <c r="A20" s="17" t="inlineStr">
        <is>
          <t>小　計</t>
        </is>
      </c>
      <c r="B20" s="98">
        <f>SUM(B14:B19)</f>
        <v/>
      </c>
      <c r="C20" s="98">
        <f>SUM(C14:C19)</f>
        <v/>
      </c>
      <c r="D20" s="98">
        <f>SUM(D14:D19)</f>
        <v/>
      </c>
      <c r="E20" s="99">
        <f>IF(B20&lt;&gt;0,D20/B20,0)</f>
        <v/>
      </c>
      <c r="F20" s="100" t="inlineStr"/>
      <c r="G20" s="100" t="inlineStr"/>
      <c r="H20" s="100" t="inlineStr"/>
    </row>
    <row r="22" ht="28" customHeight="1">
      <c r="A22" s="101" t="inlineStr">
        <is>
          <t xml:space="preserve">  C003  一般事業者案件</t>
        </is>
      </c>
    </row>
    <row r="23" ht="22" customHeight="1">
      <c r="A23" s="2" t="inlineStr">
        <is>
          <t>集計月</t>
        </is>
      </c>
      <c r="B23" s="2" t="inlineStr">
        <is>
          <t>売上合計</t>
        </is>
      </c>
      <c r="C23" s="2" t="inlineStr">
        <is>
          <t>原価合計</t>
        </is>
      </c>
      <c r="D23" s="2" t="inlineStr">
        <is>
          <t>粗利益</t>
        </is>
      </c>
      <c r="E23" s="2" t="inlineStr">
        <is>
          <t>粗利率</t>
        </is>
      </c>
      <c r="F23" s="2" t="inlineStr">
        <is>
          <t>前月比 売上</t>
        </is>
      </c>
      <c r="G23" s="2" t="inlineStr">
        <is>
          <t>前月比 粗利</t>
        </is>
      </c>
      <c r="H23" s="2" t="inlineStr">
        <is>
          <t>判定</t>
        </is>
      </c>
    </row>
    <row r="24" ht="22" customHeight="1">
      <c r="A24" s="26" t="inlineStr">
        <is>
          <t>2026-04</t>
        </is>
      </c>
      <c r="B24" s="102" t="n">
        <v>6210000</v>
      </c>
      <c r="C24" s="102" t="n">
        <v>3695000</v>
      </c>
      <c r="D24" s="67" t="n">
        <v>2515000</v>
      </c>
      <c r="E24" s="72" t="n">
        <v>0.4049919484702094</v>
      </c>
      <c r="F24" s="52" t="inlineStr">
        <is>
          <t>—</t>
        </is>
      </c>
      <c r="G24" s="52" t="inlineStr">
        <is>
          <t>—</t>
        </is>
      </c>
      <c r="H24" s="89" t="inlineStr">
        <is>
          <t>◎ 優良</t>
        </is>
      </c>
    </row>
    <row r="25" ht="22" customHeight="1">
      <c r="A25" s="26" t="inlineStr">
        <is>
          <t>2026-05</t>
        </is>
      </c>
      <c r="B25" s="102" t="n">
        <v>6138000</v>
      </c>
      <c r="C25" s="102" t="n">
        <v>3629000</v>
      </c>
      <c r="D25" s="67" t="n">
        <v>2509000</v>
      </c>
      <c r="E25" s="72" t="n">
        <v>0.4087650700553926</v>
      </c>
      <c r="F25" s="103">
        <f>IF(B24&lt;&gt;0,B25/B24-1,"")</f>
        <v/>
      </c>
      <c r="G25" s="103">
        <f>IF(D24&lt;&gt;0,D25/D24-1,"")</f>
        <v/>
      </c>
      <c r="H25" s="89" t="inlineStr">
        <is>
          <t>◎ 優良</t>
        </is>
      </c>
    </row>
    <row r="26" ht="22" customHeight="1">
      <c r="A26" s="26" t="inlineStr">
        <is>
          <t>2026-06</t>
        </is>
      </c>
      <c r="B26" s="102" t="n">
        <v>6325000</v>
      </c>
      <c r="C26" s="102" t="n">
        <v>3776000</v>
      </c>
      <c r="D26" s="67" t="n">
        <v>2549000</v>
      </c>
      <c r="E26" s="72" t="n">
        <v>0.40300395256917</v>
      </c>
      <c r="F26" s="103">
        <f>IF(B25&lt;&gt;0,B26/B25-1,"")</f>
        <v/>
      </c>
      <c r="G26" s="103">
        <f>IF(D25&lt;&gt;0,D26/D25-1,"")</f>
        <v/>
      </c>
      <c r="H26" s="89" t="inlineStr">
        <is>
          <t>◎ 優良</t>
        </is>
      </c>
    </row>
    <row r="27" ht="22" customHeight="1">
      <c r="A27" s="26" t="inlineStr">
        <is>
          <t>2026-07</t>
        </is>
      </c>
      <c r="B27" s="102" t="n"/>
      <c r="C27" s="102" t="n"/>
      <c r="D27" s="67" t="n"/>
      <c r="E27" s="72" t="n"/>
      <c r="F27" s="103">
        <f>IF(B26&lt;&gt;0,B27/B26-1,"")</f>
        <v/>
      </c>
      <c r="G27" s="103">
        <f>IF(D26&lt;&gt;0,D27/D26-1,"")</f>
        <v/>
      </c>
      <c r="H27" s="73" t="inlineStr">
        <is>
          <t>—</t>
        </is>
      </c>
    </row>
    <row r="28" ht="22" customHeight="1">
      <c r="A28" s="26" t="inlineStr">
        <is>
          <t>2026-08</t>
        </is>
      </c>
      <c r="B28" s="102" t="n"/>
      <c r="C28" s="102" t="n"/>
      <c r="D28" s="67" t="n"/>
      <c r="E28" s="72" t="n"/>
      <c r="F28" s="103">
        <f>IF(B27&lt;&gt;0,B28/B27-1,"")</f>
        <v/>
      </c>
      <c r="G28" s="103">
        <f>IF(D27&lt;&gt;0,D28/D27-1,"")</f>
        <v/>
      </c>
      <c r="H28" s="73" t="inlineStr">
        <is>
          <t>—</t>
        </is>
      </c>
    </row>
    <row r="29" ht="22" customHeight="1">
      <c r="A29" s="26" t="inlineStr">
        <is>
          <t>2026-09</t>
        </is>
      </c>
      <c r="B29" s="102" t="n"/>
      <c r="C29" s="102" t="n"/>
      <c r="D29" s="67" t="n"/>
      <c r="E29" s="72" t="n"/>
      <c r="F29" s="103">
        <f>IF(B28&lt;&gt;0,B29/B28-1,"")</f>
        <v/>
      </c>
      <c r="G29" s="103">
        <f>IF(D28&lt;&gt;0,D29/D28-1,"")</f>
        <v/>
      </c>
      <c r="H29" s="73" t="inlineStr">
        <is>
          <t>—</t>
        </is>
      </c>
    </row>
    <row r="30" ht="22" customHeight="1">
      <c r="A30" s="25" t="inlineStr">
        <is>
          <t>小　計</t>
        </is>
      </c>
      <c r="B30" s="104">
        <f>SUM(B24:B29)</f>
        <v/>
      </c>
      <c r="C30" s="104">
        <f>SUM(C24:C29)</f>
        <v/>
      </c>
      <c r="D30" s="104">
        <f>SUM(D24:D29)</f>
        <v/>
      </c>
      <c r="E30" s="105">
        <f>IF(B30&lt;&gt;0,D30/B30,0)</f>
        <v/>
      </c>
      <c r="F30" s="106" t="inlineStr"/>
      <c r="G30" s="106" t="inlineStr"/>
      <c r="H30" s="106" t="inlineStr"/>
    </row>
  </sheetData>
  <mergeCells count="4">
    <mergeCell ref="A12:N12"/>
    <mergeCell ref="A2:N2"/>
    <mergeCell ref="A22:N2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2D8E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3" customWidth="1" min="13" max="13"/>
    <col width="10" customWidth="1" min="14" max="14"/>
  </cols>
  <sheetData>
    <row r="1" ht="36" customHeight="1">
      <c r="A1" s="1" t="inlineStr">
        <is>
          <t>ドライバー別　回収実績・コスト配賦</t>
        </is>
      </c>
    </row>
    <row r="2" ht="22" customHeight="1">
      <c r="A2" s="2" t="inlineStr">
        <is>
          <t>ドライバー情報</t>
        </is>
      </c>
      <c r="F2" s="3" t="inlineStr">
        <is>
          <t>回収実績</t>
        </is>
      </c>
      <c r="I2" s="68" t="inlineStr">
        <is>
          <t>コスト（月次・入力欄）</t>
        </is>
      </c>
      <c r="L2" s="4" t="inlineStr">
        <is>
          <t>効率指標</t>
        </is>
      </c>
    </row>
    <row r="3" ht="36" customHeight="1">
      <c r="A3" s="5" t="inlineStr">
        <is>
          <t>ドライバー名</t>
        </is>
      </c>
      <c r="B3" s="5" t="inlineStr">
        <is>
          <t>担当拠点数</t>
        </is>
      </c>
      <c r="C3" s="5" t="inlineStr">
        <is>
          <t>主担当案件</t>
        </is>
      </c>
      <c r="D3" s="5" t="inlineStr">
        <is>
          <t>雇用区分</t>
        </is>
      </c>
      <c r="E3" s="5" t="inlineStr">
        <is>
          <t>月稼働日数</t>
        </is>
      </c>
      <c r="F3" s="5" t="inlineStr">
        <is>
          <t>週間回収量
(kg)</t>
        </is>
      </c>
      <c r="G3" s="5" t="inlineStr">
        <is>
          <t>月間回収量
(kg推算)</t>
        </is>
      </c>
      <c r="H3" s="5" t="inlineStr">
        <is>
          <t>担当拠点あたり
(kg)</t>
        </is>
      </c>
      <c r="I3" s="5" t="inlineStr">
        <is>
          <t>月次人件費
(円)</t>
        </is>
      </c>
      <c r="J3" s="5" t="inlineStr">
        <is>
          <t>燃料費
(円)</t>
        </is>
      </c>
      <c r="K3" s="5" t="inlineStr">
        <is>
          <t>その他
費用(円)</t>
        </is>
      </c>
      <c r="L3" s="5" t="inlineStr">
        <is>
          <t>1kg当り
コスト(円)</t>
        </is>
      </c>
      <c r="M3" s="5" t="inlineStr">
        <is>
          <t>売上
貢献額(円)</t>
        </is>
      </c>
      <c r="N3" s="5" t="inlineStr">
        <is>
          <t>採算
貢献率</t>
        </is>
      </c>
    </row>
    <row r="4" ht="22" customHeight="1">
      <c r="A4" s="107" t="inlineStr">
        <is>
          <t>ドライバー</t>
        </is>
      </c>
      <c r="B4" s="108" t="n">
        <v>0</v>
      </c>
      <c r="C4" s="75" t="inlineStr">
        <is>
          <t>—</t>
        </is>
      </c>
      <c r="D4" s="75" t="inlineStr">
        <is>
          <t>パート</t>
        </is>
      </c>
      <c r="E4" s="109" t="n">
        <v>22</v>
      </c>
      <c r="F4" s="110" t="n">
        <v>0</v>
      </c>
      <c r="G4" s="110" t="n">
        <v>0</v>
      </c>
      <c r="H4" s="111" t="n">
        <v>0</v>
      </c>
      <c r="I4" s="70" t="n">
        <v>0</v>
      </c>
      <c r="J4" s="70" t="n">
        <v>0</v>
      </c>
      <c r="K4" s="70" t="n">
        <v>0</v>
      </c>
      <c r="L4" s="112">
        <f>IF(G4&gt;0,(I4+J4+K4)/G4,0)</f>
        <v/>
      </c>
      <c r="M4" s="58" t="n">
        <v>0</v>
      </c>
      <c r="N4" s="113" t="n">
        <v>0</v>
      </c>
    </row>
    <row r="5" ht="22" customHeight="1">
      <c r="A5" s="114" t="inlineStr">
        <is>
          <t>長谷川</t>
        </is>
      </c>
      <c r="B5" s="115" t="n">
        <v>152</v>
      </c>
      <c r="C5" s="82" t="inlineStr">
        <is>
          <t>C003</t>
        </is>
      </c>
      <c r="D5" s="82" t="inlineStr">
        <is>
          <t>正社員</t>
        </is>
      </c>
      <c r="E5" s="116" t="n">
        <v>22</v>
      </c>
      <c r="F5" s="117" t="n">
        <v>12616</v>
      </c>
      <c r="G5" s="117" t="n">
        <v>50464</v>
      </c>
      <c r="H5" s="118" t="n">
        <v>83</v>
      </c>
      <c r="I5" s="70" t="n">
        <v>0</v>
      </c>
      <c r="J5" s="70" t="n">
        <v>0</v>
      </c>
      <c r="K5" s="70" t="n">
        <v>0</v>
      </c>
      <c r="L5" s="112">
        <f>IF(G5&gt;0,(I5+J5+K5)/G5,0)</f>
        <v/>
      </c>
      <c r="M5" s="58" t="n">
        <v>0</v>
      </c>
      <c r="N5" s="113" t="n">
        <v>0</v>
      </c>
    </row>
    <row r="6" ht="22" customHeight="1">
      <c r="A6" s="107" t="inlineStr">
        <is>
          <t>長野</t>
        </is>
      </c>
      <c r="B6" s="108" t="n">
        <v>96</v>
      </c>
      <c r="C6" s="75" t="inlineStr">
        <is>
          <t>C001/C003</t>
        </is>
      </c>
      <c r="D6" s="75" t="inlineStr">
        <is>
          <t>パート</t>
        </is>
      </c>
      <c r="E6" s="109" t="n">
        <v>22</v>
      </c>
      <c r="F6" s="110" t="n">
        <v>7850</v>
      </c>
      <c r="G6" s="110" t="n">
        <v>31400</v>
      </c>
      <c r="H6" s="111" t="n">
        <v>81.8</v>
      </c>
      <c r="I6" s="70" t="n">
        <v>0</v>
      </c>
      <c r="J6" s="70" t="n">
        <v>0</v>
      </c>
      <c r="K6" s="70" t="n">
        <v>0</v>
      </c>
      <c r="L6" s="112">
        <f>IF(G6&gt;0,(I6+J6+K6)/G6,0)</f>
        <v/>
      </c>
      <c r="M6" s="58" t="n">
        <v>0</v>
      </c>
      <c r="N6" s="113" t="n">
        <v>0</v>
      </c>
    </row>
    <row r="7" ht="22" customHeight="1">
      <c r="A7" s="114" t="inlineStr">
        <is>
          <t>千葉</t>
        </is>
      </c>
      <c r="B7" s="115" t="n">
        <v>242</v>
      </c>
      <c r="C7" s="82" t="inlineStr">
        <is>
          <t>C001/C003</t>
        </is>
      </c>
      <c r="D7" s="82" t="inlineStr">
        <is>
          <t>正社員</t>
        </is>
      </c>
      <c r="E7" s="116" t="n">
        <v>22</v>
      </c>
      <c r="F7" s="117" t="n">
        <v>7472</v>
      </c>
      <c r="G7" s="117" t="n">
        <v>29888</v>
      </c>
      <c r="H7" s="118" t="n">
        <v>30.9</v>
      </c>
      <c r="I7" s="70" t="n">
        <v>0</v>
      </c>
      <c r="J7" s="70" t="n">
        <v>0</v>
      </c>
      <c r="K7" s="70" t="n">
        <v>0</v>
      </c>
      <c r="L7" s="112">
        <f>IF(G7&gt;0,(I7+J7+K7)/G7,0)</f>
        <v/>
      </c>
      <c r="M7" s="58" t="n">
        <v>0</v>
      </c>
      <c r="N7" s="113" t="n">
        <v>0</v>
      </c>
    </row>
    <row r="8" ht="22" customHeight="1">
      <c r="A8" s="107" t="inlineStr">
        <is>
          <t>岡田</t>
        </is>
      </c>
      <c r="B8" s="108" t="n">
        <v>60</v>
      </c>
      <c r="C8" s="75" t="inlineStr">
        <is>
          <t>C002/C003</t>
        </is>
      </c>
      <c r="D8" s="75" t="inlineStr">
        <is>
          <t>パート</t>
        </is>
      </c>
      <c r="E8" s="109" t="n">
        <v>22</v>
      </c>
      <c r="F8" s="110" t="n">
        <v>4128</v>
      </c>
      <c r="G8" s="110" t="n">
        <v>16512</v>
      </c>
      <c r="H8" s="111" t="n">
        <v>68.8</v>
      </c>
      <c r="I8" s="70" t="n">
        <v>0</v>
      </c>
      <c r="J8" s="70" t="n">
        <v>0</v>
      </c>
      <c r="K8" s="70" t="n">
        <v>0</v>
      </c>
      <c r="L8" s="112">
        <f>IF(G8&gt;0,(I8+J8+K8)/G8,0)</f>
        <v/>
      </c>
      <c r="M8" s="58" t="n">
        <v>0</v>
      </c>
      <c r="N8" s="113" t="n">
        <v>0</v>
      </c>
    </row>
    <row r="9" ht="22" customHeight="1">
      <c r="A9" s="114" t="inlineStr">
        <is>
          <t>白</t>
        </is>
      </c>
      <c r="B9" s="115" t="n">
        <v>16</v>
      </c>
      <c r="C9" s="82" t="inlineStr">
        <is>
          <t>C003</t>
        </is>
      </c>
      <c r="D9" s="82" t="inlineStr">
        <is>
          <t>パート</t>
        </is>
      </c>
      <c r="E9" s="116" t="n">
        <v>22</v>
      </c>
      <c r="F9" s="117" t="n">
        <v>4120</v>
      </c>
      <c r="G9" s="117" t="n">
        <v>16480</v>
      </c>
      <c r="H9" s="118" t="n">
        <v>257.5</v>
      </c>
      <c r="I9" s="70" t="n">
        <v>0</v>
      </c>
      <c r="J9" s="70" t="n">
        <v>0</v>
      </c>
      <c r="K9" s="70" t="n">
        <v>0</v>
      </c>
      <c r="L9" s="112">
        <f>IF(G9&gt;0,(I9+J9+K9)/G9,0)</f>
        <v/>
      </c>
      <c r="M9" s="58" t="n">
        <v>0</v>
      </c>
      <c r="N9" s="113" t="n">
        <v>0</v>
      </c>
    </row>
    <row r="10" ht="22" customHeight="1">
      <c r="A10" s="107" t="inlineStr">
        <is>
          <t>藤内</t>
        </is>
      </c>
      <c r="B10" s="108" t="n">
        <v>29</v>
      </c>
      <c r="C10" s="75" t="inlineStr">
        <is>
          <t>C001</t>
        </is>
      </c>
      <c r="D10" s="75" t="inlineStr">
        <is>
          <t>パート</t>
        </is>
      </c>
      <c r="E10" s="109" t="n">
        <v>22</v>
      </c>
      <c r="F10" s="110" t="n">
        <v>3775</v>
      </c>
      <c r="G10" s="110" t="n">
        <v>15100</v>
      </c>
      <c r="H10" s="111" t="n">
        <v>130.2</v>
      </c>
      <c r="I10" s="70" t="n">
        <v>0</v>
      </c>
      <c r="J10" s="70" t="n">
        <v>0</v>
      </c>
      <c r="K10" s="70" t="n">
        <v>0</v>
      </c>
      <c r="L10" s="112">
        <f>IF(G10&gt;0,(I10+J10+K10)/G10,0)</f>
        <v/>
      </c>
      <c r="M10" s="58" t="n">
        <v>0</v>
      </c>
      <c r="N10" s="113" t="n">
        <v>0</v>
      </c>
    </row>
    <row r="11" ht="22" customHeight="1">
      <c r="A11" s="114" t="inlineStr">
        <is>
          <t>中條</t>
        </is>
      </c>
      <c r="B11" s="115" t="n">
        <v>186</v>
      </c>
      <c r="C11" s="82" t="inlineStr">
        <is>
          <t>C001/C003</t>
        </is>
      </c>
      <c r="D11" s="82" t="inlineStr">
        <is>
          <t>正社員</t>
        </is>
      </c>
      <c r="E11" s="116" t="n">
        <v>22</v>
      </c>
      <c r="F11" s="117" t="n">
        <v>3114</v>
      </c>
      <c r="G11" s="117" t="n">
        <v>12456</v>
      </c>
      <c r="H11" s="118" t="n">
        <v>16.7</v>
      </c>
      <c r="I11" s="70" t="n">
        <v>0</v>
      </c>
      <c r="J11" s="70" t="n">
        <v>0</v>
      </c>
      <c r="K11" s="70" t="n">
        <v>0</v>
      </c>
      <c r="L11" s="112">
        <f>IF(G11&gt;0,(I11+J11+K11)/G11,0)</f>
        <v/>
      </c>
      <c r="M11" s="58" t="n">
        <v>0</v>
      </c>
      <c r="N11" s="113" t="n">
        <v>0</v>
      </c>
    </row>
    <row r="12" ht="22" customHeight="1">
      <c r="A12" s="107" t="inlineStr">
        <is>
          <t>宮原</t>
        </is>
      </c>
      <c r="B12" s="108" t="n">
        <v>72</v>
      </c>
      <c r="C12" s="75" t="inlineStr">
        <is>
          <t>C002</t>
        </is>
      </c>
      <c r="D12" s="75" t="inlineStr">
        <is>
          <t>パート</t>
        </is>
      </c>
      <c r="E12" s="109" t="n">
        <v>22</v>
      </c>
      <c r="F12" s="110" t="n">
        <v>2692</v>
      </c>
      <c r="G12" s="110" t="n">
        <v>10768</v>
      </c>
      <c r="H12" s="111" t="n">
        <v>37.4</v>
      </c>
      <c r="I12" s="70" t="n">
        <v>0</v>
      </c>
      <c r="J12" s="70" t="n">
        <v>0</v>
      </c>
      <c r="K12" s="70" t="n">
        <v>0</v>
      </c>
      <c r="L12" s="112">
        <f>IF(G12&gt;0,(I12+J12+K12)/G12,0)</f>
        <v/>
      </c>
      <c r="M12" s="58" t="n">
        <v>0</v>
      </c>
      <c r="N12" s="113" t="n">
        <v>0</v>
      </c>
    </row>
    <row r="13" ht="22" customHeight="1">
      <c r="A13" s="114" t="inlineStr">
        <is>
          <t>大迫</t>
        </is>
      </c>
      <c r="B13" s="115" t="n">
        <v>32</v>
      </c>
      <c r="C13" s="82" t="inlineStr">
        <is>
          <t>C002</t>
        </is>
      </c>
      <c r="D13" s="82" t="inlineStr">
        <is>
          <t>パート</t>
        </is>
      </c>
      <c r="E13" s="116" t="n">
        <v>22</v>
      </c>
      <c r="F13" s="117" t="n">
        <v>2620</v>
      </c>
      <c r="G13" s="117" t="n">
        <v>10480</v>
      </c>
      <c r="H13" s="118" t="n">
        <v>81.90000000000001</v>
      </c>
      <c r="I13" s="70" t="n">
        <v>0</v>
      </c>
      <c r="J13" s="70" t="n">
        <v>0</v>
      </c>
      <c r="K13" s="70" t="n">
        <v>0</v>
      </c>
      <c r="L13" s="112">
        <f>IF(G13&gt;0,(I13+J13+K13)/G13,0)</f>
        <v/>
      </c>
      <c r="M13" s="58" t="n">
        <v>0</v>
      </c>
      <c r="N13" s="113" t="n">
        <v>0</v>
      </c>
    </row>
    <row r="14" ht="22" customHeight="1">
      <c r="A14" s="107" t="inlineStr">
        <is>
          <t>鈴木</t>
        </is>
      </c>
      <c r="B14" s="108" t="n">
        <v>9</v>
      </c>
      <c r="C14" s="75" t="inlineStr">
        <is>
          <t>C003</t>
        </is>
      </c>
      <c r="D14" s="75" t="inlineStr">
        <is>
          <t>パート</t>
        </is>
      </c>
      <c r="E14" s="109" t="n">
        <v>22</v>
      </c>
      <c r="F14" s="110" t="n">
        <v>2401</v>
      </c>
      <c r="G14" s="110" t="n">
        <v>9604</v>
      </c>
      <c r="H14" s="111" t="n">
        <v>266.8</v>
      </c>
      <c r="I14" s="70" t="n">
        <v>0</v>
      </c>
      <c r="J14" s="70" t="n">
        <v>0</v>
      </c>
      <c r="K14" s="70" t="n">
        <v>0</v>
      </c>
      <c r="L14" s="112">
        <f>IF(G14&gt;0,(I14+J14+K14)/G14,0)</f>
        <v/>
      </c>
      <c r="M14" s="58" t="n">
        <v>0</v>
      </c>
      <c r="N14" s="113" t="n">
        <v>0</v>
      </c>
    </row>
    <row r="15" ht="22" customHeight="1">
      <c r="A15" s="114" t="inlineStr">
        <is>
          <t>和田・荻野</t>
        </is>
      </c>
      <c r="B15" s="115" t="n">
        <v>45</v>
      </c>
      <c r="C15" s="82" t="inlineStr">
        <is>
          <t>—</t>
        </is>
      </c>
      <c r="D15" s="82" t="inlineStr">
        <is>
          <t>パート</t>
        </is>
      </c>
      <c r="E15" s="116" t="n">
        <v>22</v>
      </c>
      <c r="F15" s="117" t="n">
        <v>771</v>
      </c>
      <c r="G15" s="117" t="n">
        <v>3084</v>
      </c>
      <c r="H15" s="118" t="n">
        <v>17.1</v>
      </c>
      <c r="I15" s="70" t="n">
        <v>0</v>
      </c>
      <c r="J15" s="70" t="n">
        <v>0</v>
      </c>
      <c r="K15" s="70" t="n">
        <v>0</v>
      </c>
      <c r="L15" s="112">
        <f>IF(G15&gt;0,(I15+J15+K15)/G15,0)</f>
        <v/>
      </c>
      <c r="M15" s="58" t="n">
        <v>0</v>
      </c>
      <c r="N15" s="113" t="n">
        <v>0</v>
      </c>
    </row>
    <row r="16" ht="22" customHeight="1">
      <c r="A16" s="107" t="inlineStr">
        <is>
          <t>宮原・玉山</t>
        </is>
      </c>
      <c r="B16" s="108" t="n">
        <v>17</v>
      </c>
      <c r="C16" s="75" t="inlineStr">
        <is>
          <t>—</t>
        </is>
      </c>
      <c r="D16" s="75" t="inlineStr">
        <is>
          <t>パート</t>
        </is>
      </c>
      <c r="E16" s="109" t="n">
        <v>22</v>
      </c>
      <c r="F16" s="110" t="n">
        <v>504</v>
      </c>
      <c r="G16" s="110" t="n">
        <v>2016</v>
      </c>
      <c r="H16" s="111" t="n">
        <v>29.6</v>
      </c>
      <c r="I16" s="70" t="n">
        <v>0</v>
      </c>
      <c r="J16" s="70" t="n">
        <v>0</v>
      </c>
      <c r="K16" s="70" t="n">
        <v>0</v>
      </c>
      <c r="L16" s="112">
        <f>IF(G16&gt;0,(I16+J16+K16)/G16,0)</f>
        <v/>
      </c>
      <c r="M16" s="58" t="n">
        <v>0</v>
      </c>
      <c r="N16" s="113" t="n">
        <v>0</v>
      </c>
    </row>
    <row r="17" ht="22" customHeight="1">
      <c r="A17" s="114" t="inlineStr">
        <is>
          <t>渡辺・柳沼</t>
        </is>
      </c>
      <c r="B17" s="115" t="n">
        <v>20</v>
      </c>
      <c r="C17" s="82" t="inlineStr">
        <is>
          <t>—</t>
        </is>
      </c>
      <c r="D17" s="82" t="inlineStr">
        <is>
          <t>パート</t>
        </is>
      </c>
      <c r="E17" s="116" t="n">
        <v>22</v>
      </c>
      <c r="F17" s="117" t="n">
        <v>400</v>
      </c>
      <c r="G17" s="117" t="n">
        <v>1600</v>
      </c>
      <c r="H17" s="118" t="n">
        <v>20</v>
      </c>
      <c r="I17" s="70" t="n">
        <v>0</v>
      </c>
      <c r="J17" s="70" t="n">
        <v>0</v>
      </c>
      <c r="K17" s="70" t="n">
        <v>0</v>
      </c>
      <c r="L17" s="112">
        <f>IF(G17&gt;0,(I17+J17+K17)/G17,0)</f>
        <v/>
      </c>
      <c r="M17" s="58" t="n">
        <v>0</v>
      </c>
      <c r="N17" s="113" t="n">
        <v>0</v>
      </c>
    </row>
    <row r="18" ht="22" customHeight="1">
      <c r="A18" s="107" t="inlineStr">
        <is>
          <t>山口</t>
        </is>
      </c>
      <c r="B18" s="108" t="n">
        <v>4</v>
      </c>
      <c r="C18" s="75" t="inlineStr">
        <is>
          <t>C003</t>
        </is>
      </c>
      <c r="D18" s="75" t="inlineStr">
        <is>
          <t>パート</t>
        </is>
      </c>
      <c r="E18" s="109" t="n">
        <v>22</v>
      </c>
      <c r="F18" s="110" t="n">
        <v>340</v>
      </c>
      <c r="G18" s="110" t="n">
        <v>1360</v>
      </c>
      <c r="H18" s="111" t="n">
        <v>85</v>
      </c>
      <c r="I18" s="70" t="n">
        <v>0</v>
      </c>
      <c r="J18" s="70" t="n">
        <v>0</v>
      </c>
      <c r="K18" s="70" t="n">
        <v>0</v>
      </c>
      <c r="L18" s="112">
        <f>IF(G18&gt;0,(I18+J18+K18)/G18,0)</f>
        <v/>
      </c>
      <c r="M18" s="58" t="n">
        <v>0</v>
      </c>
      <c r="N18" s="113" t="n">
        <v>0</v>
      </c>
    </row>
    <row r="19" ht="24" customHeight="1">
      <c r="A19" s="31" t="inlineStr">
        <is>
          <t>合　計</t>
        </is>
      </c>
      <c r="B19" s="34">
        <f>SUM(B4:B18)</f>
        <v/>
      </c>
      <c r="C19" s="32" t="inlineStr"/>
      <c r="D19" s="32" t="inlineStr"/>
      <c r="E19" s="32" t="inlineStr"/>
      <c r="F19" s="34">
        <f>SUM(F4:F18)</f>
        <v/>
      </c>
      <c r="G19" s="34">
        <f>SUM(G4:G18)</f>
        <v/>
      </c>
      <c r="H19" s="32" t="inlineStr"/>
      <c r="I19" s="34">
        <f>SUM(I4:I18)</f>
        <v/>
      </c>
      <c r="J19" s="34">
        <f>SUM(J4:J18)</f>
        <v/>
      </c>
      <c r="K19" s="34">
        <f>SUM(K4:K18)</f>
        <v/>
      </c>
      <c r="L19" s="32" t="inlineStr"/>
      <c r="M19" s="32" t="inlineStr"/>
      <c r="N19" s="32" t="inlineStr"/>
    </row>
  </sheetData>
  <mergeCells count="5">
    <mergeCell ref="I2:K2"/>
    <mergeCell ref="A2:E2"/>
    <mergeCell ref="F2:H2"/>
    <mergeCell ref="L2:N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07B00"/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</cols>
  <sheetData>
    <row r="1" ht="36" customHeight="1">
      <c r="A1" s="1" t="inlineStr">
        <is>
          <t>採算ダッシュボード（直近月：2026年6月）</t>
        </is>
      </c>
    </row>
    <row r="2" ht="22" customHeight="1">
      <c r="A2" s="119" t="inlineStr">
        <is>
          <t>■ 案件別採算サマリー（2026年6月）</t>
        </is>
      </c>
      <c r="B2" s="120" t="n"/>
      <c r="C2" s="120" t="n"/>
      <c r="D2" s="120" t="n"/>
      <c r="E2" s="120" t="n"/>
    </row>
    <row r="3" ht="22" customHeight="1">
      <c r="A3" s="2" t="inlineStr">
        <is>
          <t>案件ID</t>
        </is>
      </c>
      <c r="B3" s="2" t="inlineStr">
        <is>
          <t>案件名</t>
        </is>
      </c>
      <c r="C3" s="2" t="inlineStr">
        <is>
          <t>売上</t>
        </is>
      </c>
      <c r="D3" s="2" t="inlineStr">
        <is>
          <t>原価</t>
        </is>
      </c>
      <c r="E3" s="2" t="inlineStr">
        <is>
          <t>粗利益</t>
        </is>
      </c>
      <c r="F3" s="2" t="inlineStr">
        <is>
          <t>粗利率</t>
        </is>
      </c>
      <c r="G3" s="2" t="inlineStr">
        <is>
          <t>判定</t>
        </is>
      </c>
    </row>
    <row r="4" ht="28" customHeight="1">
      <c r="A4" s="6" t="inlineStr">
        <is>
          <t>C001</t>
        </is>
      </c>
      <c r="B4" s="121" t="inlineStr">
        <is>
          <t>東急グループ</t>
        </is>
      </c>
      <c r="C4" s="122" t="n">
        <v>3510000</v>
      </c>
      <c r="D4" s="122" t="n">
        <v>1680000</v>
      </c>
      <c r="E4" s="12" t="n">
        <v>1830000</v>
      </c>
      <c r="F4" s="123" t="n">
        <v>0.5213675213675214</v>
      </c>
      <c r="G4" s="124" t="inlineStr">
        <is>
          <t>◎ 優良</t>
        </is>
      </c>
    </row>
    <row r="5" ht="28" customHeight="1">
      <c r="A5" s="15" t="inlineStr">
        <is>
          <t>C002</t>
        </is>
      </c>
      <c r="B5" s="125" t="inlineStr">
        <is>
          <t>都営地下鉄</t>
        </is>
      </c>
      <c r="C5" s="126" t="n">
        <v>0</v>
      </c>
      <c r="D5" s="126" t="n">
        <v>0</v>
      </c>
      <c r="E5" s="21" t="n"/>
      <c r="F5" s="127" t="n"/>
      <c r="G5" s="128" t="inlineStr">
        <is>
          <t>— 未入力</t>
        </is>
      </c>
    </row>
    <row r="6" ht="28" customHeight="1">
      <c r="A6" s="23" t="inlineStr">
        <is>
          <t>C003</t>
        </is>
      </c>
      <c r="B6" s="129" t="inlineStr">
        <is>
          <t>一般事業者</t>
        </is>
      </c>
      <c r="C6" s="130" t="n">
        <v>6325000</v>
      </c>
      <c r="D6" s="130" t="n">
        <v>3776000</v>
      </c>
      <c r="E6" s="29" t="n">
        <v>2549000</v>
      </c>
      <c r="F6" s="131" t="n">
        <v>0.40300395256917</v>
      </c>
      <c r="G6" s="124" t="inlineStr">
        <is>
          <t>◎ 優良</t>
        </is>
      </c>
    </row>
    <row r="7" ht="26" customHeight="1">
      <c r="A7" s="31" t="inlineStr">
        <is>
          <t>合　計</t>
        </is>
      </c>
      <c r="B7" s="32" t="inlineStr"/>
      <c r="C7" s="132">
        <f>SUM(C4:C6)</f>
        <v/>
      </c>
      <c r="D7" s="132">
        <f>SUM(D4:D6)</f>
        <v/>
      </c>
      <c r="E7" s="132">
        <f>SUM(E4:E6)</f>
        <v/>
      </c>
      <c r="F7" s="133">
        <f>IF(C7&lt;&gt;0,E7/C7,0)</f>
        <v/>
      </c>
      <c r="G7" s="32" t="inlineStr"/>
    </row>
    <row r="9" ht="22" customHeight="1">
      <c r="A9" s="119" t="inlineStr">
        <is>
          <t>■ 拠点規模・週間回収量サマリー</t>
        </is>
      </c>
    </row>
    <row r="10" ht="22" customHeight="1">
      <c r="A10" s="134" t="inlineStr">
        <is>
          <t>カテゴリ</t>
        </is>
      </c>
      <c r="B10" s="134" t="inlineStr">
        <is>
          <t>拠点数</t>
        </is>
      </c>
      <c r="C10" s="134" t="inlineStr">
        <is>
          <t>週間回収量(kg)</t>
        </is>
      </c>
      <c r="D10" s="134" t="inlineStr">
        <is>
          <t>月間回収量(kg推算)</t>
        </is>
      </c>
      <c r="E10" s="134" t="inlineStr">
        <is>
          <t>全体シェア</t>
        </is>
      </c>
    </row>
    <row r="11" ht="24" customHeight="1">
      <c r="A11" s="8" t="inlineStr">
        <is>
          <t>東急グループ</t>
        </is>
      </c>
      <c r="B11" s="11" t="n">
        <v>93</v>
      </c>
      <c r="C11" s="12" t="n">
        <v>6312</v>
      </c>
      <c r="D11" s="122" t="n">
        <v>27331</v>
      </c>
      <c r="E11" s="135" t="n">
        <v>0.11953866257599</v>
      </c>
    </row>
    <row r="12" ht="24" customHeight="1">
      <c r="A12" s="17" t="inlineStr">
        <is>
          <t>都営地下鉄</t>
        </is>
      </c>
      <c r="B12" s="20" t="n">
        <v>110</v>
      </c>
      <c r="C12" s="21" t="n">
        <v>8930</v>
      </c>
      <c r="D12" s="126" t="n">
        <v>38667</v>
      </c>
      <c r="E12" s="136" t="n">
        <v>0.1691191788345359</v>
      </c>
    </row>
    <row r="13" ht="24" customHeight="1">
      <c r="A13" s="25" t="inlineStr">
        <is>
          <t>一般事業者</t>
        </is>
      </c>
      <c r="B13" s="28" t="n">
        <v>302</v>
      </c>
      <c r="C13" s="29" t="n">
        <v>37561</v>
      </c>
      <c r="D13" s="130" t="n">
        <v>162639</v>
      </c>
      <c r="E13" s="137" t="n">
        <v>0.7113421585894741</v>
      </c>
    </row>
    <row r="14" ht="26" customHeight="1">
      <c r="A14" s="31" t="inlineStr">
        <is>
          <t>合　計</t>
        </is>
      </c>
      <c r="B14" s="33" t="n">
        <v>505</v>
      </c>
      <c r="C14" s="34" t="n">
        <v>52803</v>
      </c>
      <c r="D14" s="34" t="n">
        <v>228637</v>
      </c>
      <c r="E14" s="138" t="n">
        <v>1</v>
      </c>
    </row>
  </sheetData>
  <mergeCells count="3">
    <mergeCell ref="A2:E2"/>
    <mergeCell ref="A1:K1"/>
    <mergeCell ref="A9:G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55657A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2" customWidth="1" min="4" max="4"/>
    <col width="18" customWidth="1" min="5" max="5"/>
  </cols>
  <sheetData>
    <row r="1" ht="36" customHeight="1">
      <c r="A1" s="1" t="inlineStr">
        <is>
          <t>品目×袋サイズ 重量換算テーブル（CO₂排出係数含む）</t>
        </is>
      </c>
    </row>
    <row r="2" ht="28" customHeight="1">
      <c r="A2" s="5" t="inlineStr">
        <is>
          <t>品目</t>
        </is>
      </c>
      <c r="B2" s="5" t="inlineStr">
        <is>
          <t>容器・サイズ</t>
        </is>
      </c>
      <c r="C2" s="5" t="inlineStr">
        <is>
          <t>1単位あたり重量(kg)</t>
        </is>
      </c>
      <c r="D2" s="5" t="inlineStr">
        <is>
          <t>備考</t>
        </is>
      </c>
      <c r="E2" s="5" t="inlineStr">
        <is>
          <t>CO₂排出係数
(t-CO₂/t)</t>
        </is>
      </c>
    </row>
    <row r="3" ht="20" customHeight="1">
      <c r="A3" s="83" t="inlineStr">
        <is>
          <t>品目</t>
        </is>
      </c>
      <c r="B3" s="83" t="inlineStr">
        <is>
          <t>容器・サイズ</t>
        </is>
      </c>
      <c r="C3" s="139" t="inlineStr">
        <is>
          <t>1単位あたり重量(kg)</t>
        </is>
      </c>
      <c r="D3" s="83" t="inlineStr">
        <is>
          <t>備考</t>
        </is>
      </c>
      <c r="E3" s="140" t="inlineStr">
        <is>
          <t>CO₂排出係数(t-CO₂/t)</t>
        </is>
      </c>
    </row>
    <row r="4" ht="20" customHeight="1">
      <c r="A4" s="76" t="inlineStr">
        <is>
          <t>可燃ごみ</t>
        </is>
      </c>
      <c r="B4" s="76" t="inlineStr">
        <is>
          <t>45Lポリ袋</t>
        </is>
      </c>
      <c r="C4" s="141" t="n">
        <v>6</v>
      </c>
      <c r="D4" s="76" t="inlineStr">
        <is>
          <t>飲食店の生ごみ含む場合は7-8kg</t>
        </is>
      </c>
      <c r="E4" s="142" t="n">
        <v>0.000352</v>
      </c>
    </row>
    <row r="5" ht="20" customHeight="1">
      <c r="A5" s="83" t="inlineStr">
        <is>
          <t>可燃ごみ</t>
        </is>
      </c>
      <c r="B5" s="83" t="inlineStr">
        <is>
          <t>70Lポリ袋</t>
        </is>
      </c>
      <c r="C5" s="139" t="n">
        <v>10</v>
      </c>
      <c r="D5" s="83" t="n"/>
      <c r="E5" s="140" t="n">
        <v>0.000352</v>
      </c>
    </row>
    <row r="6" ht="20" customHeight="1">
      <c r="A6" s="76" t="inlineStr">
        <is>
          <t>可燃ごみ</t>
        </is>
      </c>
      <c r="B6" s="76" t="inlineStr">
        <is>
          <t>90Lポリ袋</t>
        </is>
      </c>
      <c r="C6" s="141" t="n">
        <v>13</v>
      </c>
      <c r="D6" s="76" t="n"/>
      <c r="E6" s="142" t="n">
        <v>0.000352</v>
      </c>
    </row>
    <row r="7" ht="20" customHeight="1">
      <c r="A7" s="83" t="inlineStr">
        <is>
          <t>可燃ごみ</t>
        </is>
      </c>
      <c r="B7" s="83" t="inlineStr">
        <is>
          <t>コンテナ（240L）</t>
        </is>
      </c>
      <c r="C7" s="139" t="n">
        <v>35</v>
      </c>
      <c r="D7" s="83" t="inlineStr">
        <is>
          <t>駅構内の大型容器</t>
        </is>
      </c>
      <c r="E7" s="140" t="n">
        <v>0.000352</v>
      </c>
    </row>
    <row r="8" ht="20" customHeight="1">
      <c r="A8" s="76" t="inlineStr">
        <is>
          <t>不燃ごみ</t>
        </is>
      </c>
      <c r="B8" s="76" t="inlineStr">
        <is>
          <t>45Lポリ袋</t>
        </is>
      </c>
      <c r="C8" s="141" t="n">
        <v>8</v>
      </c>
      <c r="D8" s="76" t="inlineStr">
        <is>
          <t>陶器・ガラス含む場合は重め</t>
        </is>
      </c>
      <c r="E8" s="142" t="n">
        <v>2.31e-05</v>
      </c>
    </row>
    <row r="9" ht="20" customHeight="1">
      <c r="A9" s="83" t="inlineStr">
        <is>
          <t>不燃ごみ</t>
        </is>
      </c>
      <c r="B9" s="83" t="inlineStr">
        <is>
          <t>70Lポリ袋</t>
        </is>
      </c>
      <c r="C9" s="139" t="n">
        <v>13</v>
      </c>
      <c r="D9" s="83" t="n"/>
      <c r="E9" s="140" t="n">
        <v>2.31e-05</v>
      </c>
    </row>
    <row r="10" ht="20" customHeight="1">
      <c r="A10" s="76" t="inlineStr">
        <is>
          <t>段ボール</t>
        </is>
      </c>
      <c r="B10" s="76" t="inlineStr">
        <is>
          <t>束（50cm角）</t>
        </is>
      </c>
      <c r="C10" s="141" t="n">
        <v>4</v>
      </c>
      <c r="D10" s="76" t="inlineStr">
        <is>
          <t>厚み10cm程度</t>
        </is>
      </c>
      <c r="E10" s="142" t="n">
        <v>3.69e-05</v>
      </c>
    </row>
    <row r="11" ht="20" customHeight="1">
      <c r="A11" s="83" t="inlineStr">
        <is>
          <t>段ボール</t>
        </is>
      </c>
      <c r="B11" s="83" t="inlineStr">
        <is>
          <t>束（50cm角・大）</t>
        </is>
      </c>
      <c r="C11" s="139" t="n">
        <v>8</v>
      </c>
      <c r="D11" s="83" t="inlineStr">
        <is>
          <t>厚み20cm以上</t>
        </is>
      </c>
      <c r="E11" s="140" t="n">
        <v>3.69e-05</v>
      </c>
    </row>
    <row r="12" ht="20" customHeight="1">
      <c r="A12" s="76" t="inlineStr">
        <is>
          <t>瓶缶</t>
        </is>
      </c>
      <c r="B12" s="76" t="inlineStr">
        <is>
          <t>45Lポリ袋</t>
        </is>
      </c>
      <c r="C12" s="141" t="n">
        <v>12</v>
      </c>
      <c r="D12" s="76" t="inlineStr">
        <is>
          <t>瓶が多いと15kg程度</t>
        </is>
      </c>
      <c r="E12" s="142" t="n">
        <v>2.31e-05</v>
      </c>
    </row>
    <row r="13" ht="20" customHeight="1">
      <c r="A13" s="83" t="inlineStr">
        <is>
          <t>瓶缶</t>
        </is>
      </c>
      <c r="B13" s="83" t="inlineStr">
        <is>
          <t>コンテナ（20L）</t>
        </is>
      </c>
      <c r="C13" s="139" t="n">
        <v>15</v>
      </c>
      <c r="D13" s="83" t="inlineStr">
        <is>
          <t>金属缶中心</t>
        </is>
      </c>
      <c r="E13" s="140" t="n">
        <v>2.31e-05</v>
      </c>
    </row>
    <row r="14" ht="20" customHeight="1">
      <c r="A14" s="76" t="inlineStr">
        <is>
          <t>資源（紙類）</t>
        </is>
      </c>
      <c r="B14" s="76" t="inlineStr">
        <is>
          <t>45Lポリ袋</t>
        </is>
      </c>
      <c r="C14" s="141" t="n">
        <v>5</v>
      </c>
      <c r="D14" s="76" t="inlineStr">
        <is>
          <t>新聞・雑誌</t>
        </is>
      </c>
      <c r="E14" s="142" t="n">
        <v>3.69e-05</v>
      </c>
    </row>
    <row r="15" ht="20" customHeight="1">
      <c r="A15" s="83" t="inlineStr">
        <is>
          <t>資源（紙類）</t>
        </is>
      </c>
      <c r="B15" s="83" t="inlineStr">
        <is>
          <t>束（紐結束）</t>
        </is>
      </c>
      <c r="C15" s="139" t="n">
        <v>6</v>
      </c>
      <c r="D15" s="83" t="inlineStr">
        <is>
          <t>段ボール以外の紙類</t>
        </is>
      </c>
      <c r="E15" s="140" t="n">
        <v>3.69e-05</v>
      </c>
    </row>
    <row r="16" ht="20" customHeight="1">
      <c r="A16" s="76" t="inlineStr">
        <is>
          <t>ペットボトル</t>
        </is>
      </c>
      <c r="B16" s="76" t="inlineStr">
        <is>
          <t>45Lポリ袋</t>
        </is>
      </c>
      <c r="C16" s="141" t="n">
        <v>3</v>
      </c>
      <c r="D16" s="76" t="inlineStr">
        <is>
          <t>圧縮なし</t>
        </is>
      </c>
      <c r="E16" s="142" t="n">
        <v>0.000183</v>
      </c>
    </row>
    <row r="17" ht="20" customHeight="1">
      <c r="A17" s="83" t="inlineStr">
        <is>
          <t>汚泥</t>
        </is>
      </c>
      <c r="B17" s="83" t="inlineStr">
        <is>
          <t>ドラム缶(200L)</t>
        </is>
      </c>
      <c r="C17" s="139" t="n">
        <v>200</v>
      </c>
      <c r="D17" s="83" t="inlineStr">
        <is>
          <t>産廃・液状</t>
        </is>
      </c>
      <c r="E17" s="140" t="n">
        <v>2.31e-05</v>
      </c>
    </row>
    <row r="18" ht="20" customHeight="1">
      <c r="A18" s="76" t="inlineStr">
        <is>
          <t>廃プラスチック</t>
        </is>
      </c>
      <c r="B18" s="76" t="inlineStr">
        <is>
          <t>45Lポリ袋</t>
        </is>
      </c>
      <c r="C18" s="141" t="n">
        <v>4</v>
      </c>
      <c r="D18" s="76" t="n"/>
      <c r="E18" s="142" t="n">
        <v>0.00272</v>
      </c>
    </row>
    <row r="19" ht="20" customHeight="1">
      <c r="A19" s="83" t="inlineStr">
        <is>
          <t>木くず</t>
        </is>
      </c>
      <c r="B19" s="83" t="inlineStr">
        <is>
          <t>フレコンバッグ</t>
        </is>
      </c>
      <c r="C19" s="139" t="n">
        <v>300</v>
      </c>
      <c r="D19" s="83" t="inlineStr">
        <is>
          <t>産廃</t>
        </is>
      </c>
      <c r="E19" s="140" t="n">
        <v>0.000352</v>
      </c>
    </row>
    <row r="20" ht="20" customHeight="1">
      <c r="A20" s="76" t="inlineStr">
        <is>
          <t>・上記の重量は目安です。拠点の特性に応じて実測値で補正してください。</t>
        </is>
      </c>
      <c r="B20" s="76" t="n"/>
      <c r="C20" s="141" t="n"/>
      <c r="D20" s="76" t="n"/>
      <c r="E20" s="142" t="n"/>
    </row>
    <row r="21" ht="20" customHeight="1">
      <c r="A21" s="83" t="inlineStr">
        <is>
          <t>・CO₂排出係数は環境省「サプライチェーンを通じた温室効果ガス排出量算定に関する排出原単位データベース」より引用</t>
        </is>
      </c>
      <c r="B21" s="83" t="n"/>
      <c r="C21" s="139" t="n"/>
      <c r="D21" s="83" t="n"/>
      <c r="E21" s="140" t="n"/>
    </row>
    <row r="22" ht="20" customHeight="1">
      <c r="A22" s="76" t="inlineStr">
        <is>
          <t>・台秤を設置した拠点では、換算値ではなく実測値を優先して使用してください。</t>
        </is>
      </c>
      <c r="B22" s="76" t="n"/>
      <c r="C22" s="141" t="n"/>
      <c r="D22" s="76" t="n"/>
      <c r="E22" s="142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2026-05-29T02:52:38Z</dcterms:created>
  <dcterms:modified xmlns:dcterms="http://purl.org/dc/terms/" xmlns:xsi="http://www.w3.org/2001/XMLSchema-instance" xsi:type="dcterms:W3CDTF">2026-05-29T02:52:39Z</dcterms:modified>
</cp:coreProperties>
</file>